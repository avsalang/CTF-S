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oekoinstev.sharepoint.com/sites/DGCLIMA_BTR1/Freigegebene Dokumente/General/EXT BTR1 preparation/Task 05,9 CTF testing, completing/_DECEMBER VERSION/2 support/"/>
    </mc:Choice>
  </mc:AlternateContent>
  <xr:revisionPtr revIDLastSave="70" documentId="11_BBEB9A033E6FB1A2094CBC119B8549E6D1D7C17B" xr6:coauthVersionLast="47" xr6:coauthVersionMax="47" xr10:uidLastSave="{D1A6C0A0-E9B1-4ED4-B97A-5CEA24EC2884}"/>
  <bookViews>
    <workbookView xWindow="2664" yWindow="972" windowWidth="28032" windowHeight="14544" xr2:uid="{00000000-000D-0000-FFFF-FFFF00000000}"/>
  </bookViews>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6" l="1"/>
</calcChain>
</file>

<file path=xl/sharedStrings.xml><?xml version="1.0" encoding="utf-8"?>
<sst xmlns="http://schemas.openxmlformats.org/spreadsheetml/2006/main" count="11464" uniqueCount="1416">
  <si>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</si>
  <si>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</si>
  <si>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</si>
  <si>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</si>
  <si>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</si>
  <si>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</si>
  <si>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</si>
  <si>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</si>
  <si>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</si>
  <si>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</si>
  <si>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</si>
  <si>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</si>
  <si>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</si>
  <si>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</si>
  <si>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  III.1</t>
  </si>
  <si>
    <t>Information on financial support provided under Article 9 of the Paris Agreement in year</t>
  </si>
  <si>
    <t>2022</t>
  </si>
  <si>
    <r>
      <t>:</t>
    </r>
    <r>
      <rPr>
        <b/>
        <vertAlign val="superscript"/>
        <sz val="12"/>
        <rFont val="Times New Roman"/>
        <family val="1"/>
      </rPr>
      <t>a, b, c</t>
    </r>
    <r>
      <rPr>
        <b/>
        <sz val="12"/>
        <rFont val="Times New Roman"/>
        <family val="1"/>
      </rPr>
      <t xml:space="preserve"> bilateral, regional and other channels</t>
    </r>
  </si>
  <si>
    <t>Exchange rate used:</t>
  </si>
  <si>
    <t>Back to index</t>
  </si>
  <si>
    <r>
      <t>Recipient country or region</t>
    </r>
    <r>
      <rPr>
        <i/>
        <vertAlign val="superscript"/>
        <sz val="9"/>
        <rFont val="Times New Roman"/>
        <family val="1"/>
      </rPr>
      <t xml:space="preserve">c, d </t>
    </r>
  </si>
  <si>
    <r>
      <t>Title of the project programme, activity or other</t>
    </r>
    <r>
      <rPr>
        <i/>
        <vertAlign val="superscript"/>
        <sz val="9"/>
        <rFont val="Times New Roman"/>
        <family val="1"/>
      </rPr>
      <t>c, e</t>
    </r>
  </si>
  <si>
    <r>
      <t>Amount (climate-specific)</t>
    </r>
    <r>
      <rPr>
        <i/>
        <vertAlign val="superscript"/>
        <sz val="9"/>
        <rFont val="Times New Roman"/>
        <family val="1"/>
      </rPr>
      <t>c, f</t>
    </r>
  </si>
  <si>
    <r>
      <t>Status</t>
    </r>
    <r>
      <rPr>
        <i/>
        <vertAlign val="superscript"/>
        <sz val="9"/>
        <rFont val="Times New Roman"/>
        <family val="1"/>
      </rPr>
      <t>c</t>
    </r>
  </si>
  <si>
    <r>
      <t>Channel</t>
    </r>
    <r>
      <rPr>
        <i/>
        <vertAlign val="superscript"/>
        <sz val="9"/>
        <rFont val="Times New Roman"/>
        <family val="1"/>
      </rPr>
      <t>c</t>
    </r>
  </si>
  <si>
    <r>
      <t>Funding source</t>
    </r>
    <r>
      <rPr>
        <i/>
        <vertAlign val="superscript"/>
        <sz val="9"/>
        <rFont val="Times New Roman"/>
        <family val="1"/>
      </rPr>
      <t>c</t>
    </r>
  </si>
  <si>
    <r>
      <t>Financial instrument</t>
    </r>
    <r>
      <rPr>
        <i/>
        <vertAlign val="superscript"/>
        <sz val="9"/>
        <rFont val="Times New Roman"/>
        <family val="1"/>
      </rPr>
      <t>c, g</t>
    </r>
  </si>
  <si>
    <r>
      <t>Type of support</t>
    </r>
    <r>
      <rPr>
        <i/>
        <vertAlign val="superscript"/>
        <sz val="9"/>
        <rFont val="Times New Roman"/>
        <family val="1"/>
      </rPr>
      <t>c</t>
    </r>
  </si>
  <si>
    <r>
      <t>Sector</t>
    </r>
    <r>
      <rPr>
        <i/>
        <vertAlign val="superscript"/>
        <sz val="9"/>
        <rFont val="Times New Roman"/>
        <family val="1"/>
      </rPr>
      <t>c</t>
    </r>
  </si>
  <si>
    <r>
      <t>Subsector</t>
    </r>
    <r>
      <rPr>
        <i/>
        <vertAlign val="superscript"/>
        <sz val="9"/>
        <rFont val="Times New Roman"/>
        <family val="1"/>
      </rPr>
      <t>c, h</t>
    </r>
  </si>
  <si>
    <r>
      <t>Contribution to capacity-building objectives</t>
    </r>
    <r>
      <rPr>
        <i/>
        <vertAlign val="superscript"/>
        <sz val="9"/>
        <rFont val="Times New Roman"/>
        <family val="1"/>
      </rPr>
      <t>c, h</t>
    </r>
  </si>
  <si>
    <r>
      <t>Contribution to technology development and transfer objectives</t>
    </r>
    <r>
      <rPr>
        <i/>
        <vertAlign val="superscript"/>
        <sz val="9"/>
        <rFont val="Times New Roman"/>
        <family val="1"/>
      </rPr>
      <t>c, h</t>
    </r>
  </si>
  <si>
    <r>
      <t>Additional information</t>
    </r>
    <r>
      <rPr>
        <i/>
        <vertAlign val="superscript"/>
        <sz val="9"/>
        <rFont val="Times New Roman"/>
        <family val="1"/>
      </rPr>
      <t>c, h, i</t>
    </r>
  </si>
  <si>
    <t>Face value</t>
  </si>
  <si>
    <t>Grant equivalent</t>
  </si>
  <si>
    <t>Domestic
currency</t>
  </si>
  <si>
    <t>USD</t>
  </si>
  <si>
    <t>Green Deal #TeamEuropeKenya (AAP-2022)</t>
  </si>
  <si>
    <t>EU contribution to the Western Balkans Investment Framework 2021-2023 (2021-2027 WBIF)</t>
  </si>
  <si>
    <t>Committed</t>
  </si>
  <si>
    <t>Bilateral</t>
  </si>
  <si>
    <t>ODA</t>
  </si>
  <si>
    <t>Grant</t>
  </si>
  <si>
    <t>Mitigation</t>
  </si>
  <si>
    <t>Water and sanitation</t>
  </si>
  <si>
    <t>140: Water and sanitation</t>
  </si>
  <si>
    <t>UA</t>
  </si>
  <si>
    <t>In October 2020 the European Commission adopted a comprehensive Economic and Investment Plan (EIP) for the Western Balkans, which aims to spur the long-term economic recovery of the region, support a green and digital transition, foster regional integration and convergence with the European Union.The EIP is accompanied by the Guidelines for implementing the Green Agenda for the Western Balkans (GAWB), which further detail investments and actions that can foster the green transition in the region.</t>
  </si>
  <si>
    <t>Decision NIP 2022 Southern Neighbourhood</t>
  </si>
  <si>
    <t>Cross-cutting</t>
  </si>
  <si>
    <t>Other</t>
  </si>
  <si>
    <t>240: Banking and financial services</t>
  </si>
  <si>
    <t>Provisioning for the CPF EFSD+</t>
  </si>
  <si>
    <t>EU contribution to Sustainable Transport Connectivity in the Western Balkans 2021-2027 (2021-2027 WBIF)</t>
  </si>
  <si>
    <t>Transport</t>
  </si>
  <si>
    <t>210: Transport and storage</t>
  </si>
  <si>
    <t>In October 2020 the European Commission adopted a comprehensive Economic and Investment Plan (EIP) for the Western Balkans, which aims to spur the long-term economic recovery of the region, support a green and digital transition, foster regional integration and convergence with the European Union.The EIP is accompanied by the Guidelines for implementing the Green Agenda for the Western Balkans (GAWB).</t>
  </si>
  <si>
    <t>EU Contribution to the Adaptation Fund</t>
  </si>
  <si>
    <t>Neighbourhood Investment Platform for the Southern Neighbourhood - NIP 2021</t>
  </si>
  <si>
    <t>Southern Neighbourhood contribution to the Common Provisioning Fund for the EFSD+ 2021</t>
  </si>
  <si>
    <t>Blue Economy Programme</t>
  </si>
  <si>
    <t>Morocco</t>
  </si>
  <si>
    <t>Adaptation</t>
  </si>
  <si>
    <t>Agriculture</t>
  </si>
  <si>
    <t>311: Agriculture</t>
  </si>
  <si>
    <r>
      <t xml:space="preserve">Abbreviations: </t>
    </r>
    <r>
      <rPr>
        <sz val="9"/>
        <rFont val="Times New Roman"/>
        <family val="1"/>
      </rPr>
      <t>ODA = official development assistance, OOF = other official flows.</t>
    </r>
  </si>
  <si>
    <r>
      <t xml:space="preserve">Notation keys: </t>
    </r>
    <r>
      <rPr>
        <sz val="9"/>
        <rFont val="Times New Roman"/>
        <family val="1"/>
      </rPr>
      <t>NA = not applicable; UA = information not available at the time of reporting; NR = not reported (to indicate the voluntary character of the information).</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</si>
  <si>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</si>
  <si>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sz val="9"/>
        <color rgb="FF000000"/>
        <rFont val="Times New Roman"/>
        <family val="1"/>
      </rPr>
      <t xml:space="preserve">Relevant information, in tabular format, on bilateral and regional financial support provided for the previous two reporting years without overlapping with the previous reporting periods. </t>
    </r>
  </si>
  <si>
    <r>
      <t xml:space="preserve">b  </t>
    </r>
    <r>
      <rPr>
        <sz val="9"/>
        <color rgb="FF000000"/>
        <rFont val="Times New Roman"/>
        <family val="1"/>
      </rPr>
      <t>Parties report in a separate table for each year, namely 20XX-3 and 20XX-2, where 20XX is the reporting year.</t>
    </r>
  </si>
  <si>
    <r>
      <t xml:space="preserve">c  </t>
    </r>
    <r>
      <rPr>
        <sz val="9"/>
        <color rgb="FF000000"/>
        <rFont val="Times New Roman"/>
        <family val="1"/>
      </rPr>
      <t xml:space="preserve">Parties provide the underlying assumptions, definitions and methodologies, as applicable, used to identify and/or report this reporting parameter in the respective section of the BTR. </t>
    </r>
  </si>
  <si>
    <r>
      <t xml:space="preserve">d  </t>
    </r>
    <r>
      <rPr>
        <sz val="9"/>
        <color rgb="FF000000"/>
        <rFont val="Times New Roman"/>
        <family val="1"/>
      </rPr>
      <t xml:space="preserve">To the extent possible. </t>
    </r>
  </si>
  <si>
    <r>
      <t xml:space="preserve">e  </t>
    </r>
    <r>
      <rPr>
        <sz val="9"/>
        <color rgb="FF000000"/>
        <rFont val="Times New Roman"/>
        <family val="1"/>
      </rPr>
      <t xml:space="preserve">If “other”, Parties should specify this information. </t>
    </r>
  </si>
  <si>
    <r>
      <t xml:space="preserve">f  </t>
    </r>
    <r>
      <rPr>
        <sz val="9"/>
        <color rgb="FF000000"/>
        <rFont val="Times New Roman"/>
        <family val="1"/>
      </rPr>
      <t>The face value and, on a voluntary basis, the grant-equivalent value.</t>
    </r>
  </si>
  <si>
    <r>
      <t xml:space="preserve">g  </t>
    </r>
    <r>
      <rPr>
        <sz val="9"/>
        <color rgb="FF000000"/>
        <rFont val="Times New Roman"/>
        <family val="1"/>
      </rPr>
      <t xml:space="preserve">Parties report, to the extent possible, the different amounts per financial instrument, if applicable and as available. </t>
    </r>
  </si>
  <si>
    <r>
      <t xml:space="preserve">h  </t>
    </r>
    <r>
      <rPr>
        <sz val="9"/>
        <color rgb="FF000000"/>
        <rFont val="Times New Roman"/>
        <family val="1"/>
      </rPr>
      <t xml:space="preserve">As available. </t>
    </r>
  </si>
  <si>
    <r>
      <t xml:space="preserve">i  </t>
    </r>
    <r>
      <rPr>
        <sz val="9"/>
        <color rgb="FF000000"/>
        <rFont val="Times New Roman"/>
        <family val="1"/>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</si>
  <si>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sz val="9"/>
        <color rgb="FF000000"/>
        <rFont val="Times New Roman"/>
        <family val="1"/>
      </rPr>
      <t>The region should be reported if data at the country level are not available.</t>
    </r>
  </si>
  <si>
    <r>
      <t xml:space="preserve">k  </t>
    </r>
    <r>
      <rPr>
        <sz val="9"/>
        <color rgb="FF000000"/>
        <rFont val="Times New Roman"/>
        <family val="1"/>
      </rPr>
      <t>This refers to funding for activities that have both mitigation and adaptation components. Parties report, to the extent possible, the different amounts of components, if applicable and as available.</t>
    </r>
  </si>
  <si>
    <t>Custom footnotes:</t>
  </si>
  <si>
    <t>2021</t>
  </si>
  <si>
    <t>Kenya</t>
  </si>
  <si>
    <t>430: Other multisector</t>
  </si>
  <si>
    <t>This Action's overall objective is `to promote greener, more inclusive and resilient urbanisation and rural development in Kenya' and comprises of the following three specific objectives to: 1. Make urban mobility more environmentally, socially, and economically sustainable and accessible. 2. Deliver participatory slum upgrading, land services and low-cost green adequate incremental housing solutions replicable at scale by low-income households.</t>
  </si>
  <si>
    <t>Suriname</t>
  </si>
  <si>
    <t>Forestry</t>
  </si>
  <si>
    <t>312: Forestry</t>
  </si>
  <si>
    <t>The Support Measures for Suriname aim to ensure continued build-up and impact all along the implementation of the Multi-annual Indicative Programme (MIP) for Suriname and the Guyana-Suriname Team Europe Initiative (TEI). This Action is an opportunity to strengthen the EU's position as a credible and solid partner by facilitating dialogue with all stakeholders in Suriname, from civil society to the Government and public authorities, but also private sector, as well as beneficiaries and the general.</t>
  </si>
  <si>
    <t>250: Business and other services</t>
  </si>
  <si>
    <t>The Neighbourhood Investment Platform (NIP) is a blending facility, combining European Union grant contributions or financial instruments, with other public and private sector resources such as loans and equity in order to leverage additional non-grant financing. It forms part of the European Fund for Sustainable Development Plus (EFSD+) as foreseen in Article 32 of the NDICI's Global Europe Regulation.The key objective of the NIP is, within the framework of the NDICI's Global Europe Regulation.</t>
  </si>
  <si>
    <t>410: General environmental protection</t>
  </si>
  <si>
    <t>The Action aims at enhancing climate adaptation and resilience in Sub-Saharan Africa in line with the developed countries' collective goal of providing USD 100 billion per year in climate finance to developing countries until 2025.The Action will enhance climate adaptation and resilience in Sub-Saharan Africa with EUR 80 million from the SSA Multiannual Indicative Programme (MIP). This will be complemented by additional EUR 20 million from the Global Challenges MIP.</t>
  </si>
  <si>
    <t>110: Education</t>
  </si>
  <si>
    <t>Blue Economy encompasses all sectors related to oceans, seas and coasts whether based in the marine environment or on land. Tanzania and the EU have a strong common interest in promoting a Blue Economy aiming at the sustainable use of ocean and coastal resources for economic growth, improved livelihoods and jobs creation. Unlocking the potential of the ocean and coastal economies (e.g. in fisheries/mariculture, forestry, renewable energies and eco-tourism sectors) while preserving the environment.</t>
  </si>
  <si>
    <t xml:space="preserve">TABLE III. 2  </t>
  </si>
  <si>
    <r>
      <t>:</t>
    </r>
    <r>
      <rPr>
        <b/>
        <vertAlign val="superscript"/>
        <sz val="11"/>
        <rFont val="Times New Roman"/>
        <family val="1"/>
      </rPr>
      <t>a, b, c</t>
    </r>
    <r>
      <rPr>
        <b/>
        <sz val="11"/>
        <rFont val="Times New Roman"/>
        <family val="1"/>
      </rPr>
      <t xml:space="preserve"> multilateral channels</t>
    </r>
  </si>
  <si>
    <r>
      <t>Institution</t>
    </r>
    <r>
      <rPr>
        <i/>
        <vertAlign val="superscript"/>
        <sz val="9"/>
        <rFont val="Times New Roman"/>
        <family val="1"/>
      </rPr>
      <t>c</t>
    </r>
  </si>
  <si>
    <r>
      <t>Amount</t>
    </r>
    <r>
      <rPr>
        <i/>
        <vertAlign val="superscript"/>
        <sz val="9"/>
        <rFont val="Times New Roman"/>
        <family val="1"/>
      </rPr>
      <t xml:space="preserve"> c, d</t>
    </r>
  </si>
  <si>
    <r>
      <t>Recipient</t>
    </r>
    <r>
      <rPr>
        <i/>
        <vertAlign val="superscript"/>
        <sz val="9"/>
        <rFont val="Times New Roman"/>
        <family val="1"/>
      </rPr>
      <t>c, e, g</t>
    </r>
  </si>
  <si>
    <r>
      <t>Title of the project, programme, activity or other</t>
    </r>
    <r>
      <rPr>
        <i/>
        <vertAlign val="superscript"/>
        <sz val="9"/>
        <rFont val="Times New Roman"/>
        <family val="1"/>
      </rPr>
      <t>c, e, g, h</t>
    </r>
  </si>
  <si>
    <r>
      <t>Financial instrument</t>
    </r>
    <r>
      <rPr>
        <i/>
        <vertAlign val="superscript"/>
        <sz val="9"/>
        <rFont val="Times New Roman"/>
        <family val="1"/>
      </rPr>
      <t>c, i</t>
    </r>
  </si>
  <si>
    <r>
      <t>Sector</t>
    </r>
    <r>
      <rPr>
        <i/>
        <vertAlign val="superscript"/>
        <sz val="9"/>
        <rFont val="Times New Roman"/>
        <family val="1"/>
      </rPr>
      <t>c, g</t>
    </r>
  </si>
  <si>
    <r>
      <t>Subsector</t>
    </r>
    <r>
      <rPr>
        <i/>
        <vertAlign val="superscript"/>
        <sz val="9"/>
        <rFont val="Times New Roman"/>
        <family val="1"/>
      </rPr>
      <t>c, g</t>
    </r>
  </si>
  <si>
    <r>
      <t>Contribution to capacity-building objectives</t>
    </r>
    <r>
      <rPr>
        <i/>
        <vertAlign val="superscript"/>
        <sz val="9"/>
        <rFont val="Times New Roman"/>
        <family val="1"/>
      </rPr>
      <t>c, e, g</t>
    </r>
  </si>
  <si>
    <r>
      <t>Contribution to technology development and transfer objectives</t>
    </r>
    <r>
      <rPr>
        <i/>
        <vertAlign val="superscript"/>
        <sz val="9"/>
        <rFont val="Times New Roman"/>
        <family val="1"/>
      </rPr>
      <t>c, e, g</t>
    </r>
  </si>
  <si>
    <r>
      <t>Additional information</t>
    </r>
    <r>
      <rPr>
        <i/>
        <vertAlign val="superscript"/>
        <sz val="9"/>
        <rFont val="Times New Roman"/>
        <family val="1"/>
      </rPr>
      <t>l</t>
    </r>
  </si>
  <si>
    <r>
      <t xml:space="preserve">Inflows </t>
    </r>
    <r>
      <rPr>
        <i/>
        <vertAlign val="superscript"/>
        <sz val="9"/>
        <rFont val="Times New Roman"/>
        <family val="1"/>
      </rPr>
      <t>c, e</t>
    </r>
  </si>
  <si>
    <r>
      <t xml:space="preserve">Outflows </t>
    </r>
    <r>
      <rPr>
        <i/>
        <vertAlign val="superscript"/>
        <sz val="9"/>
        <rFont val="Times New Roman"/>
        <family val="1"/>
      </rPr>
      <t>c, e</t>
    </r>
  </si>
  <si>
    <r>
      <t>Core/general</t>
    </r>
    <r>
      <rPr>
        <i/>
        <vertAlign val="superscript"/>
        <sz val="9"/>
        <rFont val="Times New Roman"/>
        <family val="1"/>
      </rPr>
      <t>c, e, f</t>
    </r>
  </si>
  <si>
    <r>
      <t>Climate-specific</t>
    </r>
    <r>
      <rPr>
        <i/>
        <vertAlign val="superscript"/>
        <sz val="9"/>
        <rFont val="Times New Roman"/>
        <family val="1"/>
      </rPr>
      <t>e</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</si>
  <si>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</si>
  <si>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a tabular format, for the previous two reporting years without overlapping with the previous reporting periods, on financial support provided through multilateral channels.</t>
    </r>
  </si>
  <si>
    <r>
      <rPr>
        <i/>
        <vertAlign val="superscript"/>
        <sz val="9"/>
        <color rgb="FF000000"/>
        <rFont val="Times New Roman"/>
        <family val="1"/>
      </rPr>
      <t>b</t>
    </r>
    <r>
      <rPr>
        <sz val="9"/>
        <color rgb="FF000000"/>
        <rFont val="Times New Roman"/>
        <family val="1"/>
      </rPr>
      <t xml:space="preserve">  Parties fill in a separate table for each year, namely 20XX-3 and 20XX-2, where 20XX is the reporting year.</t>
    </r>
  </si>
  <si>
    <r>
      <rPr>
        <i/>
        <vertAlign val="superscript"/>
        <sz val="9"/>
        <color rgb="FF000000"/>
        <rFont val="Times New Roman"/>
        <family val="1"/>
      </rPr>
      <t>c</t>
    </r>
    <r>
      <rPr>
        <sz val="9"/>
        <color rgb="FF000000"/>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</si>
  <si>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color rgb="FF000000"/>
        <rFont val="Times New Roman"/>
        <family val="1"/>
      </rPr>
      <t>d</t>
    </r>
    <r>
      <rPr>
        <sz val="9"/>
        <color rgb="FF000000"/>
        <rFont val="Times New Roman"/>
        <family val="1"/>
      </rPr>
      <t xml:space="preserve">  The face value and, on a voluntary basis, the grant-equivalent value.</t>
    </r>
  </si>
  <si>
    <r>
      <rPr>
        <i/>
        <vertAlign val="superscript"/>
        <sz val="9"/>
        <color rgb="FF000000"/>
        <rFont val="Times New Roman"/>
        <family val="1"/>
      </rPr>
      <t>e</t>
    </r>
    <r>
      <rPr>
        <sz val="9"/>
        <color rgb="FF000000"/>
        <rFont val="Times New Roman"/>
        <family val="1"/>
      </rPr>
      <t xml:space="preserve">  As applicable.</t>
    </r>
  </si>
  <si>
    <r>
      <rPr>
        <i/>
        <vertAlign val="superscript"/>
        <sz val="9"/>
        <color rgb="FF000000"/>
        <rFont val="Times New Roman"/>
        <family val="1"/>
      </rPr>
      <t>f</t>
    </r>
    <r>
      <rPr>
        <sz val="9"/>
        <color rgb="FF000000"/>
        <rFont val="Times New Roman"/>
        <family val="1"/>
      </rPr>
      <t xml:space="preserve">  This refers to support to multilateral institutions that Parties cannot specify as being climate-specific.</t>
    </r>
  </si>
  <si>
    <r>
      <rPr>
        <i/>
        <vertAlign val="superscript"/>
        <sz val="9"/>
        <color rgb="FF000000"/>
        <rFont val="Times New Roman"/>
        <family val="1"/>
      </rPr>
      <t>g</t>
    </r>
    <r>
      <rPr>
        <sz val="9"/>
        <color rgb="FF000000"/>
        <rFont val="Times New Roman"/>
        <family val="1"/>
      </rPr>
      <t xml:space="preserve">  As available.</t>
    </r>
  </si>
  <si>
    <r>
      <rPr>
        <i/>
        <vertAlign val="superscript"/>
        <sz val="9"/>
        <color rgb="FF000000"/>
        <rFont val="Times New Roman"/>
        <family val="1"/>
      </rPr>
      <t>h</t>
    </r>
    <r>
      <rPr>
        <sz val="9"/>
        <color rgb="FF000000"/>
        <rFont val="Times New Roman"/>
        <family val="1"/>
      </rPr>
      <t xml:space="preserve">  If “other”, Parties should specify this information.</t>
    </r>
  </si>
  <si>
    <r>
      <rPr>
        <i/>
        <vertAlign val="superscript"/>
        <sz val="9"/>
        <color rgb="FF000000"/>
        <rFont val="Times New Roman"/>
        <family val="1"/>
      </rPr>
      <t>i</t>
    </r>
    <r>
      <rPr>
        <sz val="9"/>
        <color rgb="FF000000"/>
        <rFont val="Times New Roman"/>
        <family val="1"/>
      </rPr>
      <t xml:space="preserve">  Parties report, to the extent possible, the different amounts per financial instrument, if applicable and as available.</t>
    </r>
  </si>
  <si>
    <r>
      <rPr>
        <i/>
        <vertAlign val="superscript"/>
        <sz val="9"/>
        <color rgb="FF000000"/>
        <rFont val="Times New Roman"/>
        <family val="1"/>
      </rPr>
      <t>j</t>
    </r>
    <r>
      <rPr>
        <sz val="9"/>
        <color rgb="FF000000"/>
        <rFont val="Times New Roman"/>
        <family val="1"/>
      </rPr>
      <t xml:space="preserve">  Region should be reported when data at country level is not available.</t>
    </r>
  </si>
  <si>
    <r>
      <rPr>
        <i/>
        <vertAlign val="superscript"/>
        <sz val="9"/>
        <color rgb="FF000000"/>
        <rFont val="Times New Roman"/>
        <family val="1"/>
      </rPr>
      <t>k</t>
    </r>
    <r>
      <rPr>
        <sz val="9"/>
        <color rgb="FF000000"/>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</si>
  <si>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color rgb="FF000000"/>
        <rFont val="Times New Roman"/>
        <family val="1"/>
      </rPr>
      <t>l</t>
    </r>
    <r>
      <rPr>
        <sz val="9"/>
        <color rgb="FF000000"/>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</si>
  <si>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 xml:space="preserve">TABLE  III.3 </t>
  </si>
  <si>
    <t>Information on financial support mobilized through public interventions under Article 9 of the Paris Agreement in year</t>
  </si>
  <si>
    <t>a, b, c</t>
  </si>
  <si>
    <r>
      <t xml:space="preserve">Recipient </t>
    </r>
    <r>
      <rPr>
        <i/>
        <vertAlign val="superscript"/>
        <sz val="9"/>
        <rFont val="Times New Roman"/>
        <family val="1"/>
      </rPr>
      <t>c</t>
    </r>
  </si>
  <si>
    <r>
      <t>Title of the project programme, activity or other</t>
    </r>
    <r>
      <rPr>
        <i/>
        <vertAlign val="superscript"/>
        <sz val="9"/>
        <rFont val="Times New Roman"/>
        <family val="1"/>
      </rPr>
      <t>c, d</t>
    </r>
  </si>
  <si>
    <r>
      <t>Channel</t>
    </r>
    <r>
      <rPr>
        <i/>
        <vertAlign val="superscript"/>
        <sz val="9"/>
        <rFont val="Times New Roman"/>
        <family val="1"/>
      </rPr>
      <t xml:space="preserve"> c</t>
    </r>
  </si>
  <si>
    <r>
      <t>Amount mobilized</t>
    </r>
    <r>
      <rPr>
        <i/>
        <vertAlign val="superscript"/>
        <sz val="9"/>
        <rFont val="Times New Roman"/>
        <family val="1"/>
      </rPr>
      <t>c, e</t>
    </r>
  </si>
  <si>
    <r>
      <t xml:space="preserve">Amount of resources used to mobilize the support </t>
    </r>
    <r>
      <rPr>
        <i/>
        <vertAlign val="superscript"/>
        <sz val="9"/>
        <rFont val="Times New Roman"/>
        <family val="1"/>
      </rPr>
      <t>c</t>
    </r>
  </si>
  <si>
    <r>
      <t>Type of public intervention</t>
    </r>
    <r>
      <rPr>
        <i/>
        <vertAlign val="superscript"/>
        <sz val="9"/>
        <rFont val="Times New Roman"/>
        <family val="1"/>
      </rPr>
      <t>c, f</t>
    </r>
  </si>
  <si>
    <t>Type of support</t>
  </si>
  <si>
    <r>
      <t>Subsector</t>
    </r>
    <r>
      <rPr>
        <i/>
        <vertAlign val="superscript"/>
        <sz val="9"/>
        <rFont val="Times New Roman"/>
        <family val="1"/>
      </rPr>
      <t>c</t>
    </r>
  </si>
  <si>
    <r>
      <t>Additional information</t>
    </r>
    <r>
      <rPr>
        <i/>
        <vertAlign val="superscript"/>
        <sz val="9"/>
        <rFont val="Times New Roman"/>
        <family val="1"/>
      </rPr>
      <t>c, i</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</si>
  <si>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</si>
  <si>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</si>
  <si>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vertAlign val="superscript"/>
        <sz val="9"/>
        <rFont val="Times New Roman"/>
        <family val="1"/>
      </rPr>
      <t>b</t>
    </r>
    <r>
      <rPr>
        <sz val="9"/>
        <rFont val="Times New Roman"/>
        <family val="1"/>
      </rPr>
      <t xml:space="preserve">  Parties fill in a separate table for each year, namely 20XX-3 and 20XX-2, where 20XX is the reporting year.</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</si>
  <si>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</si>
  <si>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</si>
  <si>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r>
      <rPr>
        <i/>
        <vertAlign val="superscript"/>
        <sz val="9"/>
        <rFont val="Times New Roman"/>
        <family val="1"/>
      </rPr>
      <t>e</t>
    </r>
    <r>
      <rPr>
        <sz val="9"/>
        <rFont val="Times New Roman"/>
        <family val="1"/>
      </rPr>
      <t xml:space="preserve">  The face value and, on a voluntary basis, the grant-equivalent value, if applicable.</t>
    </r>
  </si>
  <si>
    <r>
      <rPr>
        <i/>
        <vertAlign val="superscript"/>
        <sz val="9"/>
        <rFont val="Times New Roman"/>
        <family val="1"/>
      </rPr>
      <t>f</t>
    </r>
    <r>
      <rPr>
        <sz val="9"/>
        <rFont val="Times New Roman"/>
        <family val="1"/>
      </rPr>
      <t xml:space="preserve">  Parties report, to the extent possible, the different amounts per financial instrument, if applicable and as available</t>
    </r>
  </si>
  <si>
    <r>
      <rPr>
        <i/>
        <vertAlign val="superscript"/>
        <sz val="9"/>
        <rFont val="Times New Roman"/>
        <family val="1"/>
      </rPr>
      <t>g</t>
    </r>
    <r>
      <rPr>
        <sz val="9"/>
        <rFont val="Times New Roman"/>
        <family val="1"/>
      </rPr>
      <t xml:space="preserve">  Region should be reported when data at country level is not available.</t>
    </r>
  </si>
  <si>
    <r>
      <rPr>
        <i/>
        <vertAlign val="superscript"/>
        <sz val="9"/>
        <rFont val="Times New Roman"/>
        <family val="1"/>
      </rPr>
      <t>h</t>
    </r>
    <r>
      <rPr>
        <sz val="9"/>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</si>
  <si>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rFont val="Times New Roman"/>
        <family val="1"/>
      </rPr>
      <t>i</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</si>
  <si>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EXCHANGE_RATE</t>
  </si>
  <si>
    <t>TABLE  III.4</t>
  </si>
  <si>
    <r>
      <t>Information on support for technology development and transfer provided under Article 10 of the Paris Agreement</t>
    </r>
    <r>
      <rPr>
        <b/>
        <vertAlign val="superscript"/>
        <sz val="12"/>
        <rFont val="Times New Roman"/>
        <family val="1"/>
      </rPr>
      <t>a</t>
    </r>
  </si>
  <si>
    <r>
      <t>Title</t>
    </r>
    <r>
      <rPr>
        <i/>
        <vertAlign val="superscript"/>
        <sz val="9"/>
        <rFont val="Times New Roman"/>
        <family val="1"/>
      </rPr>
      <t>b</t>
    </r>
  </si>
  <si>
    <r>
      <t>Recipient entity</t>
    </r>
    <r>
      <rPr>
        <i/>
        <vertAlign val="superscript"/>
        <sz val="9"/>
        <rFont val="Times New Roman"/>
        <family val="1"/>
      </rPr>
      <t>b</t>
    </r>
  </si>
  <si>
    <r>
      <t>Description and objectives</t>
    </r>
    <r>
      <rPr>
        <i/>
        <vertAlign val="superscript"/>
        <sz val="9"/>
        <rFont val="Times New Roman"/>
        <family val="1"/>
      </rPr>
      <t>b</t>
    </r>
  </si>
  <si>
    <r>
      <t>Type of support</t>
    </r>
    <r>
      <rPr>
        <i/>
        <vertAlign val="superscript"/>
        <sz val="9"/>
        <rFont val="Times New Roman"/>
        <family val="1"/>
      </rPr>
      <t>b</t>
    </r>
  </si>
  <si>
    <r>
      <t>Sector</t>
    </r>
    <r>
      <rPr>
        <i/>
        <vertAlign val="superscript"/>
        <sz val="9"/>
        <rFont val="Times New Roman"/>
        <family val="1"/>
      </rPr>
      <t>b</t>
    </r>
  </si>
  <si>
    <r>
      <t>Subsector</t>
    </r>
    <r>
      <rPr>
        <i/>
        <vertAlign val="superscript"/>
        <sz val="9"/>
        <rFont val="Times New Roman"/>
        <family val="1"/>
      </rPr>
      <t>b</t>
    </r>
  </si>
  <si>
    <r>
      <t>Type of technology</t>
    </r>
    <r>
      <rPr>
        <i/>
        <vertAlign val="superscript"/>
        <sz val="9"/>
        <rFont val="Times New Roman"/>
        <family val="1"/>
      </rPr>
      <t>b</t>
    </r>
  </si>
  <si>
    <r>
      <t>Status of measure or activity</t>
    </r>
    <r>
      <rPr>
        <i/>
        <vertAlign val="superscript"/>
        <sz val="9"/>
        <rFont val="Times New Roman"/>
        <family val="1"/>
      </rPr>
      <t>b</t>
    </r>
  </si>
  <si>
    <r>
      <t>Activity undertaken by</t>
    </r>
    <r>
      <rPr>
        <i/>
        <vertAlign val="superscript"/>
        <sz val="9"/>
        <rFont val="Times New Roman"/>
        <family val="1"/>
      </rPr>
      <t>b</t>
    </r>
  </si>
  <si>
    <r>
      <t>Additional information</t>
    </r>
    <r>
      <rPr>
        <i/>
        <vertAlign val="superscript"/>
        <sz val="9"/>
        <rFont val="Times New Roman"/>
        <family val="1"/>
      </rPr>
      <t>e</t>
    </r>
  </si>
  <si>
    <r>
      <rPr>
        <i/>
        <vertAlign val="superscript"/>
        <sz val="9"/>
        <rFont val="Times New Roman"/>
        <family val="1"/>
      </rPr>
      <t>a</t>
    </r>
    <r>
      <rPr>
        <sz val="9"/>
        <rFont val="Times New Roman"/>
        <family val="1"/>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</si>
  <si>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vertAlign val="superscript"/>
        <sz val="9"/>
        <rFont val="Times New Roman"/>
        <family val="1"/>
      </rPr>
      <t>b</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</si>
  <si>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c</t>
    </r>
    <r>
      <rPr>
        <sz val="9"/>
        <rFont val="Times New Roman"/>
        <family val="1"/>
      </rPr>
      <t xml:space="preserve">  If “other”, Parties should specify this information.</t>
    </r>
  </si>
  <si>
    <r>
      <rPr>
        <i/>
        <vertAlign val="superscript"/>
        <sz val="9"/>
        <rFont val="Times New Roman"/>
        <family val="1"/>
      </rPr>
      <t>d</t>
    </r>
    <r>
      <rPr>
        <sz val="9"/>
        <rFont val="Times New Roman"/>
        <family val="1"/>
      </rPr>
      <t xml:space="preserve">  This refers to activities that have both mitigation and adaptation components.</t>
    </r>
  </si>
  <si>
    <r>
      <rPr>
        <i/>
        <vertAlign val="superscript"/>
        <sz val="9"/>
        <rFont val="Times New Roman"/>
        <family val="1"/>
      </rPr>
      <t>e</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</si>
  <si>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 5</t>
  </si>
  <si>
    <r>
      <t>Information on capacity-building support provided under Article 11 of the Paris Agreement</t>
    </r>
    <r>
      <rPr>
        <b/>
        <vertAlign val="superscript"/>
        <sz val="12"/>
        <rFont val="Times New Roman"/>
        <family val="1"/>
      </rPr>
      <t xml:space="preserve"> a</t>
    </r>
  </si>
  <si>
    <r>
      <t>Additional information</t>
    </r>
    <r>
      <rPr>
        <i/>
        <vertAlign val="superscript"/>
        <sz val="9"/>
        <rFont val="Times New Roman"/>
        <family val="1"/>
      </rPr>
      <t>d</t>
    </r>
  </si>
  <si>
    <r>
      <rPr>
        <i/>
        <vertAlign val="superscript"/>
        <sz val="9"/>
        <rFont val="Times New Roman"/>
        <family val="1"/>
      </rPr>
      <t>a</t>
    </r>
    <r>
      <rPr>
        <sz val="9"/>
        <rFont val="Times New Roman"/>
        <family val="1"/>
      </rPr>
      <t xml:space="preserve">  Quantitative and/or qualitative information in common tabular format on measures or activities related to capacity-building support implemented or planned since their previous report, to the extent possible and as relevant.</t>
    </r>
  </si>
  <si>
    <r>
      <rPr>
        <i/>
        <vertAlign val="superscript"/>
        <sz val="9"/>
        <rFont val="Times New Roman"/>
        <family val="1"/>
      </rPr>
      <t>c</t>
    </r>
    <r>
      <rPr>
        <sz val="9"/>
        <rFont val="Times New Roman"/>
        <family val="1"/>
      </rPr>
      <t xml:space="preserve">  This refers to activities that have both mitigation and adaptation components.</t>
    </r>
  </si>
  <si>
    <r>
      <rPr>
        <i/>
        <vertAlign val="superscript"/>
        <sz val="9"/>
        <rFont val="Times New Roman"/>
        <family val="1"/>
      </rPr>
      <t>d</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</si>
  <si>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Developing countries, unspecified</t>
  </si>
  <si>
    <t xml:space="preserve">Provisioning to the Common Provisioning Fund, compartment for the European Fund for Sustainable Development Plus       </t>
  </si>
  <si>
    <r>
      <t xml:space="preserve">UA </t>
    </r>
    <r>
      <rPr>
        <vertAlign val="superscript"/>
        <sz val="9"/>
        <color theme="1"/>
        <rFont val="Times New Roman"/>
        <family val="1"/>
      </rPr>
      <t>(1)</t>
    </r>
  </si>
  <si>
    <t>Europe, regional</t>
  </si>
  <si>
    <t xml:space="preserve">TERRE VERTE - APPUI AU DEVELOPPEMENT ECOLOGIQUE INCLUSIF ET INNOVANT DU SECTEUR AGRICOLE ET FORESTIER AU MAROC </t>
  </si>
  <si>
    <t>TERRE VERTE - AL ARD AL KHADRAAOG Consolider la transition écologique créatrice d'emplois décents dans le cadre du développement agricole et forestier. Les filières agricoles durables résilientes de valorisation sont développées et des pratiques, éco-efficientes, et innovantes sont promues. Les mécanismes nouveaux de gouvernance et de coresponsabilité dans la protection, la gestion durable et la valorisation des ressources forestières sont mis en ovre.</t>
  </si>
  <si>
    <t>Tanzania</t>
  </si>
  <si>
    <t>– Budget line 14.020170.01: EUR 263,768,000.00: EFSD+ compartment.</t>
  </si>
  <si>
    <t>South of Sahara, regional</t>
  </si>
  <si>
    <t>Southern Neighbourhood contribution to the Common Provisioning Fund for the ELM legacy portfolio 2022</t>
  </si>
  <si>
    <t xml:space="preserve">COMMISSION IMPLEMENTING DECISION C(2022)9330 (adopted on 08.12.2022)  on the financing of the annual action plan in favour of the “Neighbourhood Investment   Platform (NIP) for the Southern Neighbourhood - 2022''   </t>
  </si>
  <si>
    <t>Africa, regional</t>
  </si>
  <si>
    <t>NaturAfrica Phase 1 - Overall decision</t>
  </si>
  <si>
    <t xml:space="preserve">The overall objective of the NaturAfrica initiative is to tackle biodiversity loss through restoring and protecting a network of protected areas and high value ecosystems and promoting the sustainable management of surrounding landscapes whilst creating decent incomes and jobs in green sectors for local populations. </t>
  </si>
  <si>
    <t>Philippines</t>
  </si>
  <si>
    <t>Green Economy Programme in the Philippines</t>
  </si>
  <si>
    <t>Context: The proposed intervention will support the Philippines' transition towards a circular economy and to pursue an inclusive and green recovery by unlocking the potential, the delivery and the operationalisation of the circular economy and by promoting and implementing climate change mitigation measures. The intervention will take three levels.</t>
  </si>
  <si>
    <t>Eastern Neighbourghood contribution to the Common Provisioning Fund for the EFSD+ 2021</t>
  </si>
  <si>
    <t>- budget line 14.020170.01: EUR 137 398 588 : EFSD+ compartment</t>
  </si>
  <si>
    <t>Papua New Guinea</t>
  </si>
  <si>
    <t xml:space="preserve">Forestry-Climate Change-Biodiversity (FCCB) nexus:  Our Forest, Our Future </t>
  </si>
  <si>
    <t>Climate Change, environment degradation and the loss of biodiversity are an interlinked and existential threat to PNG, Europe and the world. Unprecedented climate hazards such as frequent and intense drought, storms, heat waves, rising sea levels, and etc, cause dangerous and widespread disruption in nature and affect billions, especially those living in the most vulnerable situations.Because of PNG's high level of vulnerability, climate change action plays an important role in its policy agenda.</t>
  </si>
  <si>
    <t>Sierra Leone</t>
  </si>
  <si>
    <t>Transformational Energy Access for Sierra Leone</t>
  </si>
  <si>
    <t>Energy</t>
  </si>
  <si>
    <t>230: Energy generation, distribution and efficiency</t>
  </si>
  <si>
    <t>The action has the overall objective to: Contribute to increased generation, improved accessibility and increased use of sustainable, affordable and reliable energy. And the specific objectives : 1: To build generation and distribution infrastructure for sustainable, reliable and affordable energy and improve access to it .2: To promote the use of renewable energies, technologies and digitalization.</t>
  </si>
  <si>
    <t>Appui à la transition énergétique au Maroc - Energie verte</t>
  </si>
  <si>
    <t>Cette action, en appui à la Contribution Nationale Déterminée (CDN) du Maroc de 2021, vise à donner de la vitesse à la décarbonation de l'économie marocaine, à travers un accompagnement au verdissement de deux secteurs parmi les plus polluants : l'énergie et l'industrie. Elle s'inscrit dans la vision, définie dans le Pacte vert UE et confirmé dans le Partenariat Vert UE-Maroc, de s'associer avec les pays partenaires comme le Maroc dans la lutte contre le changement climatique et la transition verte.</t>
  </si>
  <si>
    <t>Madagascar</t>
  </si>
  <si>
    <t>PACTE VERT</t>
  </si>
  <si>
    <t>L'action PACTE VERT, co-construite avec ECHO et intégrant une approche de NEXUS «Humanitaire-Développement-Paix » (NEXUS H-D-P) envisage de contribuer au renforcement de la résilience de la population et des institutions en charge d'offrir des services face aux chocs socio-éco-climatiques dans le Grand Sud en vue d'une sécurité alimentaire et nutritionnelle accrue. L'action se déploie sur deux zones du Grand Sud de Madagascar.</t>
  </si>
  <si>
    <t>Democratic Republic of the Congo</t>
  </si>
  <si>
    <t>Unis pour l'agriculture et l'alimentation</t>
  </si>
  <si>
    <t xml:space="preserve">La présente action est proposée comme un moyen d'intervention de la coopération de l'Union européenne visant à améliorer la performance du secteur agricole en RDC. En effet, l'agriculture congolaise reste peu performante et ne parvient pas à enrayer l'insécurité nutritionnelle et alimentaire qui frappe actuellement plus de 27 millions de personnes à travers le pays. Le pays possède pourtant un potentiel agricole énorme, comptabilisant 80 millions d'hectares de terres arables et 40 millions. </t>
  </si>
  <si>
    <t xml:space="preserve">Multi-annual Action Document for the EFSD+ Technical Assistance 2022-2024 </t>
  </si>
  <si>
    <t>NDICI - Global Europe (GE) Regulation established EFSD+ and related budgetary guarantees as a means to support investments and increase access to financing in partner countries. Technical Assistance (TA) is an important part of EFSD+ that will enable implementation of budgetary guarantees in the global context. In accordance with that, Commission adopted three Decisions regarding Regional Multi-Annual Indicative Programmes (MIPs) 2021-2027 for Sub-Saharan Africa (SSA), Asia and the Pacific.</t>
  </si>
  <si>
    <t>Eastern Neighbourhood contribution to the Common Provisioning Fund for the EFSD+ compartment 2022</t>
  </si>
  <si>
    <t xml:space="preserve">COMMISSION IMPLEMENTING DECISION C(2022)9563 of 13.12.2022 on the financing of the annual action plan in favour of the NDICI Neighbourhood Investment Platform (NIP) – 2022 East . </t>
  </si>
  <si>
    <t>Turkey</t>
  </si>
  <si>
    <t>Environment and Climate Change TR2022AAP</t>
  </si>
  <si>
    <t>As a particularly climate vulnerable country, Turkey has been experiencing adverse effects from climate change and environmental degradation. Turkey's carbon-intensive economic development over the last two decades makes it critical to coordinate efforts to choose an environmentally friendly development path, while coupling climate change adaptation and mitigation efforts with global efforts. In this respect, this action aims primarily at facilitating Turkey's alignment with the EU acquis.</t>
  </si>
  <si>
    <t>Egypt</t>
  </si>
  <si>
    <t>EU Support to Food Security in Egypt</t>
  </si>
  <si>
    <t>The Action seeks to support Egypt in addressing the looming food crisis caused by the Russian war of aggression against Ukraine and the subsequent disruption of the grain (mainly wheat but also maize and sunflower) distribution channels, availability and price on the world market by increasing both the grain production and storage capacities of Egypt.</t>
  </si>
  <si>
    <t>Guatemala</t>
  </si>
  <si>
    <t xml:space="preserve">Fostering Green Transition in Petén </t>
  </si>
  <si>
    <t>Over the past 30 years, Guatemala´s biggest department Petén lost 1.5 million hectares of primary forest coverage due to the excessive expansion of agriculture and livestock, a strong immigration from the neighbouring highlands and the mismanagement of its numerous national parks and protected areas. This dramatic ecological degradation is accelerating and causes further secondary damage to water resources, soil fertility and forest diversity.</t>
  </si>
  <si>
    <t xml:space="preserve">Southern Neighbourhood contribution to the Common Provisioning Fund for the EFSD+ compartment 2022  </t>
  </si>
  <si>
    <t>C(2022)9330 of 8.12.2022 on the financing of the annual action plan in favour of the “Neighbourhood Investment Platform (NIP) for the Southern Neighbourhood - 2022".</t>
  </si>
  <si>
    <t>Somalia</t>
  </si>
  <si>
    <t>BREACH - Boosting Resilience and Adaptation to Climate Change</t>
  </si>
  <si>
    <t>150: Government and civil society</t>
  </si>
  <si>
    <t>Somalia is very susceptible to climate change and extreme weather events and its population is highly vulnerable to its effects including loss of livestock, crop failure, food and water shortages, hunger and malnutrition, disease. In combination with pervasive instability and conflict, the consequences of climate change and related recurrent shocks, put the livelihoods of millions of Somalis at risk.</t>
  </si>
  <si>
    <t>Scientific and Technological Support to Regional Centres of Excellence related to Green Transition</t>
  </si>
  <si>
    <t xml:space="preserve">Sub-Saharan Africa (SSA) is being transform by megatrends such as climate change, environmental degradation, demographic growth, conflicts and technological development. This transformation poses significant long-term challenges for SSA and demands in particular to accelerate green transitions.Science, Technology and Innovation (STI) are powerful drivers of sustainable and inclusive development. </t>
  </si>
  <si>
    <t>Peaceful and resilient borderlands</t>
  </si>
  <si>
    <t xml:space="preserve">Borderlands in Sub-Saharan Africa are often associated with conflict, violence and marginalisation. Livelihood systems and population movements tend to span beyond international borders. This Action intends to address causes of instability and conflict and to contribute to strengthened capacities on conflict prevention and mitigation by cross-border communities, as well as enabling the economic recovery and the strengthening of the resilience and social cohesion of these territories. </t>
  </si>
  <si>
    <t>Lebanon</t>
  </si>
  <si>
    <t>EU support to Lebanon's Green Agenda</t>
  </si>
  <si>
    <t xml:space="preserve">Overall the action will contribute to improving energy security and to promoting transition to energy and resource efficiency in LebanonComponent I of the action will support the uptake of renewable energy and energy efficiency equipment in public sector buildings, hence contributing to both energy transition and a more efficient provision of public services. The private sector part of the action (component II) will focus on increasing the competitiveness of Lebanese industry. </t>
  </si>
  <si>
    <t>Asia, regional</t>
  </si>
  <si>
    <t xml:space="preserve">Asia Pacific Investment Facility (APIF) </t>
  </si>
  <si>
    <t>The Asia Pacific Investment Facility, “APIF”, will contribute mainly to the advancement of the Green Deal, the Digital Agenda and the creation of jobs for sustainable growth. Investments will also contribute to the Covid-19 recovery.</t>
  </si>
  <si>
    <t>NIP - Neighbourhood Investment Platform 2022 - East</t>
  </si>
  <si>
    <t>Industry</t>
  </si>
  <si>
    <t>321: Industry</t>
  </si>
  <si>
    <t>This action is the 2022  annual  contribution  to  the Neighbourhood  Investment  Platform  (NIP) for the Neighbourhood East. The   NIP   forms   an   integral   part   of   the   European   Fund   for   Sustainable   Development  ( EFSD+ )  being  its  blending  arm  in  the  Neighbourhood  in  complementarity  of  budgetary guarantees. The  Overall  Objective  of  the  NIP  is  to  mobilise  investments in  infrastructure  in  transport, energy, environment, with a particular focus on climate change.</t>
  </si>
  <si>
    <t>Zambia</t>
  </si>
  <si>
    <t>Green Partnership and Investment Programme along the Agriculture, Forestry, Biodiversity, Water and Climate Nexus</t>
  </si>
  <si>
    <t>The action intends to promote and invest in the green recovery and sustainable growth along the Zambian part of the Greater Kavango Zambezi (KAZA) Trans-Frontier Conservation Area (TFCA). Its geographic focus will stretch from the Greater Kafue ecosystem south-west through the Luangwa Nyika corridors of Central and Eastern Zambia (thereafter the Landscape). The action will: 1) Enhance resilience of ecosystems and improve people's livelihoods based on landscape approaches.</t>
  </si>
  <si>
    <t>Ethiopia</t>
  </si>
  <si>
    <t>ETHIOPIA - Individual Measure for food crisis response and social protection in rural areas of Ethiopia</t>
  </si>
  <si>
    <t xml:space="preserve">The proposed Action addresses two major aspects of food insecurity in Ethiopia: the low availability of nutritious food and the low food accessibility by the rural poor. In terms of low food accessibility, this will be addressed by the cash/food transfer to the most vulnerable people, provided through the Rural Productive Safety Net Programme (PSNP). This is a flagship programme supported by the World Bank and several bilateral partners (including the EU and several Member States). </t>
  </si>
  <si>
    <t>Pakistan</t>
  </si>
  <si>
    <t xml:space="preserve"> ENERGY Plus: Energy for Climate Resilience in Gilgit-Baltistan and Chitral district in Khyber Pakhtunkhwa  </t>
  </si>
  <si>
    <t>The Action focuses on promoting green economic growth by increasing clean energy supply and uptake through an integrated approach aiming at reducing pressure on natural resources, enhancing biodiversity and contributing to climate change adaptation and mitigation.Pakistan is the fifth most vulnerable country to climate change (CC) and the selected project area. Gilgit Baltistan (GB) and the Chitral District, Khyber Pakhthunkhwa (KP)  is a unique mountainous biodiversity hotspot.</t>
  </si>
  <si>
    <t>Serbia</t>
  </si>
  <si>
    <t>EU support to speed up Implementation of the Green Agenda in the Republic of Serbia RS2022AAP</t>
  </si>
  <si>
    <t>This Action will promote the green agenda by improving environmental protection infrastructure and increasing institutional and stakeholder capacities for environmental protection and climate change management and mitigation by promoting Green Agenda principles. The envisaged activities will support the on-going structural reform processes in the areas of environment and climate change (chapter 27 of the EU acquis), as envisaged in the IPA III Programming Framework , Thematic Priority 1.</t>
  </si>
  <si>
    <t xml:space="preserve">NIP - Neighbourhood Investment Platform 2021 - East share contribution   </t>
  </si>
  <si>
    <t xml:space="preserve">Neighbourhood Investment Platform (NIP) 2021 East. This action is the 2021 annual contribution to the Neighbourhood Investment Platform (NIP) for the Neighbourhood East. The Overall Objective of the NIP is to facilitate additional investments in infrastructure in transport, energy, environment, with a particular focus on climate change mitigation and adaptation, and to support social and private sector development in Eastern and Southern Partner countries. </t>
  </si>
  <si>
    <t xml:space="preserve">Turkey 2022 contributions to the Common Provisioning Fund for the ELM legacy portfolio  </t>
  </si>
  <si>
    <t>Budget line 15 02 02 03.04: EUR 68 736 808</t>
  </si>
  <si>
    <t>Central America, regional</t>
  </si>
  <si>
    <t>Five Great Forests of Mesoamerica - Multicountry</t>
  </si>
  <si>
    <r>
      <t>There is a growing recognition among countries and stakeholders that joining efforts around the sustainable management and conservation of the Five Great Forests of Mesoamerica presents a unique opportunity for a paradigm shift  in which, climate, biodiversity, sustainable forestry, and human development are addressed jointly to ensure a better future</t>
    </r>
    <r>
      <rPr>
        <sz val="9"/>
        <rFont val="Times New Roman"/>
        <family val="1"/>
      </rPr>
      <t>. There are several very relevant initiatives from countries, indigenous peoples and local communities, NGOs, EU cooperation, other donors and private initatives.</t>
    </r>
  </si>
  <si>
    <t>Moldova</t>
  </si>
  <si>
    <t>EU4Recovery and Resilience</t>
  </si>
  <si>
    <t>This Action will contribute to resilient, sustainable and inclusive economic development in the Republic of Moldova (hereinafter `Moldova´) and will pave the way for a fully-fledged Green Deal for the Republic of Moldova. Proposed actions will provide support for the implementation of the following two priorities, established in the European Union  Republic of Moldova Multi Annual Indicative Programme 2021-2027.</t>
  </si>
  <si>
    <t>Western Africa, regional</t>
  </si>
  <si>
    <t>Programme d'appui aux organisations de la CEDEAO actives dans le secteur de l'énergie pour le développement du marché régional de l'élecricité et l'op</t>
  </si>
  <si>
    <t>L'objectif général du programme est de réduire les émissions de gaz à effet de serre en augmentant la part des énergies renouvelables dans le mix énergétique grâce à la mise en place et au développement du marché régional de l'électricité. L'action consiste à appuyer l'opérationnalisation du réseau interconnecté, l'accroissement de la part des énergies renouvelables dans le mix énergétique en vue de réduire les émissions de gaz à effets de serre, et la mise en place du marché régional de l'élect.</t>
  </si>
  <si>
    <t>Jordan</t>
  </si>
  <si>
    <t>EU support to Green Growth Economy in Jordan 2021- 2024</t>
  </si>
  <si>
    <t>To contribute to the development of a green, environmentally sustainable and socially inclusive post Covid-19 economy through the enhanced implementation of Jordan’s green growth strategy and action plan.</t>
  </si>
  <si>
    <t>Malawi</t>
  </si>
  <si>
    <t>Greening and Growing Malawi - Ulimi ndi Chilengedwe Malawi (UCHI)</t>
  </si>
  <si>
    <t>The Action tackles two of the major challenges that are hampering resilient transformation of economy and food systems in Malawi, namely depletion of natural resources capital and limited marketing and financial opportunities for rural farming households and agribusiness operators. It is designed around two interlinked components: (1) natural resources management, including agriculture practices along agro ecological principles, and (2) integration of farming households and agribusiness operator.</t>
  </si>
  <si>
    <t>Sustainable Aquatic and Agricultural Food Systems (SAAFS 2022)</t>
  </si>
  <si>
    <t>The Action will support the priorities of the European Consensus on Development and the United Nations 2030 Agenda for Sustainable Development.  It contributes to the overall objective of the Global Challenges Prosperity pillar to `induce progress in human development and advance the Green Deal goal of promoting climate-neutral and sustainable economic development across the SDG framework.</t>
  </si>
  <si>
    <t>Nepal</t>
  </si>
  <si>
    <t>Local Adaptation to Climate Change</t>
  </si>
  <si>
    <t xml:space="preserve">Despite the great progress that Nepal has achieved in most development indicators at national level, the rate of development is geographically unequal. The new federal structure promulgated in the 2015 Constitution presented an opportunity to tackle the disparities and create an enabling environment for economic growth. Karnali and Sudurpaschim are two of the provinces with lower Human Development Index. Nepal is the least urbanised country in Asia. </t>
  </si>
  <si>
    <t>Energie Renouvelable et Durable</t>
  </si>
  <si>
    <t>L'action est présentée dans le cadre de la Team Europe Initiative Energie Renouvelable et Durable et est développée en collaboration avec les partenaires européens en approfondissant l'avantage comparatif dont ils disposent dans les sous secteurs de l'électrification interconnectée (urbain) ou décentralisée (rural). La TEI a un impact transformatif sur la croissance, l'investissement et l'emploi, en permettant la production, le transport et la distribution d'une électricité suffisante, de qualité.</t>
  </si>
  <si>
    <t>Action Document for Supporting Decarbonisation, Climate Resilience and Energy Security in the Eastern Partnership</t>
  </si>
  <si>
    <t>The EU has supported climate policy reforms and investments by the Eastern partner countries in line with the shared commitments under the Paris Agreement, Energy Community Treaty and bilateral agreements. Within this new Action, the overall objective is to enable progress of the Eastern Partners towards climate resilience and neutrality, and strengthen their energy security, while directly responding to the needs created by the Russian war of aggression in Ukraine.</t>
  </si>
  <si>
    <t>Sustainable production and resilience building to prevent food crises</t>
  </si>
  <si>
    <t>Fonds de reserve du FED.</t>
  </si>
  <si>
    <t>Comoros</t>
  </si>
  <si>
    <t>Pacte vert et bleu - Comores Ulanga ne Maesha (PVB -CUM)</t>
  </si>
  <si>
    <t>L'action du Pacte vert et bleu  Comores (PVB-CUM)  doté d'un budget de 20, 4 M EUR pour une durée de mise en oeuvre de 6 ans, est un programme innovant et transformateur axé sur les spécificités territoriales et environnementales de l'Union des Comores. Elle vise à « renforcer la résilience environnementale et alimentaire des Comores ». Elle  contribue à adresser des problématiques environnementales et alimentaires clés, dans un Petit Etat Insulaire en Développement (PIED).</t>
  </si>
  <si>
    <t>Central African Republic</t>
  </si>
  <si>
    <t>Programme NaturAfrica RCA - protection de la biodiversité</t>
  </si>
  <si>
    <t>Le Programme Indicatif Multi-annuel (MIP) 2021-2027 de l'UE en RCA  prévoit la continuation des efforts entrepris de longue date par l'UE dans les domaines de coopération les plus stratégiques parmi lesquels figure l'appui à la Transition verte, qui comprend la gestion durable des ressources naturelles.Cette thématique est l'un des cinq grands axes de partenariat de la Commission européenne avec l'Afrique dont l'objectif est de favoriser une croissance verte basée sur la gestion durable des ressources.</t>
  </si>
  <si>
    <t>Finance for Growth</t>
  </si>
  <si>
    <t>510: General budget support</t>
  </si>
  <si>
    <t xml:space="preserve">Building a competitive, inclusive and climate-sensitive economy that responds to the needs of Tanzania's growing and young population, calls for an enabling environment with good fiscal governance and more inclusive financial markets that can mobilise and fund increased levels of investments. The Government's National Development Vision 2025 and Five Year Development Plan III (FYDP III) underline priorities such as reliable and increased financing, public financial management, good public governance. </t>
  </si>
  <si>
    <t>Myanmar</t>
  </si>
  <si>
    <t>Securing Energy Needs and Transition of Rural areas in Myanmar (SENTRUM)</t>
  </si>
  <si>
    <t>Supply and access to energy is vital to promoting economic growth, overcoming poverty, and facilitating human development. Prior to 2020, Myanmar was one of Asia's most rapidly growing economies and the share of the population having access to energy had increased considerably in recent years. However, the combined effects of the COVID-19 pandemic and the political crisis have deeply affected Myanmar's population, halting decade of progress on economic development and poverty reduction.</t>
  </si>
  <si>
    <t>Cameroon</t>
  </si>
  <si>
    <t>Paysage Vert Sud/Sud-Est Cameroun</t>
  </si>
  <si>
    <t>L'action cible deux zones spécifiques du grand paysage forestier du Sud//Sud-Est du Cameroun (10 millions d'ha) avec deux aires protégées classées au patrimoine mondial de l'humanité par l'UNESCO. En zone 1, la Réserve de Faune du Dja (longtemps supportée par ECOFAC/UE) ainsi que ses communes périphériques du Haut Nyong (Est) et du Dja et Lobo (Sud). En zone 2, le Parc National de Lobéké (supporté par la KfW-l'AFD/FTNS et l'UE) ainsi que ses communes périphériques de la Boumba et Ngoko (Est).</t>
  </si>
  <si>
    <t>Mozambique</t>
  </si>
  <si>
    <t>National Control Centre for Energy</t>
  </si>
  <si>
    <t>220: Communications</t>
  </si>
  <si>
    <t>The country has set ambitious targets for its energy sector: by 2030, universal access as well as 62% of renewable energy in the energy mix, and 20% of solar and wind generation in 2043. However, these targets are hampered by the fact that Mozambique does not have an appropriate control of its electricity grid. The Mozambican power grid currently comprises two independent and unconnected sub-grids, a southern grid and a grid in central and northern Mozambique.</t>
  </si>
  <si>
    <t>Kosovo</t>
  </si>
  <si>
    <t>EU for Environment and Green Energy - XK2022AAP</t>
  </si>
  <si>
    <t>The overall objective of the Action is to contribute to the gradual transition of the energy sector towards decarbonisation and further energy efficiency, fostering an integrated waste management system and transition to a circular economy in Kosovo and improvement of wastewater collection and treatment services. The Action targets improvement of environmental protection, good governance, gender equality and women's and girl's empowerment.</t>
  </si>
  <si>
    <t>Eastern Africa, regional</t>
  </si>
  <si>
    <t>EU Regional project to provide durable solutions for the Burundian refugee crisis in the Great Lakes Region</t>
  </si>
  <si>
    <t>720: Emergency response</t>
  </si>
  <si>
    <t>The regional Action follows the global commitments that the EU abides by and supports, notably in terms of the roll-out of the Comprehensive Refugee Response Framework (CRRF) and its support to various partners working on durable solutions through funding received from the EU Trust Fund for Africa (EUTF) and national funding mechanisms. Migration and forced displacement are among the key priorities for the next EU programming period.</t>
  </si>
  <si>
    <t>Support to climate change strategy and environment protection in Libya</t>
  </si>
  <si>
    <t xml:space="preserve">Libya is heavily susceptible to the impacts of climate change. Projected increases in temperatures, increased frequency and intensity of extreme weather conditions, declining precipitation, and rising sea levels threaten the sustainability of water supplies and pose an existential risk to coastal population centres, where around 70 per cent of the country's people reside. Climate change is compounding water scarcity, thereby reducing water availability for agricultural and domestic consumption. </t>
  </si>
  <si>
    <t>Nigeria</t>
  </si>
  <si>
    <t xml:space="preserve">Education and Youth Empowerment in Northern Nigeria (EYEPINN) </t>
  </si>
  <si>
    <t>The proposed action is a basic education programme intended to support the government to ensure &amp;nbsp improved access to inclusive and equitable quality education and skill development, (especially for girls) in rural, underserved communities of the north western Nigeria,  Jigawa, Kano, and Sokoto States. The government will also be assisted to plan and implement good policies for good governance of the sector. The programme will be implemented through integrated multisectorial approach.</t>
  </si>
  <si>
    <t>Rural development programme</t>
  </si>
  <si>
    <t>Programme designed to contribute to the sustainable adaptation of the agricultural sector and rural areas and to the country's preparation for the implementation of the acquis communautaire concerning the CAP and related policies.</t>
  </si>
  <si>
    <t xml:space="preserve">Eastern Neighbourhood contribution to the Common Provisioning Fund for the ELM legacy portfolio 2022  </t>
  </si>
  <si>
    <t xml:space="preserve">C(2022)9563 of 13.12.2022 on the financing of the annual action plan in favour of the NDICI Neighbourhood Investment Platform (NIP) – 2022 East.  </t>
  </si>
  <si>
    <t>Sustainable Urban Mobility and Reliable Transport (SUMART) TR2022AAP</t>
  </si>
  <si>
    <t>The ultimate goal of this Action is to encourage, improve and facilitate the efforts put forward by Turkish municipalities in their increasingly crucial role of pursuing sustainable and smart urban mobility services across city jurisdictions. It will be done by blending EU grants with a loan programme by by the French Development Agency (AFD). This AD combines an EU grant financing of EUR 15,000,000 with loans amounting to EUR 200 000 000. The grant financing will be implemented by the AFD.</t>
  </si>
  <si>
    <t>Caribbean, regional</t>
  </si>
  <si>
    <t>Caribbean Resilience Program</t>
  </si>
  <si>
    <t>The Caribbean Resilience Program is the second programme of the multiannual pipeline of AAPs under the Priority Area 1 Caribbean-EU Partnership for a Green Deal. The EU-Caribbean Partnership on the Green Deal pursues the implementation of the external dimensions of both the Green Deal and of the EU Adaptation Strategy, as well as the EU Action Plan on the Sendai Framework for Disaster risk reduction.The Overall Objective (Impact) of this action is to contribute to reduce the impact of disaster.</t>
  </si>
  <si>
    <t>Lesotho</t>
  </si>
  <si>
    <t>Renewable Lesotho</t>
  </si>
  <si>
    <t>The European Union's cooperation strategy with Lesotho, the Multi-Annual Indicative Programme (MIP) 2021-2027, focusses on two priority areas: (1) green and resilient economy and (2) good governance, peaceful and just society. Under the first priority area, EU cooperation aims to facilitate Lesotho's move towards a circular economy that becomes increasingly sustainable and self-sufficient with regard to energy generation and consumption and that provides affordable access for all to energy and water.</t>
  </si>
  <si>
    <t>Accelerating the global transition to a green and circular economy</t>
  </si>
  <si>
    <t>The action 'Accelerating the global transition to a green and circular economy' is aligned with EU's leadership in global efforts to transform the economy, achieve climate neutrality, contribute to halting biodiversity loss, and fighting pollution. It comprises three components: 1. Support to the Partnership for Action on the Green Economy (PAGE)  2. Support to the Global Green Growth Knowledge Partnership (GGKP)  and 3. Support to the Green Economy Coalition (GEC).</t>
  </si>
  <si>
    <t>AAP 2022 - Advancing Climate Adaptation in the Southern Mediterranean (ACA-MED)</t>
  </si>
  <si>
    <t>The Mediterranean region has been identified as a climate change hotspot, warming 20% faster than the global average, causing a wide range of negative impacts on the environment, the availability of food and water, human health, and security. In urban areas, climate change carries even more severe consequences, given the population density. In the Mediterranean, in 2018, 60% of the people already lived in urban areas, and continued urbanisation trends are expected to further exacerbate the climate.</t>
  </si>
  <si>
    <t>MERCIM - Melhorando a Resiliência Climática em Mozambique +</t>
  </si>
  <si>
    <t>Mozambique is a petri dish of climate change. It is a large, growing, resource- and biodiversity-rich country where magnitude and impact of climate shocks have become so enormous over last few decades to make any further hesitations or delay of decisive interventions untenable. The increasingly frequent and devastating cyclones, the longer and more extensive droughts, recurrent floods and erratic rain patterns are marring Mozambique's development potential.</t>
  </si>
  <si>
    <t>Peru</t>
  </si>
  <si>
    <t>Sustainable Business - A Circular, Inclusive Economy</t>
  </si>
  <si>
    <t>The integration of sustainable practices in the economic system, industry and agro-livestock sectors is still incipient and Peru lacks a national strategy or formal green growth or Circular Economy plan. Still, Peru laid the foundations for embarking on a green growth agenda, strengthening its policy and regulatory frameworks, with: Guidelines for Green Growth (2016) (Ministry of Environment).</t>
  </si>
  <si>
    <t>Azerbaijan</t>
  </si>
  <si>
    <t xml:space="preserve">Investment and Resilience Facility for Azerbaijan </t>
  </si>
  <si>
    <t>This Action seeks to support Azerbaijan in the development of a green, sustainable and inclusive economy, and it will promote resilient, gender-equal and community-driven society in the country. It aims to advance the implementation of the Economic and Investment Plan, including its flagship projects and beyond, to enhance sustainable investments capacity, particularly in green and digital, and contribute to overall socio-economic recovery of the country.</t>
  </si>
  <si>
    <t>Mauritania</t>
  </si>
  <si>
    <t>Accès abordable à une électricité propre et renouvelable</t>
  </si>
  <si>
    <t>Bien que l'accès à l'énergie constitue une priorité stratégique de la Mauritanie, l'électricité reste aujourd hui une des premières entraves au développement économique et social du pays avec un taux global d'accès à l'électricité bas (48%), avec une forte inégalité d'accès entre le milieu urbain (82%) et le milieu rural (6%), un coût de production élevé lié en grande partie à la dépendance vis-à-vis de l'énergie fossile, un réseau électrique peu développé et une faible intégration des énergies.</t>
  </si>
  <si>
    <t>CLIMA.A - ACTIONS UNDER THE INDIVIDUAL MEASURE FOR CLIMA.D - NDICI COMMITTEE - AAP 2022 GC PLANET - C(2022)8146</t>
  </si>
  <si>
    <t xml:space="preserve">EU Regional support to the Great Green Wall -  Great Green Wall Knowledge for Action (GGW-K4A) Programme </t>
  </si>
  <si>
    <t>The Great Green Wall (GGW) is a lighthouse African initiative to regreen the Sahel from Senegal to Somalia. The GGW has ambitions to become a comprehensive rural development and sustainable land management initiative, aiming to transform the lives of Sahelian populations by supporting a mosaic of green and productive landscapes. It leverages a diversity of projects, with the potential to contribute to several EU and African objectives, including on those pertaining to food security.</t>
  </si>
  <si>
    <t>West Bank and Gaza Strip</t>
  </si>
  <si>
    <t>Fostering Sustainable Economic Development</t>
  </si>
  <si>
    <t>730: Reconstruction relief and rehabilitation</t>
  </si>
  <si>
    <t>The action will contribute to digital transformation and green transition of the Palestinian economy, help expand Palestinian trade and investment as well as provide access to finance to allow Palestinian businesses to grow. The intervention will act as a stimulus package to key high-growth economic sectors, including digital and green, it will help the PA with policies and assist businesses to unlock trade and investment and it will also ease access to finance particularly for vulnerable groups.</t>
  </si>
  <si>
    <t>Georgia</t>
  </si>
  <si>
    <t>Support to the Implementation of the Deep and Comprehensive Free Trade Area and Small and Medium Enterprise Development in Georgia</t>
  </si>
  <si>
    <t>Georgia and the European Union (EU) maintain a close relationship with a far-reaching Association Agreement, including a Deep and Comprehensive Free Trade Area (DCFTA). The EU is the main trade partner of Georgia. Around 21% of its trade takes place with the EU. Following the year 2020 of pandemic-related contraction, the economy started to rebound strongly thanks to an overall increase in tourism and remittances inflows. This rebound is, however, impacted by the economic effects of Russia's war.</t>
  </si>
  <si>
    <t>Access to self-sufficient water services</t>
  </si>
  <si>
    <t>This Action intends to operationalize its objective of supporting the PA to provide sufficient, equitable, affordable and sustainable access to safe water services for all.</t>
  </si>
  <si>
    <t>EU for Decent Life (Haya Karima) ' Combatting Multidimensional Poverty in Unprivileged Rural Areas of Egypt</t>
  </si>
  <si>
    <t>120: Health</t>
  </si>
  <si>
    <t>The Action seeks to address multidimensional poverty in rural areas in Egypt. In these areas, population is affected simultaneously by different types of hardship: scarcity of water, land and environment degradation, insufficient income, lack of professional skills and economic empowerment, inadequate basic services as healthcare and social protection.Poverty affects 29.7 % of Egyptian population, including 12 million of children. It is particularly acute in rural areas.</t>
  </si>
  <si>
    <t>Togo</t>
  </si>
  <si>
    <t xml:space="preserve">Programme de soutien au développement des agroindustries durables et la préservation des ressources naturelles </t>
  </si>
  <si>
    <t xml:space="preserve">L'agriculture togolaise est principalement une agriculture de subsistance. Afin de réduire sa dépendance aux importations alimentaires et de renforcer la croissance économique du pays, le Togo affiche clairement dans son plan national de développement (PND) son ambition d'intensifier la production et de transformer les produits de son agriculture pour créer des emplois. </t>
  </si>
  <si>
    <t>Nicaragua</t>
  </si>
  <si>
    <t>NICALERT: Disaster risk reduction with a focus on disaster prevention and preparedness in Nicaragua</t>
  </si>
  <si>
    <t>The action will improve or establish disaster preparedness (DP) mechanisms, prevention, early warning systems (EWS) and climate change adaptation measures. Under the principle of leave no one behind, NICALERT will address the climate change impacts on the socio-economic rights of the following groups: women, children and youth, indigenous people, afro-descendant ethnic communities, the elderly and people with disabilities. The action will target historically neglected and isolated areas.</t>
  </si>
  <si>
    <t>EU response to the Syrian crisis: support to wastewater and water public services in Lebanon</t>
  </si>
  <si>
    <t>The Overall Objective (Impact) of this action is to contribute to an improved conservation of national water resources in Lebanon. The Specific Objective (Outcome) of this action is that Provision of essential public wastewater and water services is guaranteed for Lebanese and Refugee Populations during a period of multiple crisis affecting the Country.</t>
  </si>
  <si>
    <t>Kariba Dam Rehabilitation project (KDRP) - Reshaping of the plunge pool (PP) - 2nd phase (KDRP-PP-II)</t>
  </si>
  <si>
    <t>The purpose of this Action (KDRP-PP-II) is to allow the completion of the Action laid down in the 11th EDF Financing Agreement (FA) ZM/FED/031-570 (Kariba Dam Rehabilitation Project, KDRP).The Overall Objective of KDRP is to increase the reliability of supply and clean energy to Zambia and Zimbabwe and to minimize the risk of failure of the Kariba Dam. To do so, the project is supporting the Zambezi River Authority (ZRA) in carrying out the rehabilitation of the Kariba Dam.</t>
  </si>
  <si>
    <t>Green Economy Promotion and Diversification (GEPD)</t>
  </si>
  <si>
    <t>Through this action, the EU supports the Government's green economy agenda. Structured in two components, the action will accompany both, GRZ and the private sector, particularly young men/women led MSMEs, in achieving sustainable and inclusive economic growth and diversification, through promoting the green and digital transition, using in particular circular economy business models.</t>
  </si>
  <si>
    <t>Intra-Africa Academic Mobility Scheme V</t>
  </si>
  <si>
    <t>The Intra-Africa Academic Mobility Scheme is built on the positive experience of the related previous programmes, the Intra-ACP Academic Mobility Scheme (2010-2013) and Intra-Africa Academic Mobility Scheme I-IV (2016-2020). The action aims at further contributing to the economic, social and human development of Africa by improving the skills and competences of students, trainees and staff through learning mobility opportunities across the African continent.</t>
  </si>
  <si>
    <t>Uzbekistan</t>
  </si>
  <si>
    <t xml:space="preserve">Budget Support for the development of the Uzbekistan's agri-food sector and resilient rural livelihoods </t>
  </si>
  <si>
    <t>The overall objective of this action is to contribute to the development of a sustainable market oriented and inclusive agri-food system that will increase farm income, expand rural livelihood opportunities and enhance food security for smallholder farmers, women and the most vulnerable groups in Uzbekistan. The specific objectives are to: 1) Support the implementation framework of the agri-food development strategy, enabling inclusive development of a climate smart agri-food system.</t>
  </si>
  <si>
    <t>Greening the Palestinian Economy</t>
  </si>
  <si>
    <t xml:space="preserve">This action will further leverage opportunities provided through joint programming. Concretely, it will provide the means to further develop and implement Team Europe Initiative Sustainable Growth, Jobs and Resilience, to be led following the division of labour agreed upon amongst Member States. This action recognises that the private sector is the main leverage to generate growth and jobs supporting green transition in Palestine. </t>
  </si>
  <si>
    <t>North Macedonia</t>
  </si>
  <si>
    <t>EU for Wastewater Systems-MK2022AAP</t>
  </si>
  <si>
    <t>The Action aims at decreasing water pollution along the Vardar river basin district, in North Macedonia, while supporting transition to a green economy and addressing climate change. It will directly contribute and create synergies with the priorities of the Economic and Investment Plan and the Green Agenda for the Western Balkans. The EU financial assistance will be invested in measures for collecting and treating urban wastewaters in the municipalities of Shtip, Veles and Vinica.</t>
  </si>
  <si>
    <t>Colombia</t>
  </si>
  <si>
    <t>Forests for Biodiversity, Climate and Peace in Colombia</t>
  </si>
  <si>
    <t xml:space="preserve">Colombia is the second most biodiverse country in the world, with high forest coverage (52% of land areas), home to an important part of the country's biodiversity. At the same time, in 2020, Colombia was one of the five countries with the highest loss of primary forest. The CO2 emissions of the AFOLU sector of Colombia represent 55% of all national emissions, to which the loss of forest cover is a major contributor. </t>
  </si>
  <si>
    <t xml:space="preserve">Malawi Energy Programme  - Wala Malawi </t>
  </si>
  <si>
    <t>The Action aims to advance Malawi's energy sector, ensuring it is well positioned to support the modernisation and industrialisation of the Malawian economy. It will enhance governance of the Malawi energy sector by ensuring that the reform process is well developed, legal frameworks are operationalised and energy agencies are fulfilling their respective mandates with increased efficiency and transparency. The action will be aligned to the Nationally Determined Contributions (NDC).</t>
  </si>
  <si>
    <t>Global Maritime Technology Cooperation Centres (MTCC) Network (GMN) project phase II</t>
  </si>
  <si>
    <t xml:space="preserve">In line with the external dimension of the EU Green Deal, the EU Energy &amp; Climate Diplomacy and the Initial IMO GHG Strategy and building on the achievements of the GMN project Phase I (2016-2021), the GMN Phase II project aims to support developing countries in Africa, Caribbean, and Pacific (with particular focus on Least Developed Countries (LDCs) and Small Island Developing States (SIDS)) in meeting the IMO Energy Efficiency and Initial IMO GHG Strategy targets. </t>
  </si>
  <si>
    <t>Côte d'Ivoire</t>
  </si>
  <si>
    <t>Promotion des Énergies Renouvelables et de l'Efficacité Energétique en Côte d'Ivoire (PRODEREE)</t>
  </si>
  <si>
    <t>L'Action consiste à promouvoir les Énergies Renouvelables (EnR) et l'Efficacité Energétique (EE) en Côte d'Ivoire (PRODEREE). La biomasse représente plus de la moitié de la consommation finale d'énergie de la Côte d'Ivoire, tandis que la production d'électricité repose sur le gaz (70%) et l'hydroélectricité (30%) en 2018. Le potentiel d'amélioration de l'efficacité énergétique est élevé dans tous les secteurs d'activité.</t>
  </si>
  <si>
    <t>Reducing methane emissions through an Integrated Data Approach Policy and Planning</t>
  </si>
  <si>
    <t>The objective of the action is to mobilise political will to mitigating methane emissions, by supporting the work of two UNEP-led initiatives, the Climate and Clean Air Coalition (CCAC) and the newly established International Methane Emission Observatory (IMEO) ranging from science to economics and policy and providing decision makers with the confidence to take fast action.</t>
  </si>
  <si>
    <t>Global EU Action on Sustainable Forest Management, Governance and Forest Value Chains</t>
  </si>
  <si>
    <t>The Action on sustainable forest management, governance, and forest value chains aims at taking a holistic approach to forests in line with the approach on Forest Partnerships. It will help increase the value of forests in partner countries and promiting the opportunities offered by forests in terms of socio-economic development while contributing to fighting climate change and loss of biodiversity. More specifically, the Action will foster the role of forests in the green transition.</t>
  </si>
  <si>
    <t>Tunisia</t>
  </si>
  <si>
    <t>Programme d'Appui à la Sécurité Alimentaire Durable en Tunisie</t>
  </si>
  <si>
    <r>
      <t xml:space="preserve">Cette action représente le soutien apporté à la Tunisie à travers la </t>
    </r>
    <r>
      <rPr>
        <sz val="9"/>
        <rFont val="Times New Roman"/>
        <family val="1"/>
      </rPr>
      <t>'Food and Resilience Facility'</t>
    </r>
    <r>
      <rPr>
        <sz val="9"/>
        <color theme="1"/>
        <rFont val="Times New Roman"/>
        <family val="1"/>
      </rPr>
      <t xml:space="preserve"> pour le Voisinage Sud mise en place par la Commission européenne pour aider les pays de la région à faire face à l'impact sur la sécurité alimentaire de la guerre initiée par la Russie en Ukraine depuis le 24 février 2022. L'objectif général de cette action est d'améliorer la sécurité et la souveraineté alimentaire durable de la Tunisie.</t>
    </r>
  </si>
  <si>
    <t>Rwanda</t>
  </si>
  <si>
    <t>Flood prevention and informal settlements upgrading in the City of Kigali</t>
  </si>
  <si>
    <t>The action aims make the city of Kigali more inclusive and resilient to climate change. It will seek to upgrade up to three unplanned settlements of the City of Kigali, in an approach combining social, economic and environmental angles, and provide a blueprint for replication at city scale. It will contribute to achieve the following results: Improved urban infrastructure and basic services in three neighbourhoods.</t>
  </si>
  <si>
    <t xml:space="preserve">Promoting a development approach towards internal displacement and human mobility induced by disasters, climate change and environmental degradation </t>
  </si>
  <si>
    <t xml:space="preserve">There is growing evidence that disasters, climate change and environmental degradation have a vast and increasing effect on human mobility trends worldwide, and more specifically on internal displacement and internal migration. Most persons displaced by disasters, climate change and environmental degradation degradation (predominantly women and children) remain within the borders of their homeland and are hence considered Internally Displaced Persons (IDPs) or internal (environmental) migrants. </t>
  </si>
  <si>
    <t>RDC - Production durable et résilience pour la prévention de crises alimentaires</t>
  </si>
  <si>
    <t>Fonds de Réserve du FED pour la RDC</t>
  </si>
  <si>
    <t>Algeria</t>
  </si>
  <si>
    <t>Action pour le climat' Appui à la mise en 'uvre de l'Accord de Paris par l'Algérie</t>
  </si>
  <si>
    <t>Le projet vise à accroitre la capacité de l'Algérie à contribuer à l'atténuation des émissions de gaz à effet de serre et à améliorer ses capacités d'adaptation aux effets négatifs du changement climatique avec une attention particulière aux obligations qui découlent de l'Accord de Paris sur le climat. Il élabore ainsi des approches opérationnelles, et renforcera les capacités des acteurs institutionnels concernés, pour davantage de conformité avec l'Accord de Paris.</t>
  </si>
  <si>
    <t>EU 4 Sustainable Governance and Resilience</t>
  </si>
  <si>
    <t xml:space="preserve">The Action EU 4 Sustainable Governance and Resilience contributes to the overall financial stability and socio-economic welfare of the country, thus supporting resilience against external shocks, such as the pandemic or Russia's war of aggression against Ukraine.The EU is a long standing and leading partner of Georgia in the area sustainable governance and public administration reforms. Today, Georgia's level in the management of public finances can be considered as having a strong foundation. </t>
  </si>
  <si>
    <t>European Green Deal Knowledge Hub - part II</t>
  </si>
  <si>
    <t xml:space="preserve">Second component on the  Knowledge Hub  that will support the implementaiton of the external dimension of the European Green Deal. While the first component was encompassing the technical facilities dealing with water, circular economy and sustanaible urban development, this second component covers: biodiversity and ecosystem services  agricultural and food systems, and  environment, climate, and disaster risk reduction mainstreaming. This hub will also cover NEAR countries   </t>
  </si>
  <si>
    <t>America, regional</t>
  </si>
  <si>
    <t>Green Global Challenges in Mexico</t>
  </si>
  <si>
    <t>This Action aims to address the issue under a realistic, comprehensive, strategic and innovative approach, adequately combining actions at different levels, in the short, medium and long term, that will allow the EU to work swiftly with Mexico, as equal partners on both opportunities and common challenges. The action will focus on three components: 1) relaunch of the Mexican Railway Sector, as a greener transport alternative, nationwide  2) support sustainable urban mobility actions.</t>
  </si>
  <si>
    <t>Sustainable investment climate and due diligence for more and better jobs</t>
  </si>
  <si>
    <t>This action aims at supporting the sustainability of value chains in partner countries, through increasing the capacity of actors to implement to address sustainability practices and requirements , facilitating up to date trade and market access information, increasing the traceability and transparency of the garment value chain - given its development impact as value chain - and improving the governance of the extractive sector related value chains ' with its major implications in human rights.</t>
  </si>
  <si>
    <t>Guinea-Bissau</t>
  </si>
  <si>
    <t>EU for green and inclusive cities</t>
  </si>
  <si>
    <t>This Action will follow an integrated approach, supporting policy and institutional reforms, with the participation of civil society. It will aim at improving the urban planning and management, as well as infrastructural interventions in the area of the waste system (treatment and separation centres) in Bissau and the water sector (pumping and water distribution systems) in secondary cities. These components will be associated to strong capacity building at different government levels.</t>
  </si>
  <si>
    <t>Food Production and Resilience of Food Systems  in African, Caribbean and Pacific (ACP) countries</t>
  </si>
  <si>
    <t>To enhance food production and the resilience of food systems.</t>
  </si>
  <si>
    <t>Iraq</t>
  </si>
  <si>
    <t xml:space="preserve">Sustainable Social and Economic Reintegration, and improved migration governance in Iraq </t>
  </si>
  <si>
    <t>This Action is the EU's second AAP in favour of Iraq in the 2021-2027 programming period and is financed from the Regional Multi-annual Indicative Programme (Regional MIP) specifically under the flexible incentitative mechanism foreseen under Specific Objective 3 of Priority 3 Migration, Forced displacement and Mobility. The Action aims at assisting the Government in the reintegration of displaced populations (refugees, IDPs) and returnees (including from Europe and elsewhere).</t>
  </si>
  <si>
    <t>AAP 2022 - Support to Green and Circular Economy in the Southern Neighbourhood</t>
  </si>
  <si>
    <t>The development of green and circular economies in the Southern Neighbourhood is a major objective of the New Agenda for the Mediterranean as well as under the Regional Multi-Annual Programming 2021-2024. The overall objective of this action is to support green and circular economy in the Southern Neighbourhood region focusing on the three levels of intervention: macro, meso and micro levels. This action will contribute to the achievement of the Sustainable Development Goal n°12.</t>
  </si>
  <si>
    <t xml:space="preserve">The current Action Document concerns ‘production and resilience’ component. The overall objective of this Action is to is to enhance food production and resilience of food systems. </t>
  </si>
  <si>
    <t>PRODUCTION LOCALE ET DURABLE POUR LA PREVENTION DE CRISES ALIMENTAIRES AU CAMEROUN</t>
  </si>
  <si>
    <t>Fonds de réserve du FED 11</t>
  </si>
  <si>
    <t>AguaNorte</t>
  </si>
  <si>
    <t>This Action will contribute to improve the living conditions of the population through increased access to basic services, reduction of inequalities, economic recovery and peacebuilding. It aims to increase access to sustainable safe water and sanitation services for approximately 60,000 people from selected towns in three Northern provinces of Mozambique. It encompasses the construction, rehabilitation, and/or expansion of water supply systems, the creation of demand and local market development.</t>
  </si>
  <si>
    <t>Senegal</t>
  </si>
  <si>
    <t>Restructuration du Transport Collectif de Dakar</t>
  </si>
  <si>
    <t>L'exploitation des nouvelles infrastructures et du matériel roulant moderne devra être assurée par un personnel qualifié permettant d'offrir aux habitants des services de transport attractifs. Dans ce contexte, la création d'emplois décents et formels sera réalisée par des appuis visant la professionnalisation du système de transport urbain et des formations ciblées pour le personnel actuel du transport artisanal (opérateurs privés Groupes d'Intérêt Economique- regroupés au sein de l'Association.</t>
  </si>
  <si>
    <t>Benin</t>
  </si>
  <si>
    <t>Projet d'appui au développement et aux investissements agricoles productifs au Bénin  PADIAP</t>
  </si>
  <si>
    <t>L'objectif général (impact) de cette action est d'améliorer de manière durable la productivité et la résilience climatique des filières agricoles, ainsi que les revenus des exploitations agricoles familiales dans le centre du Bénin (Borgou sud, Donga, Collines, Zou). L'objectif est relié à l'objectif de la TEI croissance durable et emploi: contribuer à la résilience economique et sociale par le développement d'un capital humain compétent et compétitif dans un tissu entrepreur.</t>
  </si>
  <si>
    <t>Armenia</t>
  </si>
  <si>
    <t>EU Support to Education in Armenia</t>
  </si>
  <si>
    <t>The Action aims to increase the competitiveness of the Armenian education system, in line with the education reforms set in the Government Programme 2021-2026 and in particular the forthcoming State Programme for Education Development of the Republic of Armenia to 2030 and its Action Plan 2022-2026. This Action supports these reforms through enhanced policy dialogue, provision of funding and technical assistance. It will focus in particular on improving the quality of STEM.</t>
  </si>
  <si>
    <t>Institutional support in the domain of the governance of road transport</t>
  </si>
  <si>
    <t>The action intends to support road transport governance in Sub-Saharan Africa. It targets transport policy and management, through consensus building on continental priorities and advocacy for the adoption of standards and regulations on one side (continental), facilitation of dialogue for exchange of good practices and concertation of efforts on the other side (regional). Both levels aim at removing hindrances to free trade and mobility.</t>
  </si>
  <si>
    <t>EU Green Connectivity Programme for Georgia</t>
  </si>
  <si>
    <t>In the early stages of political and economic transition in Georgia, high growth rates and urban expansion often took place at the expense of the environment. Today, deteriorating environmental conditions and pollution are having a direct, negative impact on the health of Georgian citizens, and environmental protection and its impact on health have become an increasing priority for the Georgian population and the Government, as illustrated by the third National Environment and Health Action Plan.</t>
  </si>
  <si>
    <t>Albania</t>
  </si>
  <si>
    <t>European Union Integration Facility  - AL2022AAP</t>
  </si>
  <si>
    <t>The main aim of this Action is to strengthen the capacity and accountability of the Albanian public administration in its preparations for EU membership. In accordance with the IPA III Programming Framework, this objective constitutes a crosscutting priority and complements administrative capacity building under other Windows in line with the sector approach. The support will be instrumental in enhancing capacities for advancing the reform process and alignment.</t>
  </si>
  <si>
    <t>Food Production and Resilience of Food Systems in the Caribbean</t>
  </si>
  <si>
    <t>In the context of the current global food security crisis exacerbated by the Russian war in Ukraine, the Action will enhance the resilience and sustainability of agri-food systems, benefiting the most vulnerable countries in the Caribbean region. The Action will include short term and medium-long term responses to help the most vulnerable cope with the crisis, while contributing to sustainable and resilient food systems at the national and regional level.</t>
  </si>
  <si>
    <t>Ghana</t>
  </si>
  <si>
    <t>Modernisation of electricity distribution network in northern Ghana</t>
  </si>
  <si>
    <t>The action contributes primarily to climate change mitigation and to economic growth in the north (Overall Objective/Impact) by fostering energy efficiency, access to energy and decreasing technical and commercial losses. The following results (outputs) are foreseen: 1. Distribution network is reinforced and rehabilitated and technical losses are reduced (supporting the energy efficiency improvement of the distribution network of NEDCo in the area of Tamale).</t>
  </si>
  <si>
    <t>Southern Neighbourhood contribution to the Common Provisioning Fund for the ELM legacy portfolio 2021</t>
  </si>
  <si>
    <t>– Budget line 14.020170.05: EUR 18,197,501.00: ELM legacy in GFEA compartment</t>
  </si>
  <si>
    <t>EU-Ghana Pact for skills</t>
  </si>
  <si>
    <t>The EU-Ghana Pact for Skills is a comprehensive programme that seeks to increase youth employment through reducing the persistent mismatch between the skills offered by training providers and the requirements of the private sector and improving employment services for an easier access to the job market. The programme thus aims to boost the creation of new careers in low-carbon and digital sectors. Formal vocational training at the secondary and tertiary level suffers from a lack of infrastructure.</t>
  </si>
  <si>
    <t xml:space="preserve">Khyber Pakhtunkhwa Rural Economic Transformation (KP-RET)  </t>
  </si>
  <si>
    <t>The Khyber Pakhtunkhwa Rural Economic Transformation Project (KP-RET) follows a request from the Government of KP and the UN International Fund for Agricultural Development (IFAD) and has been designed to address the main drivers of rural poverty and food insecurity by supporting the transformation of the rural economy of the province into an engine for inclusive and sustainable economic development. The project will foster sustainable and profitable agribusiness development.</t>
  </si>
  <si>
    <t>Sustainable energy, energy security and climate resilience in rural Armenia</t>
  </si>
  <si>
    <t>The updated Nationally Determined Contribution (NDC), the National Adaptation Plan (NAP) and the Decree on Inter-agency Climate Council adopted by the Government of Armenia (GoA) in 2021 define the green transition and climate resilience as the strategic priorities for Armenia and appoint the Deputy Prime Minister to manage the climate related policy. In line with this policy, the Ministry of Environment builds its activities on the principles of green, resilient and low carbon growth.</t>
  </si>
  <si>
    <t>Partnership to Enhance Public Finance Management and Accountability in Zambia</t>
  </si>
  <si>
    <t>After the 2021 general elections in Zambia, a new administration was elected, under the leadership of President Hakainde Hichilema. The 'new dawn' Government has expressed strong commitment to reforming the public administration, fighting corruption and upholding the rule of law. The proposed Action aims at supporting the Government to implement its planned PFM Reform Strategy, its Revenue Action Plan, and develop its Medium-Term Revenue Strategy, aiming at restoring fiscal sustainability.</t>
  </si>
  <si>
    <t xml:space="preserve">Kiwa Initiative II ' Nature-based solutions for climate resilience </t>
  </si>
  <si>
    <t>This Action represents a new phase to the existing Kiwa Initiative that is already running and in place in the Pacific Region. This additional funding will be formalised under a new, separate contract, given that it is part of the new multiannual programme. The Kiwa Initiative is a multi-stakeholder international initiative designed to increase the capacities of Pacific states and territories to adapt to the impact of climate change  and to protect, restore, and enhance biodiversity.</t>
  </si>
  <si>
    <t>Solomon Islands</t>
  </si>
  <si>
    <t>LoCAL Climate Resilience Financing Mechanism in the Solomon Islands</t>
  </si>
  <si>
    <t>As a Small Islands Developing State (SIDS), the Solomon Islands are highly vulnerable to climate change. Changing weather patterns affect communities in different ways, including loss of agricultural production and food security, water stress and insecurity, rising sea levels and exposure to climate disasters, changes to ecosystems and loss of biodiversity, and human health.</t>
  </si>
  <si>
    <t>Support agricultural diversification, value addition and commercialization in Malawi</t>
  </si>
  <si>
    <t>The intervention will increase resilience of food systems to shocks of different nature, by promoting production along agro-ecological principles, reducing dependence on inorganic fertilizers and diversifying production base.</t>
  </si>
  <si>
    <t>Contribution to Phase III of the Covenant of Mayors in Sub-Saharan Africa</t>
  </si>
  <si>
    <t xml:space="preserve">The proposed action aims at enhancing climate adaptation and resilience in Sub-Saharan Africa by providing &amp;nbsp additional support to the Covenant of Mayors (CoM) in Sub-Saharan Africa (SSA).The initiative has clear political prominence, highlighted recently at COP 26 in Glasgow. The final document emphasised the role of local governments, which are key enablers of the Covenant of Mayors (CoM) initiative.The Action will also provide additional funding to the ongoing phase III of the CoM SSA. </t>
  </si>
  <si>
    <t>Food production and resilience of food systems in Mozambique</t>
  </si>
  <si>
    <t>EU support to the most vulnerable and exposed ACP countries hit by the consequences of the Russia’s war of aggression against Ukraine.</t>
  </si>
  <si>
    <t>Réponse à la crise alimentaire et au choc économique consécutifs à l'agression Russe contre l'Ukraine : Top Up au projet Agropole Centre</t>
  </si>
  <si>
    <t xml:space="preserve">Production agro-industrielle durable et résiliente pour la prévention des crises alimentaires. </t>
  </si>
  <si>
    <t>EU-Ghana partnership for sustainable Cities ' phase 1</t>
  </si>
  <si>
    <t>Through the implementation of the Joint Programming Ghana 2021-2027, the EU will support the development of more sustainable and inclusive cities.Unplanned spatial expansion of urban and metropolitan areas and their limited integration within and across Ghana's regions is a challenge to economic efficiency. It increases social and environmental costs, inadequate and unequal access to basic services, health risks and ecological damages.</t>
  </si>
  <si>
    <t>Sri Lanka</t>
  </si>
  <si>
    <t>Promoting Circular Economy in the Food Sector</t>
  </si>
  <si>
    <t>The Action is part of EU's response to the economic crisis in Sri Lanka and will contribute to promotion of a circular economy in the food sector.In response to the economic and food crisis in the short and medium-term, the Action will support initiatives that increase food availability for vulnerable people through more efficient distribution channels/mechanisms avoiding food waste and/or convert food waste into much needed farming inputs (organic fertiliser, animal feed).</t>
  </si>
  <si>
    <t>Programme d'appui aux organisations spécialisées de la CEEAC pour l'opérationnalisation du marché régional et le développement des énergies renouvelab</t>
  </si>
  <si>
    <t>L'action consiste à appuyer la mise en place du marché régional de l'électricité en Afrique centrale en opérationnalisant le marché regional et en augmentant la part des énergies renouvelables dans le mix énergétique en vue de réduire les émissions de gaz à effets de serre. Elle soutiendra le développement de l'infrastructure de production et du transport de l'électricité, la mise en place du marché régional intégré (construction d'infrastrutures et développement des cadres réglementaires).</t>
  </si>
  <si>
    <t>South Africa</t>
  </si>
  <si>
    <t xml:space="preserve">Partnering for Impact </t>
  </si>
  <si>
    <t>This action will contribute to all specific objectives of priority area 3 'Partnerships' of the&amp;nbsp Multi-annual indicative programme (MIP) 2021-2027. The MIP explains in detail the special relationship between South Africa (SA) and the European Union, formalised in the Trade, Development and Cooperation Agreement (TDCA), the EU-SADC Economic Partnership Agreement (EPA) and the fact that South Africa is the EU's only strategic partner on the African continent.</t>
  </si>
  <si>
    <t>Initiative to support public-private dialogue and business cooperation within the EU-AU Partnership</t>
  </si>
  <si>
    <t>The proposed action will aim to contribute to EU-Africa economic integration, encourage sustainable investment and deepen the EU-Africa Partnership, through the establishment of a more continuous platform for public-private dialogue and Business to Business (B2B)/ Business to Government (B2G)/networking between EU and African public and private stakeholders, using the EU-Africa Business Forum (EABF) structure ('the action').Since 2006, the EABF has been a major business forum preceding the AU-EU.</t>
  </si>
  <si>
    <t xml:space="preserve">Bridging Inequalities through greener municipal services </t>
  </si>
  <si>
    <t>The underlying intervention logic for this action is to contribute to South Africa's efforts to tackle inequality and SA's energy transition through improved delivery of service that have an impact on climate, environmental and gender targets. The action aims to do this by providing direct support and capacity building to municipalities, districts, and institutions that support local authorities, including on energy and water efficiency, waste management and transport, gender responsive service.</t>
  </si>
  <si>
    <t xml:space="preserve">EU Integration Facility, including EU support for the participation of IPA III beneficiaries in EU Agencies and Technical Assistance and Information </t>
  </si>
  <si>
    <t>The action aims to facilitate progress in key areas of needed reforms required by the Western Balkans and Turkey to comply with Union's values, and their alignment with the Union's rules, standards and practices in the relevant areas. It includes three main areas of support:1) EU Integration Facility: The specific objective is to support flexible, preparatory/pilot actions that address specific priority and urgent/unforeseen needs in the region, including interventions in the context of the COVID.</t>
  </si>
  <si>
    <t>Tajikistan</t>
  </si>
  <si>
    <t>Rural Drinking Water Supply and Sanitation Project</t>
  </si>
  <si>
    <t>The Action Rural Drinking Water Supply and Sanitation Project is envisaged to be implemented during the period 2023-2027 and will focus on drinking water supply, sanitation and hygiene in rural areas of Khatlon province, paying special attention to upgrading WASH conditions in schools and hospitals. It will combine support at the institutional level for implementing and coordinating the water supply and sanitation reform agenda with the local-level aimed at delivering improved services.</t>
  </si>
  <si>
    <t>Botswana</t>
  </si>
  <si>
    <t xml:space="preserve">Accelerating Sustainable and Productive Investment in Renewable Energy &amp; Efficiency </t>
  </si>
  <si>
    <t>Botswana's Total Primary Energy Supply (TPES) is largely based on fossil fuels (oil products and coal), complemented by waste to energy and biomass (the last one used in a traditional way, mainly for cooking). Electricity production relies on two major coal-fired power plants, a number of diesel generation units and cross-border imports from South Africa via the Southern African Power Pool. All this is so despite a considerable potential for renewable energy, most notably solar energy, wind energy.</t>
  </si>
  <si>
    <t>Dominican Republic</t>
  </si>
  <si>
    <t>Transition to a greener and more inclusive economy</t>
  </si>
  <si>
    <t>The Sector Reform and Performance Contract (SRPC) on `Transition to a greener and more inclusive economy', intends to support the implementation of the priorities of Dominican Republic's sector policies related to public finance management &amp;amp  business climate (including green public finance management -PFM-), micro, small and medium sized enterprises 'MSME- development and clean production practices / circular economy of MSMEs, in line with sectoral policies declined in the main planning document.</t>
  </si>
  <si>
    <t>EU Support to Agriculture Value Chain Facility (EU VACE) NG</t>
  </si>
  <si>
    <t>The Overall Objective (Impact) of this action is to contribute to the sustainable socio-economic development of Nigeria. The Specific Objective (Outcome) of this action is to support the development of climate-smart agri- (aqua) culture and sustainable transformation of Agri-SMEs in selected value chains, with a view to creating decent job alternatives for young people including addressing causes of irregular migration.</t>
  </si>
  <si>
    <t>Bangladesh</t>
  </si>
  <si>
    <t>Partnership for Green Energy Transition in Bangladesh</t>
  </si>
  <si>
    <t>The Action aims to support the Government of Bangladesh to reduce GHG emissions, hence to achieve the NDC targets. This will be done through addressing policy and regulatory framework implementation gaps, ultimately promoting and facilitating relevant reforms for renewable energy and energy efficiency, technology and knowledge sharing, and facilitating investments to expand the generation of power through renewable energy.</t>
  </si>
  <si>
    <t>Congo</t>
  </si>
  <si>
    <t>Programme de promotion des énergies renouvelables et de l'électrification rurale en République du Congo</t>
  </si>
  <si>
    <t>L'objectif général de l'Action est de contribuer à la réduction des émissions de gaz à effet de serre en République du Congo. Les objectifs spécifiques sont i) l'amélioration du positionnement des acteurs publiques et privés (associations, institutions internationales, secteur privé) sur le marché des énergies renouvelables et du bois-énergie et ii) l'amélioration de l'accès aux énergies renouvelables et aux pratiques énergétiques durables dans les milieux ruraux ciblés par l'UE.</t>
  </si>
  <si>
    <t>One Stop Shop for Green Energy Investments</t>
  </si>
  <si>
    <t xml:space="preserve">The action aims to boost private investments in green energy by offering a credible and skilled platform (One-Stop-Shop  OSS) bringing together finance providers and finance seekers (investors) so as to facilitate and scale up clean energy investment projects. The One-Stop-Shop will thus act as a single access point to European support and financing instruments which promote clean energy solutions in Sub-Saharan Africa. </t>
  </si>
  <si>
    <t>Building Opportunities for Refugee and Host Community Self-Reliance</t>
  </si>
  <si>
    <t xml:space="preserve">This Action builds on programmes previously funded under the EU Trust Fund for Africa ' Horn of Africa window', supporting refugees and host communities in Kenya. As outlined in the multi-annual indicative programming for Kenya, support to the most vulnerable is key to unlocking the country's full development potential. This sector falls under priority area 3: Democratic Governance, Peace and Stability ' with the specific objective of `Improved access to services and protection for communities. </t>
  </si>
  <si>
    <t>Sustainable Finance Advisory Hub Coordinating technical assistance on sustainable finance</t>
  </si>
  <si>
    <t>This action will aim to support our partner countries in building a conducive environment for sustainable finance in coherence with EU and international practices so as to contribute to global interoperability and help redirecting international capital flows from where it sits to where it is the most needed. The action will also support the coordination of technical assistance activities on sustainable finance by our implementing partners ensuring an EU harmonised high quality offer/support.</t>
  </si>
  <si>
    <t>Food Production and Resilience of Food Systems in Mauritania</t>
  </si>
  <si>
    <t>Composante MAURITANIE de l'AD ''Food Production and Resilience of Food Systems in African, Caribbean and Pacific (ACP) countries''.</t>
  </si>
  <si>
    <t>Chad</t>
  </si>
  <si>
    <t>NaturA Tchad</t>
  </si>
  <si>
    <t xml:space="preserve">Le Tchad a fait des progrès importants depuis 2010 en matière de conservation de la biodiversité (faune et flore sauvage) à l'échelle mondiale avec l'appui de l'UE. Le Tchad a maîtrisé le grand braconnage d'ivoire, a assuré la stabilité dans le parc national de Zakouma (aire protégée emblématique de la sous-région ainsi qu'au niveau mondial) où des espèces phares sont aujourd'hui bien protégées et certaines réintroduites ou prévues de l'être. </t>
  </si>
  <si>
    <t>Paraguay</t>
  </si>
  <si>
    <t>Forest4life Paraguay</t>
  </si>
  <si>
    <t>Despite more than ten years of sustained economic growth (average of 4.4%), Paraguay still faces a number of economic and social challenges, which have been further exacerbated by the COVID-19 pandemic. The level of inequality remains amongst the highest on the continent, while informality and poor diversification of the economy hamper sustainable and inclusive development. Paraguayan economy has been based on extensive use of its abundant natural resources.</t>
  </si>
  <si>
    <t>Improving Economic Governance in Sub-Saharan Africa</t>
  </si>
  <si>
    <t>The Action will promote economic governance in Sub-Saharan Africa by leveraging the expertise of IMF's network of five Regional Capacity Development Centres (RCDCs) and the Africa Training Institute (ATI) based in Sub-Saharan Africa (SSA), which provide hands-on capacity development (CD) support to IMF member countries in the region to modernize institutions and train officials. Jointly financed by the IMF, development partners and beneficiary countries, the RCDCs and ATI are demand-oriented.</t>
  </si>
  <si>
    <t>Contribution of the European Union to the budget of the Energy Community. This contribution stems from an international treaty</t>
  </si>
  <si>
    <t>Develop a legislative framework based on EU Acquis in the areas of energy, environment and competition in the Balkans, allowing the creation of a regional energy market.</t>
  </si>
  <si>
    <t>Guyana</t>
  </si>
  <si>
    <t xml:space="preserve">Guyana Mangroves budget support </t>
  </si>
  <si>
    <t>Capitalising on previous EU support to mangrove protection and management in Guyana, this action will further continue in this area by supporting institutional inter-agency coordination and the development of regulations to conserve and protect mangroves. These measures will lead to an integrated coastal protection plan focussed on mangroves, while shoreline communities will be assisted with development of value chains for such mangrove products (e.g. honey, shellfish, charcoal and eco-tourism).</t>
  </si>
  <si>
    <t>China (People's Republic of)</t>
  </si>
  <si>
    <t xml:space="preserve">Support for the EU's Environmental and Energy Policy and Effective Multilateralism in China </t>
  </si>
  <si>
    <t>This Action is aligned with the priorities identified in the China section of the Regional Multi-Annual Indicative Programming Asia and the Pacific 2021-2027, namely: Promote European values and interests in the bilateral relations with China, in line with the multi-faceted approach outlined in the `Strategic Outlook' Joint Communication Engage China to tackle global challenges.</t>
  </si>
  <si>
    <t xml:space="preserve">Blue Africa </t>
  </si>
  <si>
    <t>Africa's future long-term water agenda is associated with Agenda 2063 `The Africa We Want' and especially Aspiration #1 'A Prosperous Africa, based on Inclusive Growth and Sustainable Development', within which Water Security[1] is a Priority Area. The 2021 African Heads of State responded to COVID in the Green Recovery Action Plan of the African Union (AU), which defines their action on water under two long-standing political instruments  namely the Africa Water Vision 2025.</t>
  </si>
  <si>
    <t>Niger</t>
  </si>
  <si>
    <t>Projet de renforcement des réseaux de distribution et d'amélioration de l'accès à l'électricité (PREDAC)</t>
  </si>
  <si>
    <t xml:space="preserve">Pays sahélien fortement pénalisé par son enclavement et des conditions agro-climatiques difficiles, le Niger figure parmi les pays les plus pauvres du monde avec un revenu par habitant de 566 USD en parité de pouvoir d'achat, et un indice de développement humain qui le place, en 2020, en dernière position sur 189 pays, reflet d'une situation sociale préoccupante : espérance de vie de 62 ans, taux d'alphabétisation de 19%, et 75% de la population vivant avec moins de 2 USD/j. </t>
  </si>
  <si>
    <t>Projet multi-centres d'alimentation en eau potable de la ville de Téra à partir de Gothèye</t>
  </si>
  <si>
    <t xml:space="preserve">Le taux d'accès à l'eau potable au Niger reste très faible avec des grandes disparités ' en effet, environ 50% de la population rurale a l'accès à l'eau potable, contre un taux de desserte de 86% en milieu urbain. En plus, des disparités assez fortes sont aussi constatées entre et au sein des régions en milieu rural. L'accès à l'eau potable est essentiel pour le développement, et son manque a des conséquences graves sur la santé, la nutrition, l'éducation et le développement économique. </t>
  </si>
  <si>
    <t>European Union Assistance to Uzbekistan in Green Transition and Growth</t>
  </si>
  <si>
    <t>The Action will consist of two areas of interventions and will aim to a single objective the post-COVID economic recovery and the transition to a sustainable, socially just, resilient and climate neutral economy in Uzbekistan. Hence, it will support the country to decouple economic growth from environmental and climate degradation. To that end, the Action will finance the capacities, tools and coordination mechanisms necessary to lay the groundwork for a green growth strategy.</t>
  </si>
  <si>
    <t>EU response to the food security crisis and economic shock in ACP countries following Russia's war of aggression against Ukraine</t>
  </si>
  <si>
    <t>520: Developmental food aid/Food security assistance</t>
  </si>
  <si>
    <t>Special measures financed from 10th EDF decision decommitted funds. EU contribution in favour of most vulnerable ACP countries hit by the consequences of Russia’s war of aggression against Ukraine via the IMF’s Poverty Reduction &amp; Growth Trust Fund.</t>
  </si>
  <si>
    <t>Production durable et renforcement de la résilience pour prévenir les crises alimentaires</t>
  </si>
  <si>
    <t>Fonds de réserve du FED</t>
  </si>
  <si>
    <t>Oceania, regional</t>
  </si>
  <si>
    <t>Boosting sustainable food production in the Pacific</t>
  </si>
  <si>
    <t>The action will assist PICs to pursue their objective to transition to a green and blue economy. It will contribute to increasing climate-resilient green food production while sustaining the natural resource base in coastal and atoll communities. It will do so by promoting agro-ecology and organic regenerative farming systems, agroforestry and circular water-agriculture systems, and by strengthening the food/water/energy nexus.</t>
  </si>
  <si>
    <t>AFAFI Centre - TOP UP 2022</t>
  </si>
  <si>
    <t>Ressources désengagées des 1ème et 1a 1ème FED pour des actions en faveur de productions alimentaires accrues et de systèmes alimentaires plus résilients.</t>
  </si>
  <si>
    <t>Boosting sustainable food production in Kenya (BSFPK)</t>
  </si>
  <si>
    <t>The proposed action aims at promoting improved agricultural production through promotion of sustainable agricultural practices (more specifically Conservation Agriculture), and providing subsidized agricultural inputs, technologies and services. An estimated 40,000 beneficiaries are the target, and it is envisaged that this can be executed over a 30-month period with a €10 million budgetary allocation. The action will build on previous successful interventions under the 10th and 11th EDF.</t>
  </si>
  <si>
    <t>Food Production and Resilience of Food Systems in African, Caribbean and Pacific (ACP) countries - Ghana component</t>
  </si>
  <si>
    <t>The proposed action will promote crop-specific, agro-ecological systems and support the sustainable development of a select number of agribusiness value chains, including shea, soybean, beekeeping and vegetables.</t>
  </si>
  <si>
    <t>Programme d'Appui au Secteur Privé pour la Responsabilité Sociétale des Entreprises et les initiatives numériques</t>
  </si>
  <si>
    <t>L'action a pour objectif général de contribuer à la création d'emplois décents et aux investissements durables.Elle s'articule autour de deux objectifs spécifiques qui donneront lieu à deux composantes: 1. Intégration de la Responsabilité Sociale des Entreprises (RSE) dans le business model des entreprises : (i) en améliorant le cadre légal et règlementaire, (ii) en accompagnant les entreprises au développement et à la mise en 'uvre de politiques de RSE optimale.</t>
  </si>
  <si>
    <t>Bosnia and Herzegovina</t>
  </si>
  <si>
    <t>EU4 Environment and Climate Change - BA2022AAP</t>
  </si>
  <si>
    <t>The country joined international efforts in combating climate change by becoming a party to the UN Framework Convention on Climate Change. This Action is to support Bosnia and Herzegovina in its efforts to undertake further steps to mitigate and adapt to the climate change. By preparing the study on the EU Emission Trading Scheme in BiH (EU ETS), intervention is fully linked with the Green Agenda for the Western Balkans.</t>
  </si>
  <si>
    <t>Boost sustainable production for food security  EDF-2022</t>
  </si>
  <si>
    <t>Allocation of funds decommitted from projects under the 10th and 11th European Development Funds for the purpose of financing actions addressing the food security crisis and economic shock in African following Russia-Ukraine war.</t>
  </si>
  <si>
    <t>Sécurité Alimentaire - renforcement du Secteur Vivrier en Côte d'Ivoire</t>
  </si>
  <si>
    <t>Accompagner les producteurs à renforcer la production vivrière en capitalisant sur les infrastructures/facilités mises en place par le Programme d'appui au secteur vivrier en Côte d'Ivoire (FED/2016 / 039-093 ).</t>
  </si>
  <si>
    <t>Sustainable Aviation Fuels eligible for Carbon Offsetting and Reduction Scheme for International Aviation (CORSIA) - GLOBAL</t>
  </si>
  <si>
    <t>At international level, Sustainable Aviation Fuels (SAF) eligible for ICAO's CORSIA (International Civil Aviation Organisation's Carbon Offsetting and Reduction Scheme for International Aviation) are an important contributor addressing aviation's CO2 emissions. To address the sustainability issues related to aviation, international coordination is required. This project intends to cover the possibility to develop environmental support and capacity building.</t>
  </si>
  <si>
    <t xml:space="preserve">Agrobusiness en Algérie : innovation, start-ups et agriculture durable </t>
  </si>
  <si>
    <t xml:space="preserve">Dans l'objectif de contribuer à la création d'emploi dans les PME/PMI de dans l'économie verte, circulaire et numérique, la présente action consiste à appuyer l'Algérie dans ses efforts pour la relance économique, à travers l'axe développement de l'innovation dans le secteur stratégique de l'agrobusiness. Il s'agit de participer à rendre l'agriculture plus performante et intelligente tout en étant respectueuse de l'environnement et plus résiliente aux changements climatiques. </t>
  </si>
  <si>
    <t>Water Security for All</t>
  </si>
  <si>
    <t>This action aims at accelerating delivery on the SDG 6 (Water and Sanitation for all). Progress on this SDG has been too slow so far. The number of people without access to basic water andsanitation services have increased respectively by 30 and 150 million in Least Developed Countries between 2000-2020, notably in urban areas. At the same time, water resources management is under increased pressure due to the effects of climate change, ecosystem degradation, biodiversity loss, demographic dynamics.</t>
  </si>
  <si>
    <t>Renforcer la production durable pour la sécurité alimentaire au Tchad (P2RSA/bis)</t>
  </si>
  <si>
    <t>Fonds de reserve du FED (source: 10ème FED) - Contribution de l'UE en faveur des pays ACP les plus vulnérables, frappés par les conséquences de la guerre d'agression menée par la Russie contre l'Ukraine.</t>
  </si>
  <si>
    <t>Cross-border cooperation programme Montenegro - Albania 2021- 2027</t>
  </si>
  <si>
    <t>332: Tourism</t>
  </si>
  <si>
    <t>The programme for cross-border cooperation between Montenegro and Albania will be implemented under the framework of the Instrument for Pre-Accession Assistance (IPA III). IPA III supports cross-border cooperation with a view to promoting good neighbourly relations, fostering union integration and promoting socio-economic development through joint local and regional initiatives.&amp;nbsp The objective is to promote good neighbourly relations, foster Union integration.</t>
  </si>
  <si>
    <t>CLIMA.D - ACTIONS UNDER THE INDIVIDUAL MEASURE FOR NDICI COMMITTEE - AAP 2022 GC PLANET - C(2022)8146</t>
  </si>
  <si>
    <t>AAP2022 Action Document for Climate Change, Environmental Degradation and Security (CC)</t>
  </si>
  <si>
    <t>This action aims to complement the global partnership with UNEP (AAP 2021), which will play a key role in leveraging joint analysis, institutional and systems capacity, and established EU-UN partnerships at the headquarters and field level. The action will build on the lessons learned from the pilot phase of the EU-UN programme (2017-2022) while also facilitating region-specific approaches.</t>
  </si>
  <si>
    <t xml:space="preserve">European Joint Support to Area C </t>
  </si>
  <si>
    <t>160: Other social infrastructure and services</t>
  </si>
  <si>
    <t>The European Joint Support to Area C Programme (EU contribution of EUR 8 million out of a total of EUR 11.61 million) aims to contribute to resilience of Palestinians living in Area C by ensuring that they are better equipped and better served to protect their physical, economic and social assets and rights. It should contribute to preserve Area C as part of a future Palestinian State, which is a sine qua non condition to a transfer of responsibilities to the Palestinian Authority.</t>
  </si>
  <si>
    <t>Equitable Lesotho</t>
  </si>
  <si>
    <t>The European Union's cooperation strategy with Lesotho, the Multi-Annual Indicative Programme 2021-2027, focusses on two priority areas: (1) green and resilient economy and (2) good governance, peaceful and just society. Under the first priority area, EU cooperation aims to facilitate Lesotho's move towards a circular economy that becomes increasingly sustainable and self-sufficient with regard to energy generation and consumption.</t>
  </si>
  <si>
    <t>AAP 2022:AD5  Underpinning multilateral solutions to sustain and build peace</t>
  </si>
  <si>
    <t xml:space="preserve">The Action entitled 'Underpinning multilateral solutions to sustain and build peace' focuses on support to multilateralism as a means to foster peace and security and as a cross-cutting theme of the EU's approach to conflict and crisis and threats to peace and security. It includes a renewed support to the UN-EU partnership on insider mediation, which seeks to increase awareness of and knowledge about insider mediation. </t>
  </si>
  <si>
    <t>EU4Youth IV: Youth engagement and empowerment</t>
  </si>
  <si>
    <t>Summary: Building on progress achieved under previous phases, the present action constitutes phase IV of the EU4Youth initiative in the Eastern Partnership. This new phase will contribute to achieving the objectives relating to youth under the March 2020 Joint Communication Eastern Partnership policy beyond 2020: Reinforcing Resilience an Eastern Partnership that delivers for all and the July 2021 Joint Staff Working Document 'Recovery, resilience and reform'.</t>
  </si>
  <si>
    <t>Pacific NDC Hub</t>
  </si>
  <si>
    <t>This action directly supports the Pacific NDC Hub.The overall expected impact of this action is to support PICs to finance and implement their countries' NDCs driving sustainable and resilient development and transition to a low carbon development pathway, while considering gender-sensitive aspects. Implementation of the action will follow a demand-driven approach.</t>
  </si>
  <si>
    <t>Convention de Délégation- Action au Port</t>
  </si>
  <si>
    <t>L'objectif de l'action sera atteint à travers deux sous objectifs.  Améliorer la compétitivité du secteur portuaire à travers l'amélioration du climat des affaires et le renforcement de la compétence des acteurs para portuaire.  Amorçer le développement d'une économie bleue.</t>
  </si>
  <si>
    <t>Sao Tome and Principe</t>
  </si>
  <si>
    <t>Appui au secteur de l'eau et assainissement à STP</t>
  </si>
  <si>
    <t xml:space="preserve">Objectif spécifique: améliorer l'accès durable et équitable de la population à l'eau potable et à l'assainissement en répondant de façon durable aux enjeux environnementaux et climatiques. Le programme vise à améliorer l'accès durable et équitable de la population à l'eau potable et à l'assainissement sous des conditions environnementales soutenables, en appuyant la mise en 'uvre des politiques publiques de STP pour atteindre un niveau plus élevé de développement humain. </t>
  </si>
  <si>
    <t>Uganda</t>
  </si>
  <si>
    <t>Supporting sustainable investments in the agricultural sector in Uganda</t>
  </si>
  <si>
    <t>The action aims to contribute to a sustainable and inclusive growth and job creation in Uganda, through two interventions: 1. promote access to finance in agribusinesses  and 2. promote security of Mailo land.</t>
  </si>
  <si>
    <t>AAP 2022:AD4 Conflict sensitive natural resources management</t>
  </si>
  <si>
    <t>The action will focus in particular on three major goals. The first on is the continued support to the Regional Approach to the Mano River belt region of West Africa (Sierra Leone, Liberia, Guinea Conakry, Cote d'Ivoire) to strengthen the implementation of the Kimberley Process Certification Scheme (KPCS) in the Mano River Union at the regional and national level. A regional approach to policy discourse on issues such as smuggling, ways to improve the livelihood conditions for mining communities.</t>
  </si>
  <si>
    <t xml:space="preserve"> Supporting Civil Society through Social Entrepreneurship in Turkey TR2022AAP</t>
  </si>
  <si>
    <t>Social entrepreneurship emerges as an alternative and viable way of complementing financial sustainability of civil society organisations (CSOs), diversifying funding and addressing social problems in general. The project is designed according to the needs, suggestions and inputs of the civil society organisations, social entrepreneurs and other relevant actors with a special focus to exploit the potential of social entrepreneurship for financial sustainability of civil society organisations.</t>
  </si>
  <si>
    <t>Cross-border cooperation programme Bosnia and Herzegovina ' Montenegro for 2021-2027</t>
  </si>
  <si>
    <t>The programme for cross-border cooperation between Bosnia and Herzegovina and Montenegro will be implemented under the framework of the 2021-2027 Instrument for Pre-Accession Assistance (IPA III) with a view to promoting good neighbourly relations, fostering Union integration and promoting socio-economic development through joint local and regional initiatives.</t>
  </si>
  <si>
    <t>Montenegro</t>
  </si>
  <si>
    <t>Timor-Leste</t>
  </si>
  <si>
    <t>Skills development for employment and resilience</t>
  </si>
  <si>
    <t xml:space="preserve">This action is integrated in the objective of Priority area 1 of the Multi-annual Indicative Plan: promote green and sustainable economic diversification in Timor-Leste through private sector development, technical and vocational education training (TVET) for youth integration in the labour market.The action aims to diversify the Timorese economy and widen the fiscal base through focusing on private sector development, namely by tapping into the potential of the agroforestry sector. </t>
  </si>
  <si>
    <t>Turkmenistan</t>
  </si>
  <si>
    <t>EU - Turkmenistan Cooperation Facility 2022-2023</t>
  </si>
  <si>
    <t>The action is intended to promote the EU's long-term interests in supporting Turkmenistan's re-engagement with the outside world, while supporting its more sustainable, inclusive and democratic development, with special focus on vulnerable groups, to leave no one behind. The action therefore prioritises economic and trade cooperation (within the framework of the rules and norms governing EU external relations, including on human and labour rights), EU policy priorities (in particular, on Green Deal).</t>
  </si>
  <si>
    <t>Cooperation Facility (CF) NDICI-Global Europe</t>
  </si>
  <si>
    <t>The proposed Cooperation Facility (CF) action intends to contribute to all priority areas of the MIP and its Team Europe Initiatives. The contracts under the CF will support the EU top initiative of 'Green and Blue Jobs' in Tanzania and focus in particular on its flagships (Green Cities and Blue Economy, both Team Europe Initiatives) and Enablers (Access to Finance, Gender and Digitalisation). EU investments will thus be fostered and respond to Tanzania priorities (e.g. foreign direct investment).</t>
  </si>
  <si>
    <t>Namibia</t>
  </si>
  <si>
    <t>Namibia- EU Cooperation Facility</t>
  </si>
  <si>
    <t>The overall objective of the support measures is to contribute to the efficient and effective roll-out and implementation of Namibia's development priorities as underpinned in the MIP and to accommodate the EU's and Namibia's interests in areas which go beyond the proposed priority areas, by promoting dialogue, exchange of expertise, engaging in strategic communication, fostering a conducive trade and investment climate and engagement with civil society.</t>
  </si>
  <si>
    <t>Gas for Gaza</t>
  </si>
  <si>
    <t>The program is consisting in the construction of a 4 km gas pipeline in Gaza Strip in order to supply gas to the Power Plant.</t>
  </si>
  <si>
    <t xml:space="preserve">Mesure d'appui : Facilité de coopération  </t>
  </si>
  <si>
    <t xml:space="preserve">La Facilité de Coopération appuiera la mise en 'uvre du Programme indicatif multi-annuel 2021-2027 pour le Cameroun afin de contribuer à l'amélioration de l'efficacité et l'impact de l'aide, ainsi que des actions de communication et de diplomatie publique sur le rôle et la présence de l'UE dans le monde et au Cameroun. L'action visera en particulier à : outenir l'identification, la formulation et le suivi de programmes - y compris le renforcement de l'intégration. </t>
  </si>
  <si>
    <t>Angola</t>
  </si>
  <si>
    <t>Revitalization of agricultural vocational education and training in Angola</t>
  </si>
  <si>
    <t>The Action aims at revitalising the Angolan network of Technical Agrarian Institutes (Institutos Técnicos Agrarios - ITAs in Portuguese) that are located in rural areas across the country. That revitalisation includes: making ITAs curricula more relevant to the current needs of the agriculture and farming sector  transforming ITAs into pivotal institutions that extend their activities outside the school's walls to the benefit of the local communities  and improving ITAs infrastructure to make it.</t>
  </si>
  <si>
    <t>India</t>
  </si>
  <si>
    <t xml:space="preserve">Climate, Energy, Trade and Innovation Support in India </t>
  </si>
  <si>
    <t>The Overall Objective (Impact) - Reinforced EU-India cooperation on sustainable modernisation, clean energy, climate action, trade and investment in line with mutually agreed priorities, including digitalisation, circular economy and innovation.The Specific Objectives (Outcomes) :1. Policy dialogue and cooperation in the areas of clean energy, energy markets, energy efficiency, just energy transition and climate action promoted, particularly through the India-EU Clean Energy and Climate Partners.</t>
  </si>
  <si>
    <t>South Bougainville Rural WASH Programme</t>
  </si>
  <si>
    <t>As PNG's main development partner in the sector, and given the impact of poor water supply and sanitation on human development, the EU identified Water, Sanitation and Hygiene (WaSH) for Human Development as Priority area 2 in the EU-PNG MIP 2021-2027. PNG's low WaSH coverage increases the vulnerability of the population to water-borne and other diseases, including the COVID-19 pandemic. Improved Hygiene practices and access to clean water are therefore of utmost importance in this global emerge.</t>
  </si>
  <si>
    <t>Tuvalu</t>
  </si>
  <si>
    <t>Tuvalu Coconut Sector Rehabilitation Programme</t>
  </si>
  <si>
    <t>The proposed action aims to revive the coconut industry and livelihood in Tuvalu. This will be carried out through a coconut rehabilitation plan, which requires a combination of agricultural replanting including an agroforestry approach for coconut palms. The low yield in coconut production has limited private sector development and hindered the domestic trade market for local coconut products reducing the possibility to earn a living.</t>
  </si>
  <si>
    <t>Re-flows EFSD</t>
  </si>
  <si>
    <t>Increase of the Liquidity Buffer by the revenue of EUR 750,000 – CPF EFSD compartment on the request of 26/05/2021 from DG BUDG</t>
  </si>
  <si>
    <t>Malaysia</t>
  </si>
  <si>
    <t>EU-Malaysia Cooperation Facility</t>
  </si>
  <si>
    <t>A facility put in place to support EU-Malaysia policy and political dialogues, PTA, FTA negotiations, public diplomacy and visibility.</t>
  </si>
  <si>
    <t>AAP 2022 - Bolstering Mediterranean biodiversity and MCPAs for nature (SEMPA Project)</t>
  </si>
  <si>
    <t>The Mediterranean basin is considered a biodiversity hotspot, with an outstanding flora diversity of 15,000 to 25,000 species, 60% of which are unique to the region. However, coastal development, tourism, overexploitation, pollution, climate change, and other drivers are leading to unprecedented rates of species extinction and long term ecosystem imbalances. These, in turn, have direct consequences on food security, livelihoods and human health.</t>
  </si>
  <si>
    <t>EU CONTRIBUTIONS TO MULTILATERAL ENVIRONMENTAL AGREEMENTS IN 2022</t>
  </si>
  <si>
    <t>Gabon</t>
  </si>
  <si>
    <t>Croissance durable et emplois verts au Gabon</t>
  </si>
  <si>
    <t>Objectif global: promouvoir la croissance durable et la création d'emplois verts au Gabon. Objectif spécifique: lever les barrières politiques, normatives, financières et éducatives permettant la création d'emplois verts et décents au Gabon. La transformation vers une économie verte avec des emplois décents et durables, nécessite de lever les blocages actuels en favorisant une croissance neutre pour le climat, circulaire et verte, et apportant des bénéfices sociaux et économiques.</t>
  </si>
  <si>
    <t>Kyrgyzstan</t>
  </si>
  <si>
    <t>Green Economy Programme in the Kyrgyz Republic</t>
  </si>
  <si>
    <t>The overall objective of this Action is to contribute to support the transition towards an inclusive green economy that benefits the well-being of the Kyrgyz population.The overall objective is pursued through three specific objectives: 1. Integrate environmental, social and private sector issues into the development of evidence-based employment-oriented green economy policies  2. Enhance capacities of MSMEs in the supported intervention areas to employ economically, socially and environmentally.</t>
  </si>
  <si>
    <t>Improving Evidence for Development: Investing in Research and Partnership</t>
  </si>
  <si>
    <t>The action intends to strengthen EU's partnership with the World Bank and EU Member States by contributing to the Knowledge for Change Trust Fund, a solid system for evidence-based policy development in support of NDICI-Global Europe objectives and in particular poverty reduction and shared prosperity in developing countries. DG INTPA will contribute to Phase IV of the Knowledge for Change Program (KCP), a multi-donor Umbrella Program that aims at delivering high-impact, policy-relevant research.</t>
  </si>
  <si>
    <t>Support to Quality Infrastructure investments (SOURCE Platform)</t>
  </si>
  <si>
    <t>Support to Quality Infrastructure investments (SOURCE Platform):  The Action will support quality infrastructure investments through the SOURCE Platform. SOURCE is a global platform for project development, which was launched by Multilateral Development Banks (MDBs) in 2016. It provides comprehensive support covering governance, technical, economic, legal, financial, environmental and social issues in response to the G20 quality infrastructure principles.</t>
  </si>
  <si>
    <t>ITC - BUILDING UNDERSTANDING AND PARTICIPATION OF DEVELOPING COUNTRIES IN THE GREEN ECONOMY</t>
  </si>
  <si>
    <t>331: Trade policy and regulations and trade-related adjustment</t>
  </si>
  <si>
    <t xml:space="preserve">	Strengthening Public Finance Management in Timor-Leste </t>
  </si>
  <si>
    <t>This Action ensures the continuity of the EU support to the government in the field of Public Finance Management reform in Timor-Leste. The Action is included in Priority Area 2 of the Multiannual Indicative Program 2021-2027,  Good Governance for Sustainable Development , which in turn is in line with the government's objectives of the Strategic Development Plan 2011-2030 regarding public sector management and good governance as well as the Economic Recovery Plan 2021-2022.</t>
  </si>
  <si>
    <t>Cross-border cooperation programme North Macedonia 'Albania for 2021-2027</t>
  </si>
  <si>
    <t>The Cross Border Cooperation programme between North Macedonia and Albania will be implemented under the framework of the 2021-2027 Instrument for Pre-accession Assistance (IPA III). IPA III supports cross-border cooperation (CBC) with a view to promoting good neighbourly relations, fostering EU integration and promoting socio-economic development through joint local and regional initiatives.</t>
  </si>
  <si>
    <t>AAP 2022:AD2 Enhance EU Capabilities for Early Warning and Conflict Analysis</t>
  </si>
  <si>
    <t>The Action 'Enhance EU Early warning&amp;nbsp and conflict analysis' aims to strengthen risk awareness of the EU, as well as the international community and third country local stakeholders, engaged in issues related to conflict prevention and peace, in particular enhancing the capacity to prevent the emergence, re-emergence or escalation of violent conflict by strengthening the translation of conflict analysis into early action and response. It will specifically enhance the European Union's conflict.</t>
  </si>
  <si>
    <t>Cross-border cooperation programme Albania-Kosovo for 2021-2027</t>
  </si>
  <si>
    <t>The programme for cross-border cooperation between Albania and Kosovo will be implemented under the framework of the Instrument for Pre-Accession Assistance (IPA III). IPA III supports cross-border cooperation with a view to promoting good neighbourly relations, fostering union integration and promoting socio-economic development through joint local and regional initiatives.</t>
  </si>
  <si>
    <t>Facilité de coopération (TCF)</t>
  </si>
  <si>
    <t>Cette fiche d'action définit les axes d'intervention et les modalités de mise en 'uvre de la Facilité de coopération du NDICI-GE en Union des Comores, pour la période 2022-2024. L'objectif général de la Facilité de coopération est de contribuer à améliorer l'efficacité de la coopération UE et de l'approche «Team Europe» à travers une bonne exécution du Programme indicatif pluriannuel (PIP), de l'initiative «Team Europe », du Country Level Implementation Plan (CLIP).</t>
  </si>
  <si>
    <t xml:space="preserve">Pacific Solutions: Integrated Ocean Management </t>
  </si>
  <si>
    <t>Inception phase of the ''Pacific Solutions for a healthy Blue Pacific Continent: Integrated Ocean Management (IOM) to sustain livelihoods today and into the future . PICs and TL will improve capacity to harness science and knowledge to inform and implement IOM.</t>
  </si>
  <si>
    <t>Knowledge Hub Jobs &amp; Growth (Part I)  Global Gateway Support Mechanism (GGSM)</t>
  </si>
  <si>
    <t>The Action will contribute to reduce the infrastructure gap by enhancing capacity and skills development of decision_x005F_x0002_ makers, agencies and regulators, responsible for the policy and regulatory frameworks, related to the development of the connectivity agenda and the application of good practices on quality infrastructure throughout the infrastructure life cycle, in particular for the transport sector, with a focus on decarbonisation, resilience, operation and maintenance.</t>
  </si>
  <si>
    <t>Knowledge Hub Green Deal (part I)</t>
  </si>
  <si>
    <t>The action will support actors managing or implementing EU cooperation programmes at global, regional and country level to assess, design, monitor and evaluate circular economy, water and sustainable cities interventions and to support policy work.</t>
  </si>
  <si>
    <t>Mauritius</t>
  </si>
  <si>
    <t>European Solidarity Action with Mauritius (ENSAM) - Cooperation Facility</t>
  </si>
  <si>
    <t>The Multiannual Indicative Programme (MIP) 2021-2027 for Mauritius focuses on (1) Environmental protection and climate change adaptation and resilience, and (2) Good Governance. A Team Europe Initiative (TEI) 'Environment and Climate Change for a green recovery' will have a central role in the pursuit of this strategic objective of the MIP, including to achieve both impact and visibility. It involves all Team Europe members active in Mauritius - namely the EU (including through Interreg).</t>
  </si>
  <si>
    <t xml:space="preserve">Support Measures for Suriname </t>
  </si>
  <si>
    <t>Integrated National Financing Frameworks (INFFs)</t>
  </si>
  <si>
    <t>In order to help countries strengthen their planning processes and overcome impediments to financing sustainable development at country level, this action will provide global support to financing strategies to help achieve the Sustainable Development Goals (SDGs) and Paris Agreement objectives and to finance a sustainable and inclusive recovery from the COVID-19 pandemic. INFFs help countries strengthen planning processes and overcome existing impediments to financing sustainable development.</t>
  </si>
  <si>
    <t>Kazakhstan</t>
  </si>
  <si>
    <t>EU-Kazakhstan Cooperation Facility 2022-2023</t>
  </si>
  <si>
    <t xml:space="preserve">The Cooperation Facility will support the implementation of the EU-Kazakhstan Enhanced Partnership and Cooperation Agreement (EPCA), which entered fully into force on 1 March 2020. </t>
  </si>
  <si>
    <t xml:space="preserve">Engage, Connect, Empower Youth </t>
  </si>
  <si>
    <t>The action aims to engage, connect and empower young people to increase their contribution to the achievement of the Sustainable Development Goals (SDGs) in their communities and societies. The action will serve as a pilot action for the implementation of the Youth Action Plan and will strengthen the youth dimension across the external priorities of the European Commission and contribute to a stronger Europe in the World.</t>
  </si>
  <si>
    <t>Fonds de reserve du FED (source: 11ième FED)- Contribution de l'UE en faveur des pays ACP les plus vulnérables, frappés par les conséquences de la guerre d'agression menée par la Russie contre l'Ukraine.</t>
  </si>
  <si>
    <t xml:space="preserve">Cooperation Facility for Sierra Leone </t>
  </si>
  <si>
    <t>Sierra Leone faces complex, interlinked and persistent development challenges. Over the last twenty years, the country was hit by several external shocks (Ebola, iron ore price slump, and recently Covid 19) and the vast majority of its population is still facing dire socio-economic conditions as illustrated by a Human Development Index of 184/189 with important gender inequalities proved by the Gender Inequalities Index (155/162).</t>
  </si>
  <si>
    <t>Support to COP27, TAIEX and strategic foresight (TAIEX priority)</t>
  </si>
  <si>
    <t>Technical assistance and information exchange (TAIEX) supports EU's policy objectives, by promoting exchanges between public administrations and thus facilitating adoption of EU legislation, norms, standards and best practice in partner countries. The instrument helps in the legal harmonisation process and administrative capacity building. It can strengthen existing policy dialogues and help in creating new ones. It can support the implementation of the Partnership and Cooperation Agreements.</t>
  </si>
  <si>
    <t>Support to rapid local stabilisation in newly recovered areas in Somalia</t>
  </si>
  <si>
    <t>Since August 2022, the fight against Al-Shabaab in Somalia has gained significant momentum and public support. An important number of towns and villages ' many of which have been under the direct control of Al Shabaab for more than 10 years ' are being liberated. Punitive actions by fleeing Al-Shabaab fighters against the local communities have had a devastating effect. This is set against the backdrop of an extreme drought affecting the country, following four consecutive failed rainy seasons.</t>
  </si>
  <si>
    <t>Partnership Instrument - Annual Action Programme 2016 (first phase)</t>
  </si>
  <si>
    <t>OOF</t>
  </si>
  <si>
    <t>The AAP 2016 is shaped by the thematic priorities laid down in the PI Regulation and is based on the PI Multi-annual indicative programme (MIP) (2014-2017) adopted by the European Commission on 3 July 2014.</t>
  </si>
  <si>
    <t>Support to COP27, TAIEX and strategic foresight</t>
  </si>
  <si>
    <t>This action aims to enable the EU to address short and medium-term foreign policy needs and opportunities by supporting innovative policies/initiatives and by deepening EU relations and dialogues, forging alliances and partnerships, in the fields of climate diplomacy, public administration policies and institutional development, technical assistance and information exchange. This action will also contribute to reinforcing EU foreign policy priorities.</t>
  </si>
  <si>
    <r>
      <rPr>
        <vertAlign val="superscript"/>
        <sz val="9"/>
        <rFont val="Times New Roman"/>
        <family val="1"/>
      </rPr>
      <t>(1)</t>
    </r>
    <r>
      <rPr>
        <sz val="9"/>
        <rFont val="Times New Roman"/>
        <family val="1"/>
      </rPr>
      <t xml:space="preserve"> Most projects, programmes and activities contribute to technology development and transfer and/or capacity-building objectives. However, this information is not available at project level. Information on example projects with a focus on technology development and transfer, and capacity-building can be found in CTF Tables 4 and 5. </t>
    </r>
  </si>
  <si>
    <t xml:space="preserve">Support to the Caribbean Investment Facility 2019 allocation  </t>
  </si>
  <si>
    <t>The CIF overall objective is to contribute to economic development and growth, integration at regional level and poverty reduction through the mobilization of resources for strategic economic infrastructure projects and support to the private sector.</t>
  </si>
  <si>
    <t xml:space="preserve"> Investments on regional infrastructures </t>
  </si>
  <si>
    <t>Development of resilient continental/inter-regional infrastructure for transport multimodal networks, energy networks and digital networks via blended finance, feasibility studies and support to Sub-Saharan African Transport Policy Program.</t>
  </si>
  <si>
    <t xml:space="preserve">Programme d'Appui à la Politique d'Internationalisation de la Recherche et de l'Innovation </t>
  </si>
  <si>
    <t>L'enseignement supérieur et la recherche scientifique sont des piliers importants pour relever le double défi auquel l'Algérie est confrontée, pour améliorer les compétences des jeunes universitaires et chercheurs.</t>
  </si>
  <si>
    <t>Latin America and Caribbean Investment Facility (LACIF)</t>
  </si>
  <si>
    <t>Until 2020, the Latin America (LAIF) and Caribbean (CIF) blending facilities stemmed from different budgetary instruments i.e. LAIF (DCI) and CIF (EDF). LACIF is the new merged blending facility for Latin America and the Caribbean arising from NDICI.</t>
  </si>
  <si>
    <t xml:space="preserve">EU-Malaysia Cooperation Facility </t>
  </si>
  <si>
    <t>EU for Connectivity and Green Agenda</t>
  </si>
  <si>
    <t>Annual Action Plan in favour of the Republic of Serbia for 2021.</t>
  </si>
  <si>
    <t>''Programme d'Appui à la Lutte contre le Changement Climatique, Protection de la Biodiversité et Agroécologie (PALCC+)</t>
  </si>
  <si>
    <t xml:space="preserve">L'objectif est de renforcer la gestion durable des ressources naturelles.  Le résultat attendu est la préservation, le développement et la sécurisation des dernières aires encore peu ou pas habitées du pays pour lutter contre le déclin de la biodiversité, atténuer le changement climatique, fournir des opportunités de croissance et d'emploi et contrer l'expansion de la criminalité organisée et des groupes terroristes.  </t>
  </si>
  <si>
    <t>Burkina Faso</t>
  </si>
  <si>
    <t>Appui à la stabilisation de l'axe Ouaga-Kaya-Dori  Renforcement sécuritaire social et économique</t>
  </si>
  <si>
    <t>Ce projet concerne la stabilisation et le renforcement sécuritaire social et économique de l'axe Ouaga Kaya Dori. Il est mise en oeuvre dans les régions du Centre Nord et du Sahel.</t>
  </si>
  <si>
    <t>EU SUPPORT TO INNOVATION AND JOBS FOR YOUTH IN NIGERIA (INN-JOBS)</t>
  </si>
  <si>
    <t>The objective is to support innovation and creation of jobs for youth through enhancement of employability, improvement of innovation/digitalisation regulatory frameworks and their implementation, and creation of new green and smart jobs.</t>
  </si>
  <si>
    <t>Transformational Climate-smart and Inclusive Agriculture</t>
  </si>
  <si>
    <t>The Action intends to consolidate the transition to socially and environmentally inclusive agri-food systems, including the improvement of inclusive agriculture value chains targeting local, regional and international markets. In line with Rwanda's economic development, emissions profile and climate vulnerability, climate adaptation measures in the agricultural sector will be promoted, whilst enhancing climate and biodiversity benefits.</t>
  </si>
  <si>
    <t>Promouvoir lénergie durable au Bénin à travers des solutions solaires et de cuisson propre, énergétiquement efficaces et écologiquement responsables</t>
  </si>
  <si>
    <t>L'action contribuera à l'augmentation du taux d'accès à l'énergie propre, à travers des solutions solaires et de foyers de cuisson améliorés et mettra en place la première initiative de gestion de déchets électroniques au Bénin.</t>
  </si>
  <si>
    <t xml:space="preserve">Projet dappui à lentrepreneuriat au Bénin </t>
  </si>
  <si>
    <t>L'objectif global (impact) de cette action est de contribuer à la création et au développement au Bénin de micro, petites et moyennes entreprises (MPME) inclusives et durables, créatrices d'emplois pérennes, génératrices de valeur ajoutée locale, ainsi quau renforcement de leur écosystème.</t>
  </si>
  <si>
    <t xml:space="preserve">SUSTAINABLE AQUATIC AND AGRI-FOOD SYSTEMS (SAAFS) </t>
  </si>
  <si>
    <t>Anual Action Plan 2021 -  Prosperity</t>
  </si>
  <si>
    <t>Cabo Verde</t>
  </si>
  <si>
    <t>Boosting green economy for jobs and inclusive growth</t>
  </si>
  <si>
    <t>Providing Technical Assistance to national partners and to the TEI in support of ''green'' growth reforms</t>
  </si>
  <si>
    <t>Djibouti</t>
  </si>
  <si>
    <t>Djibouti Propre et Prospère Horizon 2027</t>
  </si>
  <si>
    <t xml:space="preserve">L'objectif général de cette action est daméliorer  les conditions sanitaires de la population de la ville de Djibouti.   </t>
  </si>
  <si>
    <t>Business Environment and Export Enhancement Programme (BEEEP)</t>
  </si>
  <si>
    <t xml:space="preserve">The overall objective of the action is to improve the business enabling environment and enhance exports of Kenyan goods in a sustainable way, with the view to contribute to green economic growth and decent jobs.    </t>
  </si>
  <si>
    <t xml:space="preserve">EU Resilience Facility for Azerbaijan </t>
  </si>
  <si>
    <t>The EU Resilience Facility for Azerbaijan has two components:1) Building resilience with regional development initiatives around areas affected by the conflict and 2) Together for inclusive and resilient societies (a healthcare system accessible to all).</t>
  </si>
  <si>
    <t>Governance of public finances and economic reforms in the Western Balkans and Turkey</t>
  </si>
  <si>
    <t>Multi-country multiannual action plan in favour of the Western Balkans and Turkey for 2021-2022 - allocation 2021.</t>
  </si>
  <si>
    <t>EU support to Competitiveness and Sustainability in the Western Balkans and Turkey</t>
  </si>
  <si>
    <t>Green Recovery and Empowerment with Energy in Nepal (GREEN)</t>
  </si>
  <si>
    <t xml:space="preserve">The action aims at increasing sustainable consumption and production of energy and materials in the public and private sectors. The action is expected to reduce the carbon footprint of energy in the public and private sectors by promoting both the sustainable and inclusive use of renewable energy and the adoption of energy efficiency practices. </t>
  </si>
  <si>
    <t>Sustainable WASH for all - SUSWA</t>
  </si>
  <si>
    <t>To ensure availability and sustainable management of water and sanitation for all rural inhabitants in Karnali.</t>
  </si>
  <si>
    <t>Support measures and Cooperation facility for Asia and the Pacific</t>
  </si>
  <si>
    <t>The Support Measures and Cooperation Facility for Asia and the Pacific 2021 provides the European Commission the possibility to finance small-scale activities that are needed for the achievement of the objectives of the NDICI.</t>
  </si>
  <si>
    <t>Amazon Basin Green Transition Initiative</t>
  </si>
  <si>
    <t>Multi-country programme for the Amazon Basin to help combat deforestation and forest degradation.</t>
  </si>
  <si>
    <t>SWITCH-Asia - Promoting Sustainable Consumption and Production (Policy Support Component)</t>
  </si>
  <si>
    <t>The objective of the SWITCH-Asia Programme is to support the transition to a low-carbon, resource-efficient and more circular economy in the Middle-East, Asia and the Pacific contributing to economic growth and poverty reduction.</t>
  </si>
  <si>
    <t>EU for Environmental Standards and Clean Air</t>
  </si>
  <si>
    <t>The  annual action plan aims to support the countrys reforms in the areas of rule of law, fight against corruption and organised crime, to protect environment, encourage the economic development and facilitate trade with EU.</t>
  </si>
  <si>
    <t>EU for Prespa</t>
  </si>
  <si>
    <t>EU for Green Economy</t>
  </si>
  <si>
    <t xml:space="preserve">Support to the reduction of climate-induced conflict and to climate-sensitive reconciliation </t>
  </si>
  <si>
    <t>This action will aim to advance existing stabilisation and reconciliation efforts and to reduce environmentally induced displacement and conflict in Galmudug and Hirshabelle State.</t>
  </si>
  <si>
    <t>Durable solutions for displaced populations in SuSaharan Africa</t>
  </si>
  <si>
    <t>This action aims to provide durable solutions to displaced populations by providing support to and through the IGAD and CAR support platforms as well as the protection and integrated strategic frameworks for the Sahel and the Lake Chad Crisis.</t>
  </si>
  <si>
    <t>South America, regional</t>
  </si>
  <si>
    <t>EU-LAC Digital Alliance</t>
  </si>
  <si>
    <t>This action will support the EU-LAC Digital Alliance Regional Team Europe Initiative on Digital transformation and innovation.</t>
  </si>
  <si>
    <t>Far East Asia, regional</t>
  </si>
  <si>
    <t>EU-ASEAN Green Initiative</t>
  </si>
  <si>
    <t>The action seeks to enhance the EU-ASEAN partnership and reduce negative environmental impacts, as well as climate-related and disaster risks covering key areas of the European Green Deal in line with the  Paris Agreement  and the 2030 Agenda for Sustainable Development.</t>
  </si>
  <si>
    <t>North of Sahara, regional</t>
  </si>
  <si>
    <t>Accelerating the clean energy transition for a greener and fairer economic recovery in the Southern Neighbourhood</t>
  </si>
  <si>
    <t xml:space="preserve"> Accelerating the clean energy transition for a greener and fairer economic recovery in the Southern Neighbour countries.</t>
  </si>
  <si>
    <t>Reducing methane emissions through an integrated data approach</t>
  </si>
  <si>
    <t>The action aims to accelerate reductions of methane emissions by integrating and reconciling emissions data sources, linking findings to ambitious action, and supporting the science-policy interface. It will do by supporting the activities of the International Methane Emission Observatory (IMEO) with a view to increase the use of data by governments and companies in order to design and adopt methane emission mitigation strategies and targets.</t>
  </si>
  <si>
    <t>ACTIONS FOR 2021 UNDER THE INDIVIDUAL MEASURE FOR INTERNATIONAL CLIMATE GOVERNANCE - C(2021)7710</t>
  </si>
  <si>
    <t>Partnership Cooperation Facility</t>
  </si>
  <si>
    <t>The Action will help to push forward the three EU-Caribbean Partnerships identified in the Caribbean window of the regional MIP for the Americas and stimulate policy reforms promoting EU policies, best practices and international standards.</t>
  </si>
  <si>
    <t xml:space="preserve">Green Recovery  NICACAO </t>
  </si>
  <si>
    <t>This Action intends to contribute as overall objective to the recovering the economic dynamism and environmental sustainability of the cocoa value chain in Nicaragua for social inclusion and women empowerment. The specific objective of the NICACAO action will be that Vulnerable populations, particularly women and youth, produce and transform cocoa with quality and environmental standards along the Value Chain in Nicaragua.</t>
  </si>
  <si>
    <t>EU for Nature</t>
  </si>
  <si>
    <t>Annual Action Plan in favour of Albania for 2021</t>
  </si>
  <si>
    <t>EU for Circular Economy and Growth</t>
  </si>
  <si>
    <t>Euroclima Caribbean</t>
  </si>
  <si>
    <t>EuroClima Caribbean is a new initiative in the region that is based primarily on policy dialogue between the EU and the partner countries. Work will start by exchanges with the Ministries in charge of Environment or Climate Change.</t>
  </si>
  <si>
    <t>Regional Energy Transition Outlooks</t>
  </si>
  <si>
    <t>F1 AAP 2021 (Planet)</t>
  </si>
  <si>
    <t xml:space="preserve">EU contribution to the Western Balkans Investment Framework (WBIF)  2021-2023  </t>
  </si>
  <si>
    <t>Multi-country multiannual action plan in support of the Western Balkans Investment Framework 20212027 and the provisioning  of the ELM legacy portfolio for past EIB operations for IPA beneficiaries - allocation 2021.</t>
  </si>
  <si>
    <t xml:space="preserve">EU contribution to Sustainable Transport Connectivity in the Western Balkans 2021-2027  </t>
  </si>
  <si>
    <t>To contribute to the development of a green, environmentally sustainable and socially inclusive post Covid-19 economy through the enhanced implementation of Jordan's green growth strategy and action plan.</t>
  </si>
  <si>
    <t>Special measure in favour of an Emergency response to Virunga  Nord Kivu triple crisis</t>
  </si>
  <si>
    <t>Emergency response to the security, sanitary and post volcanic eruption crisis.</t>
  </si>
  <si>
    <t>Sustainable Green Energy and Transport</t>
  </si>
  <si>
    <t>This action will contribute to the overall objective of the IPA III Programming Framework as regards the energy and transport sectors under Window 3, namely to promote the green agenda by reinforcing environmental protection, contributing to mitigation, increasing resilience to climate change, accelerating the shift towards a climate-neutral and circular economy and develop the digital economy and society alongside increased connectivity of the IPA III beneficiaries to the EU.</t>
  </si>
  <si>
    <t xml:space="preserve">Smart and Sustainable Economic Transformation </t>
  </si>
  <si>
    <t xml:space="preserve">This action is directly supporting various national strategy and policy documents and ongoing projects and programmes run by related public authorities. The 11th National Development Plan (2019-2023) (NDP)  emphasizes the importance of a better business environment and strengthened R&amp;D, innovation and technology contexts. </t>
  </si>
  <si>
    <t>EU for environment</t>
  </si>
  <si>
    <t>Annual Action Plan in favour of Kosovo for 2021</t>
  </si>
  <si>
    <t>EU for agriculture and rural development</t>
  </si>
  <si>
    <t>Provisioning to the Common Provisioning Fund, compartment for the European Fund for Sustainable Development Plus.</t>
  </si>
  <si>
    <t>Programme Cooperation Agreement III to improve international environmental governance</t>
  </si>
  <si>
    <t>Programme Cooperation Agreement with UNEP to improve international environmental governance.</t>
  </si>
  <si>
    <t>Increase of the Liquidity Buffer by the revenue of EUR 750,000  CPF EFSD compartment</t>
  </si>
  <si>
    <t>Increase of the Liquidity Buffer by the revenue of EUR 750,000  CPF EFSD compartment on the request of 26/05/2021 from DG BUDG.</t>
  </si>
  <si>
    <t>Yemen</t>
  </si>
  <si>
    <t xml:space="preserve">Enhancing Community Resilience and Livelihoods in Yemen  phase III (ERRY III) </t>
  </si>
  <si>
    <t>The Action intends to further reduce vulnerability and strengthen resilience capacity of crisis-affected communities. At the completion of this action, final beneficiaries will better manage local risks and shocks for increased resilience.</t>
  </si>
  <si>
    <t>Strengthening Evidence-Based Decision Making in Yemen through Improved Food Security, Nutrition and Livelihoods Information and Analysis</t>
  </si>
  <si>
    <t>This programme aims at consolidating the national Food and Nutrition Security Information System (FNSIS) using data collection at governorate level to better understand the key food insecurity and malnutrition drivers and better coordinate the multi-partner's interventions in the country.</t>
  </si>
  <si>
    <t>EU support to Green Economy in Jordan 2021  2024 in response to the Syrian crisis in Jordan 2021  2024</t>
  </si>
  <si>
    <t>The action will lead by 2024 to enabling the implementation of further green growth actions targeting the needs of Syrian Refugees and vulnerable Jordanians needs. It will first of all  (Enhanced policy dialogue on the way Green growth can have an impact on the vulnerable population in Jordan via the enhancement offor synergies within the targeted sectors, and lead to a more increased ownership by the relevant authorities,  efficient use of available main and secondary resources.</t>
  </si>
  <si>
    <t>Ukraine</t>
  </si>
  <si>
    <t>Technical Cooperation Facility 2021</t>
  </si>
  <si>
    <t>Capacity Building for AA/DCFTA implementation</t>
  </si>
  <si>
    <t>Samoa</t>
  </si>
  <si>
    <t xml:space="preserve">Samoa, Water Sector Resilience and Climate Change Adaptation Sector Budget Support Programme </t>
  </si>
  <si>
    <t>Improved access to water, sanitation and hygiene  having an integrated climate adaptation and natural disaster risk in Smaoas national development development and investment strategies and have adequate disaster preparedness.</t>
  </si>
  <si>
    <t>Kiribati</t>
  </si>
  <si>
    <t xml:space="preserve">TA for detailed engineering design for Kiritimati (Christmas) Island multi-purpose port, Republic of Kiribati. </t>
  </si>
  <si>
    <t>The EU through this action will complete the technical, feasibility studies and design of a port in Kiritimati so construction can be effective once financial support is secured.</t>
  </si>
  <si>
    <t>Indonesia</t>
  </si>
  <si>
    <t>EU-Indonesia Cooperation Facility</t>
  </si>
  <si>
    <t>The Indonesia Cooperation Facility will provide support to continuing and enhancing EU-Indonesia relations and policy dialogue.</t>
  </si>
  <si>
    <t>Bhutan</t>
  </si>
  <si>
    <t>Promoting Sustainable Agri-Food Systems in Bhutan</t>
  </si>
  <si>
    <t>The proposed Action aims at promoting Sustainable Agri-Food Systems (SAFS) in Bhutan. It will contribute to Bhutan's food resilience and autonomy and its ambition of carbon neutral development.</t>
  </si>
  <si>
    <t>Programme de renforcement des services publics locaux (assainissement et gestion des déchets solides )</t>
  </si>
  <si>
    <t xml:space="preserve">L'objectif principal de cette action est daccélérer le développement humain, notamment en matière d'assainissement dans les zones urbaines principales des 5 régions du Togo   Spécifiquement, l'Action aura pour objectifs secondaires :   1.	L'amélioration de la salubrité urbaine à travers la limitation des nuisances environnementales et sanitaires liées aux déchets.  2.	La capacitation des collectivités territoriales (communes) en matière de gestion des déchets.   </t>
  </si>
  <si>
    <t xml:space="preserve">Cooperation Facility (CF) </t>
  </si>
  <si>
    <t>To strengthen the role of the EU as a strategic and political partner in Nigeria's affairs, to strengthen strategic communications and policy dialogue and to support the design, implementation and monitoring of planned actions under the MIP.</t>
  </si>
  <si>
    <t>TEI Cacao Durable  Côte dIvoire  Appui à la transformation de la production cacaoyère ivoirienne vers la durabilité environnementale, économique et</t>
  </si>
  <si>
    <t>TEI Cacao Durable: Mise en place (i) du cadre structurel de dialogue politique et sectoriel et (ii) d'actions pilotes ou prioritaires.</t>
  </si>
  <si>
    <t xml:space="preserve">Accompagner le renouvellement des engagements climatiques de la Cote d'ivoire </t>
  </si>
  <si>
    <t>L'action met en oeuvre le processus de suivi-évaluation des Contributions Déterminées au Niveau National de la Côte d'Ivoire</t>
  </si>
  <si>
    <t>Just energy transition from coal</t>
  </si>
  <si>
    <t>Team Europe Initiative  Agropoles davenir et lintégration des chaînes de valeur dans les systèmes alimentaires</t>
  </si>
  <si>
    <t>L'objectif global de l'action est : Contribuer à la relance socio-économique du Sénégal avec une attention particulière pour les jeunes, les femmes et les retournés/migrants potentiels.</t>
  </si>
  <si>
    <t xml:space="preserve">Appui à la gestion de la réserve de biosphère du delta du Mono et au développement de laire marine protégée de la bouche du Roy </t>
  </si>
  <si>
    <t>Renforcer la gestion de la réserve de biosphère du delta du Mono et à soutenir le développement de laire marine protégée contiguë de Nazoumè-Bouche du Roy, suivant une approche globale de développement territorial durable et résilient au changement.</t>
  </si>
  <si>
    <t>Nexus Trois Frontières</t>
  </si>
  <si>
    <t>Soutien du retour de l'État et des services de base aux populations (y compris refugiés, réplacées, retournées et hôtes) dans la zone des trois frontières avec le Mali et le Burkina Faso fragilisée par le terrorisme.</t>
  </si>
  <si>
    <t>Éducation, Formation, Emploi</t>
  </si>
  <si>
    <t>Création des opportunités pour les jeunes de plus en plus nombreux, en particulier les filles et les femmes, via un programme combinant investissements dans l'éducation primaire, secondaire et l'enseignement technique et professionel.</t>
  </si>
  <si>
    <t>Unis pour le développement durable</t>
  </si>
  <si>
    <t>Unis pour le développement durable - Environnement, Agriculture et energie.</t>
  </si>
  <si>
    <t>Contribution à l opérationnalisation du programme d utilisation durable des terres, dans le cadre de l initiative pour la forêt d Afrique centrale (CA</t>
  </si>
  <si>
    <t>Objectif global: contribuer à une gestion durable des ressources naturelles et de préserver le patrimoine naturel exceptionnel de la République du Congo.</t>
  </si>
  <si>
    <t>TEI Septentrion Pacte vert et résilience dans le Septentrion au Cameroun / agriculture et conservation</t>
  </si>
  <si>
    <t xml:space="preserve">Pacte vert et résilience dans le Septentrion au Cameroun volet paysage (agriculture/conservation).  </t>
  </si>
  <si>
    <t xml:space="preserve">Cameroun villes vertes inclusives et durables </t>
  </si>
  <si>
    <t>Action sur la gouvernance du secteur urbain (national), la mobilité (Yaoundé), les déchets (Douala) et le développement inclusif (Maroua) au Cameroun.</t>
  </si>
  <si>
    <t>Green and Smart Cities SASA</t>
  </si>
  <si>
    <t>The Overall Objective (Impact) of this action is to contribute into seizing the benefits of Tanzanias rapid urbanization by supporting a more sustainable and inclusive urban development for the benefit of the communities and businesses.</t>
  </si>
  <si>
    <t>Strengthening Environmental Resilience and Maritime Safety for Black and Caspian Sea riparian states</t>
  </si>
  <si>
    <t>The action aims at further enhancing the cooperation between beneficiary countries and with the EU Members States in the field of maritime safety and security, prevention of pollution from ships and marine environmental issues.</t>
  </si>
  <si>
    <t>Strengthen sustainable livelihoods in Myanmar</t>
  </si>
  <si>
    <t>This action aims to support social and economic resilience of Myanmar's population with a focus on the transition to more sustainable livelihoods, sustainable management of natural resources, and responsible businesses.</t>
  </si>
  <si>
    <t>Sustainable Energy Support Program</t>
  </si>
  <si>
    <t>Support to sustainable energy</t>
  </si>
  <si>
    <t>EU Green Policy Dialogue Facility</t>
  </si>
  <si>
    <t>Develop EU-LK cooperation on transition to green economy.</t>
  </si>
  <si>
    <t>Strengthening PFM, oversight and accountability in the Pacific Region</t>
  </si>
  <si>
    <t>This project aims at strengthening the governance mechanisms, enabling Pacific SIDS to achieve fiscal sustainability, diversify Pacific economies and support ability to recover the pandemic and natural disasters in a fair and responsible manner.</t>
  </si>
  <si>
    <t>Asia Pacific Investment Facility (APIF) 2021</t>
  </si>
  <si>
    <t>The Asia Pacific Investment Facility, APIF, will contribute mainly to the advancement of the Green Deal, the Digital Agenda and the creation of jobs for sustainable growth. Investments will also contribute to the Covid-19 recovery.</t>
  </si>
  <si>
    <t>02.EU acquis related activities for Environment and Climate Action policies in Montenegro</t>
  </si>
  <si>
    <t>Action plan composed by actions in the areas of Environment, Transport, Agriculture plus EU Integration Facility and EU Reform Facility.</t>
  </si>
  <si>
    <t xml:space="preserve">03.EU for Support to Sustainable Connectivity and Green Economy in Montenegro </t>
  </si>
  <si>
    <t>04.EU for Support to the Agricultural Sector in Montenegro</t>
  </si>
  <si>
    <t>Appui à l'action environnementale en Tunisie.</t>
  </si>
  <si>
    <t xml:space="preserve">L'objectif général du programme est d'améliorer la durabilité de l'économie tunisienne et amorcer sa transition écologique à travers le changement des comportements des consommateurs et des producteurs.  </t>
  </si>
  <si>
    <t>Mali</t>
  </si>
  <si>
    <t xml:space="preserve">Retour de l'État autour des PSDG et autres zones fragiles </t>
  </si>
  <si>
    <t>L'objectif de l'action est de renforcer les liens sociaux au sein des populations, mais aussi de rétablir la confiance entre les populations et l'État en répondant aux besoins exprimés par les populations dans les zones fragiles, y compris les déplacés de force. Cette action entend apporter une réponse de stabilisation intégrée et multidimensionnelle en réponse aux défis sociaux et sécuritaires auxquels l'État et les populations font face dans les zones fragiles.</t>
  </si>
  <si>
    <t xml:space="preserve">Résilience et développement durable au centre du Mali  </t>
  </si>
  <si>
    <t xml:space="preserve">L'objectif général est de Renforcer la sécurité alimentaire et nutritionnelle des populations les plus vulnérables dans les zones ciblées du centre du Mali.  OS1 La sécurité alimentaire et nutritionnelle  OS2 Les moyens de subsistance     OS3 La prévention de la malnutrition   OS4 La gestion des risques et la résilience aux chocs et crises au niveau national, local et communautaire. </t>
  </si>
  <si>
    <t>Global information on forests and biodiversity for better implementing the Global Biodiversity Framework</t>
  </si>
  <si>
    <t>The objective of this action is to enhance the conservation of forests and natural ecosystems and their contribution to poverty alleviation, security and stability.</t>
  </si>
  <si>
    <t>The action will enhance capacity and skills development of those responsible for the policy and regulatory frameworks, facilitate the development of the connectivity agenda and the application of good practices on quality infrastructure.</t>
  </si>
  <si>
    <t>EuroMed Transport Maritime Safety initiative (SafeMed V)</t>
  </si>
  <si>
    <t>Support in the implementation of the UfM Transport Action Plan.</t>
  </si>
  <si>
    <t>Honduras</t>
  </si>
  <si>
    <t xml:space="preserve">Towards a Decarbonised Economy: Adapting Agricultural Production to Climate Change in the context of the EU-Honduras Voluntary Partnership Agreement </t>
  </si>
  <si>
    <t>This Action will assist Honduras in complying with its commitments under the Paris Agreement.  As agricultural expansion is one of the main drivers of deforestation in Honduras, progress towards the countrys NDC to restore 1 million hectares of forest cannot be envisaged without the participation of agricultural producers.</t>
  </si>
  <si>
    <t>AAP 2021 - Global Challenges - Partnerships - Collect More  Spend Better: Domestic Revenue Mobilisation and Debt Management</t>
  </si>
  <si>
    <t xml:space="preserve">DRM: Addis Tax Initiative (ATI) / Network of Tax Organisations (NTO) &amp; Tax Administration Diagnostic Assessment Tool (TADAT)   Debt Management:  Support to UNCTADs Debt Management and Financial Analysis System (DMFAS).   </t>
  </si>
  <si>
    <t>EU-Central America Partnership Facility (EUreCA)</t>
  </si>
  <si>
    <t>This action will support the realization of the potential of the Central American integration process as a driver of sustainable development in the sub-region, promoting stability, peace and the reduction of inequalities.</t>
  </si>
  <si>
    <t>EUROCLIMA 2.0 2021</t>
  </si>
  <si>
    <t>Thi phase of the regional climate change programme EUROCLIMA for Latin America and Caribbean  will continue strengthening a process reinforcing resilience of the LA region to climate change and biodiversity.</t>
  </si>
  <si>
    <t>Contribution to the UN Road Safety Fund (UNRSF)</t>
  </si>
  <si>
    <t>The UNRSF aims to help low- and middle-income countries put in place effective national road safety systems in order to (a) substantially curb the number of fatalities and injuries from roads crashes, and (b) reduce economic losses from crashes.</t>
  </si>
  <si>
    <t>EU contribution to the provisioning of the External Lending Mandate (ELM) legacy portfolio for past EIB operations in Turkey 2021</t>
  </si>
  <si>
    <t>Environment and Climate Change</t>
  </si>
  <si>
    <t xml:space="preserve">The activities under the action, including information-based decision-making and monitoring systems, capacity development at national and local level through trainings and other means, increasing implementation capacity, and the development of procedures and databases, etc. will increase Turkey's capacity in dealing with climate change and environment-related issues and make it better prepared for the reaction to natural disasters. </t>
  </si>
  <si>
    <t>Support Measures AAP 2021 Global Challenges - Planet strategic area</t>
  </si>
  <si>
    <t>Support Measures for the AAP 2021 Global Challenges Planet</t>
  </si>
  <si>
    <t>EU4 Energy</t>
  </si>
  <si>
    <t>Annual Action Plan in favour of Bosnia and Herzegovina for 2021</t>
  </si>
  <si>
    <t>Contribution (phase 2) to the Africa Investment Facility in support of regional economic integration in West Africa.</t>
  </si>
  <si>
    <t>The overall objective of this project is to contribute to poverty reduction and to sustainable and inclusive economic development through regional economic integration in West Africa, with an emphasis on the improvement of regional economic infrastructures.</t>
  </si>
  <si>
    <t>Burundi</t>
  </si>
  <si>
    <t>DUKINGIRE IBIDUKIKIJE - Conservation et valorisation des écosystèmes naturels et de leur biodiversité pour une croissance verte des communautés rurale</t>
  </si>
  <si>
    <t>L'Action vise à renforcer la conservation et la valorisation de la biodiversité, ainsi que le développement socio-économique du pays, par le biais de la protection et de la valorisation des services écosystémiques du bassin de la rivière Ruzizi.</t>
  </si>
  <si>
    <t>Support to the visibility strategy of the EU Regional Facility for Development in Transition</t>
  </si>
  <si>
    <t>998: Unallocated/ Unspecified</t>
  </si>
  <si>
    <t>It is a one year action which will be mainly focus on the DiT Facility response to COVID 19 recovery.</t>
  </si>
  <si>
    <t>Funds to allow balance payment: CTR DCI-ENV/2015/369-238 ''Strengthening of financial sustainability and biodiversity of Gile National Reserve - Mozam</t>
  </si>
  <si>
    <t>The proposed action aims at contributing to reduce the loss of biodiversity in Gilé National Reserve and its surrounding areas introducing sustainable financing mechanisms. The overall aim is to use, this project as a pilot so that it can be used in other conservation areas in Mozambique.</t>
  </si>
  <si>
    <t>Community Livelihood and Biodiversity Recovery (COLIBRI)</t>
  </si>
  <si>
    <t>To contribute to the recovery of community livelihood and biodiversity through Civil Society Organisations effective engagement and management in the protection and preservation of natural resources in Sri Lanka.</t>
  </si>
  <si>
    <t>Bolivia</t>
  </si>
  <si>
    <t>Fortalecimiento de la capacidad institucional en el sector de agua, saneamiento y gestión de los recursos naturales para una eficiente gestión del Apo</t>
  </si>
  <si>
    <t>El objetivo general es contribuir al avance de las metas sectoriales determinadas en el PDES para la provisión de servicios básicos, el acceso y la conservación de los recursos naturales para los ciudadano/as de Bolivia.     El objetivo específico es coadyuvar a una ejecución más efectiva y a la sostenibilidad de las políticas sectoriales apoyadas por la UE a través de Programas de Apoyo Presupuestario Sectorial en el sector de agua, saneamiento y gestión de recursos naturales.</t>
  </si>
  <si>
    <t>European Investment Bank</t>
  </si>
  <si>
    <t>NA</t>
  </si>
  <si>
    <t>NR</t>
  </si>
  <si>
    <t>RESEAU FERROVIAIRE RAPIDE</t>
  </si>
  <si>
    <t>Provided</t>
  </si>
  <si>
    <t>Multilateral</t>
  </si>
  <si>
    <t>Loan</t>
  </si>
  <si>
    <t>mitigation</t>
  </si>
  <si>
    <t>Rail transport</t>
  </si>
  <si>
    <t>Réalisation de  la première phase  d'un réseau ferré prioritaire à Tunis d'une longueur de 18 kilomètres: premières sections des lignes D (Tunis-Centre/ Manouba ElGobaa) et E (Tunis-Centre / Ezzouhour).</t>
  </si>
  <si>
    <t>China</t>
  </si>
  <si>
    <t>CHINA CLIMATE CHANGE FRAMEWORK LOAN II</t>
  </si>
  <si>
    <t>Energy generation, renewable sources - multiple technologies</t>
  </si>
  <si>
    <t>Framework loan to the People's Republic of China to support climate change mitigation projects that contribute to the avoidance or reduction of greenhouse gas (GHG), in particular renewable energy and energy efficiency projects.</t>
  </si>
  <si>
    <t>UKRAINE MUNICIPAL INFRASTRUCTURE PROGRAMME</t>
  </si>
  <si>
    <t>Urban development and management</t>
  </si>
  <si>
    <t>Framework loan for the rehabilitation and upgrading of municipal infrastructure in Ukraine.</t>
  </si>
  <si>
    <t>UKRAINE RAILWAY MODERNIZATION</t>
  </si>
  <si>
    <t>The Project consists of the phased construction of the electrification of two railway sections, Dolynska - Mykolaiv and Mykolaiv - Kolosivka, over a total length of approximately 253 km.</t>
  </si>
  <si>
    <t>Tanzania, United republic of</t>
  </si>
  <si>
    <t>DASOS TIMBERLAND FUND II</t>
  </si>
  <si>
    <t>Equity</t>
  </si>
  <si>
    <t>Forestry policy and administrative management</t>
  </si>
  <si>
    <t>Fund targeting forestry assets mainly in Europe</t>
  </si>
  <si>
    <t>Fund targeting forestry assets mainly in Europe.</t>
  </si>
  <si>
    <t>Regional - Africa</t>
  </si>
  <si>
    <t>ALTHELIA CLIMATE FUND</t>
  </si>
  <si>
    <t>Innovative pilot fund for forest based carbon and other environmentally certified credits, aiming to protect the environment and reduce carbon emissions through sustainable land use and conservation of primary forest.</t>
  </si>
  <si>
    <t>CAIRO METRO LINE 3 (PHASE 3)</t>
  </si>
  <si>
    <t>Extension of Line 3 (Phase 3) of the Cairo Metro with 17.7 km to serve the main transportation corridors of urban greater Cairo.</t>
  </si>
  <si>
    <t>LV WATSAN - MWANZA</t>
  </si>
  <si>
    <t>adaptation</t>
  </si>
  <si>
    <t>Water supply and sanitation - large systems</t>
  </si>
  <si>
    <t>The project consists of the extension and upgrading of water supply and sanitation in Mwanza and satellite towns, including peri-urban sanitation, as well as sanitation in the towns of Musoma and Bukoba.</t>
  </si>
  <si>
    <t>GLOBAL CLIMATE PARTNERSHIP FUND</t>
  </si>
  <si>
    <t>Global debt fund focusing on the finance of small scale energy efficiency and renewable energy investments.</t>
  </si>
  <si>
    <t>LAKSAM AKHAURA DOUBLE TRACK RAIL PROJECT</t>
  </si>
  <si>
    <t>Construction of a second track and upgrading of the existing track on the 72 km section between Laksam and Akhaura in eastern central Bangladesh, forming part of the Trans-Asian Railway network.</t>
  </si>
  <si>
    <t>ONEE - PROJET EOLIEN</t>
  </si>
  <si>
    <t>Wind energy</t>
  </si>
  <si>
    <t>Ce projet concerne le développement de trois parcs éoliens dans le cadre de la phase II du Programme Eolien Intégré de l'ONEE sur les sites de Tanger II (150 MW), Midelt (100 MW) et Jbel Lahdid (Essaouira - 200 MW).</t>
  </si>
  <si>
    <t>WATER SUPPLY SEWERAGE AND SOLID WASTE</t>
  </si>
  <si>
    <t>The water and wastewater component will primarily support improvements in water supply, metering and wastewater networks. The solid waste management component of the project comprises construction of sanitary landfills and closure of the existing dumpsites, as well as supply of waste collection equipment for the local municipal companies.</t>
  </si>
  <si>
    <t>ROUTE 10 RAIL REHABILITATION</t>
  </si>
  <si>
    <t>Rehabilitation of 149 km of single track railway from the northern border with Serbia to the southern border with North Macedonia.</t>
  </si>
  <si>
    <t>DHAKA ENVIRONMENTALLY SUSTAINABLE WATER SUPPLY</t>
  </si>
  <si>
    <t>Water supply - large systems</t>
  </si>
  <si>
    <t>The project will develop a new sustainable surface water resource that will contribute to meeting an increasing water demand in Dhaka and enable a reduction in extraction from over-exploited groundwater resources. The project will increase the security of water supply and improve the resilience to adverse impacts from climate change.</t>
  </si>
  <si>
    <t>JIJI MULEMBWE HYDROPOWER BURUNDI</t>
  </si>
  <si>
    <t>Hydro-electric power plants</t>
  </si>
  <si>
    <t>The Jiji and Mulembwe Hydropower Project consists of the construction of two run-of-the-river hydropower plants Jiji (31.5 MW) and Mulembwe (16.5 MW) in southern Burundi as well as an 80 km 110 kV transmission line to evacuate the power to the capital, Bujumbura, which is interconnected at a national and regional level.  The project will increase the supply of clean and affordable electricity to the national grid. The project also includes the electrification of rural communities in the vicinity of the power plants.</t>
  </si>
  <si>
    <t>Moldova, Republic of</t>
  </si>
  <si>
    <t>FRUIT GARDEN OF MOLDOVA</t>
  </si>
  <si>
    <t>cross-cutting</t>
  </si>
  <si>
    <t>Agricultural development</t>
  </si>
  <si>
    <t>Loan to the Republic of Moldova for the upgrading of the horticultural sector.</t>
  </si>
  <si>
    <t>UKRAINE HIGHER EDUCATION</t>
  </si>
  <si>
    <t>Higher education</t>
  </si>
  <si>
    <t>The project concerns the construction and refurbishment of teaching, research and supporting facilities of seven universities: Kharkiv Polytechnical Institute, Kiev Dragomanov National Pedagogical University, Lviv Polytechnic National University, Poltava National Technical Yuri Kondratyuk University, Chernihiv State Technological University, Sumy State University and Vinnitsa National Technical University.</t>
  </si>
  <si>
    <t>URBAN WATER SUPPLY PROGRAMME</t>
  </si>
  <si>
    <t>The Urban Water Supply Programme aims at expanding and rehabilitating urban water supply and sanitation infrastructures in small and medium towns in Ethiopia. The funds will be channelled through the Water Resources Development Fund (WRDF), under the Ministry of Water, Irrigation and Energy, and will be managed through a revolving fund mechanism, on a full cost recovery principle. The programme also aims at the improvement of the institutional capacity of the WRDF, the Regional Water Bureaus and the Town Water Utilities.</t>
  </si>
  <si>
    <t>AEP ABIDJAN</t>
  </si>
  <si>
    <t>Basic drinking water supply and basic sanitation</t>
  </si>
  <si>
    <t>Renforcement du réseau de desserte d'eau potable de la ville d'Abidjan dans le cadre du programme d'investissements prioritaires pour l'augmentation des capacités d'approvisionnement en eau potable d'Abidjan.</t>
  </si>
  <si>
    <t>Panama</t>
  </si>
  <si>
    <t>PANAMA CITY AND BAY WASTEWATER TREATMENT PROJECT</t>
  </si>
  <si>
    <t>The Project will improve the environmental conditions of Panama City and Bay by doubling the current treatment capacity of 190 000 cubic meters per day to 380 000 cubic meters per day of the Juan Díaz Wastewater Treatment Plant.</t>
  </si>
  <si>
    <t>ENERGY ACCESS FUND</t>
  </si>
  <si>
    <t>The operation concerns an investment in a private equity fund, sponsored by Schneider Electric, that will focus on financing SMEs active in electricity generation and distribution in Sub-Saharan Africa. The fund aims to provide access to electricity to at least one million low-income beneficiaries, located in rural and semi-urban areas. The fund will focus on off-grid rural electrification, in particular solar home systems, micro-grid infrastructure and other small/micro-scale renewable energy and hybrid technologies, and will start investing in companies with operations in East Africa before expanding to other Sub-Saharan African countries. As an operation aiming to generate superior developmental impact, it qualifies for the Social Impact Funds window of the Financing Envelope that was launched early 2014 following the increase of the IF resources by EUR 500m for the 2014-2020 period.</t>
  </si>
  <si>
    <t>Fiji</t>
  </si>
  <si>
    <t>FIJI WATER AND WASTEWATER PROJECT</t>
  </si>
  <si>
    <t>The project will upgrade and develop water supply and wastewater infrastructure in the greater urban area of Fiji's capital Suva to increase climate change resilience of the water supply system. The project includes construction of a new water treatment facility, upgrading of an existing waste-water treatment plant, improvement of water distribution and  wastewater collection networks.</t>
  </si>
  <si>
    <t>RESEAU FERROVIAIRE RAPIDE II</t>
  </si>
  <si>
    <t>L'opération vise le financement du matériel roulant nécessaire pour le besoin d'exploitation d'un nouveau système de transport rapide à Tunis (Tunisie) qui comprend la construction de deux lignes ferroviaires de banlieue d'une longueur totale de 17 km. L'infrastructure est en construction et fait partie du Projet. Elle a déjà fait l'objet d'une première opération de financement (2009-0154 RESEAU FERROVIAIRE RAPIDE).</t>
  </si>
  <si>
    <t>ONEE - AMELIORATION AEP ET ASSAINISSEMENT</t>
  </si>
  <si>
    <t>Programme d'amélioration d'Alimentation en Eau Potable et Assainissement.</t>
  </si>
  <si>
    <t>MOLDOVA RAIL INFRASTRUCTURE AND ROLLING STOCK FL</t>
  </si>
  <si>
    <t>The project consists of a framework with two components:_x000D_
(i) acquisition of 11 main-line diesel locomotives suitable for both freight and passenger services and the associated maintenance equipment;_x000D_
(ii) rehabilitation of selected sections of railway infrastructure.</t>
  </si>
  <si>
    <t>NEPAL GRID DEVELOPMENT PROGRAMME</t>
  </si>
  <si>
    <t>Electric power transmission and distribution (centralised grids)</t>
  </si>
  <si>
    <t>This project comprises the construction of transmission infrastructure, comprising a 26.5 km long 220 kV overhead transmission line from Chilime to Trishuli and 2 new substations, that are required to evacuate electricity from newly-constructed hydropower plants in the Trishuli River basin into the national grid, as well as a rural electrification component to supply power to communities in the vicinity of the project areas. The project also includes an upgrade of the national Load Dispatch Center (LDC).</t>
  </si>
  <si>
    <t>Regional - East Africa</t>
  </si>
  <si>
    <t>AFRICA SUSTAINABLE FORESTRY FUND II</t>
  </si>
  <si>
    <t>Agricultural financial services</t>
  </si>
  <si>
    <t>Equity fund combating climate change by investing in sustainable forestry projects in Sub-Saharan Africa.</t>
  </si>
  <si>
    <t>ARBARO FUND</t>
  </si>
  <si>
    <t>A fund combating climate change by investing in forestry and forest conservation projects to sequester and reduce emissions of carbon.</t>
  </si>
  <si>
    <t>OLKARIA I GEOTHERMAL EXTENSION</t>
  </si>
  <si>
    <t>Geothermal energy</t>
  </si>
  <si>
    <t>The project consists of the extension of the existing Olkaria I geothermal power plant with an additional  70 MWe  turbine (Unit 6), the necessary wells, steam gathering system and interconnection facilities.</t>
  </si>
  <si>
    <t>UKRAINE AGRI-FOOD APEX LOAN</t>
  </si>
  <si>
    <t>Loan to Ukraine to finance the upgrading of (i) cereals, (ii) oil seeds and (iii) aquaculture and fisheries value chains.</t>
  </si>
  <si>
    <t>CORRIDOR COTIER - SECTION SUD</t>
  </si>
  <si>
    <t>Financement des travaux de réhabilitation de la route Sénoba-Ziguinchor-Mpack et de desenclavement des regions du sud du Senegal.</t>
  </si>
  <si>
    <t>MERIDIAM INFRASTRUCTURE AFRICA FUND</t>
  </si>
  <si>
    <t>The Fund will finance primarily greenfield infrastructure projects in the energy and power, transportation, environmental infrastructure, social infrastructure and telecommunications sectors across Africa.</t>
  </si>
  <si>
    <t>UKRAINE URBAN PUBLIC TRANSPORT FL</t>
  </si>
  <si>
    <t>Transport policy and administrative management</t>
  </si>
  <si>
    <t>Framework loan for the financing of urban public transport investments in up to 20 municipalities in Ukraine.</t>
  </si>
  <si>
    <t>NACHTIGAL HYDROPOWER PLANT</t>
  </si>
  <si>
    <t>Construction of a 420 MW hydroelectric power plant on the Sanaga river, approximately 65km north of Yaound.</t>
  </si>
  <si>
    <t>AFRICA RENEWABLE ENERGY FUND</t>
  </si>
  <si>
    <t>Equity investment in a fund focussing on renewable energy projects.</t>
  </si>
  <si>
    <t>GUARANTEE FOR ECONOMIC DEVELOPMENT IN UKRAINE</t>
  </si>
  <si>
    <t>Guarantee</t>
  </si>
  <si>
    <t>Energy conservation and demand-side efficiency</t>
  </si>
  <si>
    <t>EIB guarantee in favour of IBRD, covering five IBRD investment loans in Ukraine contributing to the development of economic infrastructure. The guarantee will release IBRD exposure to Ukraine, enabling IBRD to support emergency gas purchases by Naftogaz.</t>
  </si>
  <si>
    <t>PROGRAMME NATIONAL ASSAINISSEMENT 2 (PNA 2)</t>
  </si>
  <si>
    <t>Sanitation - large systems</t>
  </si>
  <si>
    <t>The project concerns the installation, rehabilitation and extension of wastewater collection networks and the construction of wastewater treatment plants (WWTPs) by Office National de l'Eau et de l'Electricité (ONEE) in a number of small and medium-sized towns throughout the Kingdom of Morocco. The project is a successor operation to the PNA 1 operation signed in 2012.</t>
  </si>
  <si>
    <t>MONTENEGRO RAILWAYS III</t>
  </si>
  <si>
    <t>Rehabilitation of railway infrastructure along the main North-South trunk line crossing Montenegro (extended core TEN-T, Orient/East Med Corridor)</t>
  </si>
  <si>
    <t>OMVG - INTERCONNECTION</t>
  </si>
  <si>
    <t>Interconnexion électrique entre les pays membres de l'OMVG (Organisation de Mise en Valeur du fleuve Gambie: Sénégal, La Gambie, Guinée Bissau et Guinée Conakry).</t>
  </si>
  <si>
    <t>Guinea</t>
  </si>
  <si>
    <t>LEASING AND LENDING FOR SMES</t>
  </si>
  <si>
    <t>Formal sector financial intermediaries</t>
  </si>
  <si>
    <t>The project consists of a loan to the Federal Democratic Republic of Ethiopia for on lending to the Development Bank of Ethiopia (DBE), which, in turn, will on-lend directly (leasing finance) to eligible SMEs and indirectly (leasing and loan finance) through financial institutions. The loan is part of a wider SME support scheme led by the WB, the aim of which is to provide sustainable access to finance for SMEs in Ethiopia and capacity building to DBE, as well as Ethiopian leasing companies, microfinance institutions (MFIs), commercial banks (defined as Participating Financial Institutions, PFIs) and SMEs.</t>
  </si>
  <si>
    <t>UNIVERSITE EURO-MEDITERRANEENNE DE FES (UEMF)</t>
  </si>
  <si>
    <t>Education facilities and training</t>
  </si>
  <si>
    <t>Le projet soutient la création d'une nouvelle université à Fès, au Maroc. Cette nouvelle institution est co-dévelopée en partenariats avec plusieurs institutions d'enseignement supérieur et de recherche en Europe en vue d'offrir des formations conformes aux standards européens et des diplômes reconnus officiellement en Europe, de conduire une recherche de pointe et d'oeuvrer en faveur d'un rapprochement des deux rives de la Méditerranée. Cette initiative est soutenue par l'Union pour la Méditerranée et la Commission Européenne. Le projet financera l'édification d'un éco-campus situé à Fès, qui comprendra des installations dédiées à la recherche, des bâtiments d'enseignement, une résidence universitaire des locaux pour la gestion administrative et des installations sportives.  L'université est principalement financée par les droits de scolarité et son statut légal est celui d'une fondation d'utilité publique.</t>
  </si>
  <si>
    <t>CHISINAU ENERGY EFFICIENCY</t>
  </si>
  <si>
    <t>The operation is a framework loan (FL) in support of sustainable energy efficiency improvements targeting public buildings in Chisinau, Republic of Moldova. Part of the allocations under the FL has already been identified ex ante through advisory support and consists of the refurbishment of 22 public buildings. The remainder of the pipeline of allocations will be further developed by the Municipality of Chisinau, the promoter, with advisory support and may also include residential buildings.</t>
  </si>
  <si>
    <t>MALAWI NRWB WATER EFFICIENCY PROJECT</t>
  </si>
  <si>
    <t>2016-2019 investment programme to optimise the use of available water resources and increase the supply capacity to bridge the water supply-demand gap for the populations of the cities of Mzuzu, Ekwendeni, Chitipa and Mzimba in  he north of Malawi. The project's main components consist of upgrading and extending the water distribution system, upgrading of water treatment works, reduction of leakages, improving network management and water supply to low income areas.</t>
  </si>
  <si>
    <t>POWER SECTOR RECOVERY PROJECT SAO TOME ISLAND</t>
  </si>
  <si>
    <t>The project comprises multiple schemes concerning power infrastructure and provides technical assistance for implementation, capacity building and sector reforms. The project aims to increase renewable capacity and reduce losses in the network while improving overall system security and safety of supply. This will be done by rehabilitating an existing 1.9 MW hydropower plant, upgrading the low and medium voltage distribution network, and installing electricity meters.</t>
  </si>
  <si>
    <t>Regional - Latin America</t>
  </si>
  <si>
    <t>FONPLATA REGIONAL FRAMEWORK LOAN</t>
  </si>
  <si>
    <t>Multisector aid</t>
  </si>
  <si>
    <t>The Framework Loan aims at supporting multi-sector projects targeting extreme poverty and climate change resilience in the sub-region eligible for Fonplata financing, which comprises the River Plata Basin (i.e. part of Argentina, Bolivia, Brazil, Paraguay and Uruguay).</t>
  </si>
  <si>
    <t>INTERCONNEXION ELECTRIQUE 225 KV GUINEE-MALI</t>
  </si>
  <si>
    <t>Implementation of a 225 kV electricity interconnector of approximately 1054 km between Guinea and Mali.</t>
  </si>
  <si>
    <t>YANGTZE RIVER BASIN FOREST PROTECTION</t>
  </si>
  <si>
    <t>Forestry development</t>
  </si>
  <si>
    <t>The operation is to finance a programme of investments in Jiangxi and Anhui Provinces (China) for the period 2019-2023, covering about 107,000 ha and focusing on establishing new forests (about 32,000 ha) and improving quality of existing forests (about 75,000 ha) through sustainable forest management. The operation is part of a broader three-province investment programme including Sichuan province, which will be separately financed by the World Bank. The main purpose of the investments is to protect biodiversity and enhance resilience and adaptation to the negative impacts of climate change.</t>
  </si>
  <si>
    <t>Kingdom of Eswatini</t>
  </si>
  <si>
    <t>LOWER USUTHU SMALLHOLDER IRRIGATION II</t>
  </si>
  <si>
    <t>Agricultural water resources</t>
  </si>
  <si>
    <t>The second phase of the Lower Usuthu Smalholder Irrigation Project (LUSIP II) aims at equipping 5,750 ha with irrigation infrastructure including main conveyance, distribution network and on-farm infrastructure and targets smallholders as final beneficiaries. LUSIP II is the second phase of an investment to establish an irrigation system in the Usuthu River basin in Swaziland to adapt the agricultural production systems to the changing climate while addressing widespread poverty in the region.  The project's first phase (LUSIP I), which included building a reservoir, was already financed by the Bank.</t>
  </si>
  <si>
    <t>ECOENTERPRISES FUND III</t>
  </si>
  <si>
    <t>Biodiversity</t>
  </si>
  <si>
    <t xml:space="preserve">An investment fund targeting companies and projects that deliver biodiversity benefits._x000D_
</t>
  </si>
  <si>
    <t>BANGALORE METRO RAIL PROJECT - LINE R6</t>
  </si>
  <si>
    <t>Construction of a 23 km metro line and purchase of a fleet of about 96 metro cars in Bangalore, Karnataka, in southern India.</t>
  </si>
  <si>
    <t>Viet Nam</t>
  </si>
  <si>
    <t>HANOI METRO LINE</t>
  </si>
  <si>
    <t>Construction of a new metro line in Hanoi (Metro Line 3).</t>
  </si>
  <si>
    <t>INTERNATIONAL HOUSING SOLUTIONS FUND II</t>
  </si>
  <si>
    <t>Equity fund for affordable and energy efficient housing projects in Namibia and Botswana.</t>
  </si>
  <si>
    <t>Brazil</t>
  </si>
  <si>
    <t>BRDE CLIMATE ACTION FL</t>
  </si>
  <si>
    <t>Framework Loan to part-finance a series of climate action projects in the southern states of Brazil , including small-scale hydroelectric power plant projects as well as energy efficiency and mobility projects in urban areas, which could benefit from technical assistance under the FELICITY (Financing Energy for Low-Carbon Investment - Cities Advisory Facility) Initiative.</t>
  </si>
  <si>
    <t>POST-DISASTER AND CLIMATE CHANGE RESILIENCE FL</t>
  </si>
  <si>
    <t>Immediate post-emergency reconstruction and rehabilitation</t>
  </si>
  <si>
    <t>Multi-sector framework loan to finance the reconstruction of infrastructure damaged by natural disasters and increase resilience to climate change in Dominican Republic.</t>
  </si>
  <si>
    <t>SUSTAINABLE OCEAN FUND</t>
  </si>
  <si>
    <t>Fishery development</t>
  </si>
  <si>
    <t>Investment fund targeting projects in sustainable fisheries and aquaculture, responsible seafood supply chains and sustainable coastal development.</t>
  </si>
  <si>
    <t>Regional - Southern Africa</t>
  </si>
  <si>
    <t>EVOLUTION II</t>
  </si>
  <si>
    <t>Equity investment into Evolution II Fund targeting renewable energy, energy efficiency and other resource efficiency projects and related corporate investments in sub-Saharan Africa.</t>
  </si>
  <si>
    <t>YEREVAN ENERGY EFFICIENCY</t>
  </si>
  <si>
    <t>The operation is a framework loan (FL) in support of sustainable energy efficiency improvements targeting public buildings in Yerevan, Armenia. Part of the allocations under the FL has already been identified ex ante through advisory support and consists of the refurbishment of 16 public buildings. The remainder of the pipeline of allocations will be further developed by the Municipality of Yerevan, the promoter, with advisory support.</t>
  </si>
  <si>
    <t>PRIORITY WATER SUPPLY INVESTMENTS</t>
  </si>
  <si>
    <t>The project consists of priority investments for the rehabilitation and expansion of water supply production facilities and distribution systems in nine provincial cities across Angola, plus institutional support.</t>
  </si>
  <si>
    <t>DENHAM INTERNATIONAL POWER FUND</t>
  </si>
  <si>
    <t>Equity participation in a Fund investing in power generation assets (using renewable energy and natural gas) in Sub-Saharan Africa, Southeast Asia and Latin America.</t>
  </si>
  <si>
    <t>IREDA-RENEWABLE ENERGY AND ENERGY EFFICIENCY FL2</t>
  </si>
  <si>
    <t>The operation consists of a framework loan for the support of small to medium-scale capital investments in renewable energy. The framework loan is expected to fund photovoltaic (PV) and on-shore wind technologies.</t>
  </si>
  <si>
    <t>Gambia</t>
  </si>
  <si>
    <t>GAMBIA RENEWABLE ENERGY</t>
  </si>
  <si>
    <t>Implementation of an energy sector program in Gambia, including (1) up to 20 MW grid-connected PV plant, (2) grid reinforcement investments, (3) electricity sector institutional and technical support and (4) off-grid PV systems installed on up to 1100 public schools and health facilities.</t>
  </si>
  <si>
    <t>FAYOUM WASTEWATER EXPANSION PROJECT</t>
  </si>
  <si>
    <t>Investment programme for the construction and expansion of wastewater collection and treatment facilities in the vicinity of Lake Qarun (Fayoum Governorate). The programme will be implemented in two phases.</t>
  </si>
  <si>
    <t>ARCH AFRICA RENEWABLE POWER FUND LLP</t>
  </si>
  <si>
    <t>Equity fund focused on medium size renewable energy projects (10-60 MW) in Africa.</t>
  </si>
  <si>
    <t>Regional - Asia</t>
  </si>
  <si>
    <t>MGM SUSTAINABLE ENERGY FUND II</t>
  </si>
  <si>
    <t>Equity fund focused on energy efficiency and small size renewable energy projects in Latin America, the Caribbean and South East Asia.</t>
  </si>
  <si>
    <t>BOLIVIA MI AGUA WATER AND SANITATION</t>
  </si>
  <si>
    <t>The project consists of water and sanitation investments in a series of municipalities of Bolivia.</t>
  </si>
  <si>
    <t>ISP LOAN FOR SMES AND OTHER PRIORITIES IV</t>
  </si>
  <si>
    <t xml:space="preserve">Loan for financing SMEs, Mid-Caps and eligible projects promoted by local authorities and final beneficiaries of any size for investments of limited scale in the fields of knowledge economy, energy, environmental protection and improvement, industry, health, education and services, and possibly EYET projects.
</t>
  </si>
  <si>
    <t>CRAFT - CLIMATE RESILIENCE SOLUTIONS FUND</t>
  </si>
  <si>
    <t>Environmental policy and administrative management</t>
  </si>
  <si>
    <t>CRAFT is an investment fund targeting private companies providing climate resilience solutions in order to drive adaptation to Climate Change. Companies will operate in or develop climate solutions for developing countries. The Fund, domiciled in Luxembourg, has a target size of USD 250m and is managed by Lightsmith Resilience Partners.</t>
  </si>
  <si>
    <t>Regional - ACP</t>
  </si>
  <si>
    <t>LAND DEGRADATION NEUTRALITY FUND</t>
  </si>
  <si>
    <t>Agricultural land resources</t>
  </si>
  <si>
    <t>Cornerstone investment in a fund targeting sustainable land use projects, promoted by the United Nations Convention to Combat Desertification (UNCCD).</t>
  </si>
  <si>
    <t>RUZIZI III REGIONAL HYDROPOWER PPP &amp;TRANSMISSION</t>
  </si>
  <si>
    <t>The project consists of the construction of Ruzizi III, a 147 MW run-of-river hydropower plant on Ruzizi River bordering DR Congo and Rwanda. It will be developed as a Public Private Partnership (PPP) through a concession to a private investor to develop, finance, build, operate and maintain the plant. The plant will be the third hydropower development on the river, following Ruzizi I (29.8 MW) and Ruzizi II (43.8 MW). Also included in the project is a public sector component of 220 kV transmission lines and substations enabling evacuation of the power from the plant to the 3 beneficiary countries, Burundi, DR Congo and Rwanda.</t>
  </si>
  <si>
    <t>DEIR ALLA WATER SUPPLY AND SANITATION</t>
  </si>
  <si>
    <t>Improvements to the existing water supply systems of the Deir Alla and Al Karameh districts in the Jordan Valley and provision of a first time centralized wastewater collection and treatment system for Deir Alla.</t>
  </si>
  <si>
    <t>GEF SOUTH ASIA GROWTH FUND II</t>
  </si>
  <si>
    <t>Equity participation in GEF South Asia Growth Fund II, a USD 150m regional fund targeting SMEs that promote energy efficiency,  environmental actions and circular economy in agricultural projects, renewable energy and efficient use of water in India and Bangladesh.</t>
  </si>
  <si>
    <t>PARTNERSHIP FOR LOCAL DEVELOPMENT</t>
  </si>
  <si>
    <t>Revitalization of public infrastructure in the most deprived and poorest municipalities in the country.</t>
  </si>
  <si>
    <t>ONEE-AEP AMELIORATION ET ASSAINISSEMENT II</t>
  </si>
  <si>
    <t>Prêt-cadre visant la modernisation et la réhabilitation des réseaux et infrastructures existants pour la production et la distribution d'eau potable à travers le Maroc.</t>
  </si>
  <si>
    <t>EUROPEAN ROADS UKRAINE III</t>
  </si>
  <si>
    <t>The project will finance the construction of Lviv Northern bypass and the rehabilitation of sections of M-05 in Cherkasy, Kirovohrad, Mykolaiv and Odesa regions in Ukraine.</t>
  </si>
  <si>
    <t>WATER SUPPLY AND SANITATION PROGRAMME</t>
  </si>
  <si>
    <t>The project consists of the first phase of the Government programme aiming at the improvement and expansion of the provisioning of drinking water as well as sanitation in secondary cities in Nicaragua.</t>
  </si>
  <si>
    <t>ZAMBIA AGRICULTURE VALUE CHAIN FACILITY</t>
  </si>
  <si>
    <t>The project comprises an intermediated facility for on-lending to eligible private agri-food sector investments in Zambia.</t>
  </si>
  <si>
    <t>UCBS IMPACT INCENTIVE LOAN FOR SMES &amp; MID-CAPS</t>
  </si>
  <si>
    <t>A loan facility with UniCredit Bank Srbija A.D. focused on supporting local businesses who commit to generate greater socio-economic impact and sustainable growth in Serbia.</t>
  </si>
  <si>
    <t>JIANGXI WATER TRANSPORT I</t>
  </si>
  <si>
    <t>Water transport</t>
  </si>
  <si>
    <t>The project consists of the construction of the Bazizui navigation hub on the Xinjiang river, one of the five major river systems in Jiangxi province. The proposed project is part of a larger and more comprehensive waterborne transport infrastructure programme, involving other internal waterways projects on Xinjiang and Ganjiang rivers. After project completion, the cargo expected to be transported in the waterway will be mainly solid bulk and general cargo.</t>
  </si>
  <si>
    <t>Lao People's Democratic Rep.</t>
  </si>
  <si>
    <t>LAO RESILIENT RURAL ROADS</t>
  </si>
  <si>
    <t>The project covers a 4-year rehabilitation programme of provincial and district roads in six provinces of Lao PDR and includes investments to increase climate resilience.</t>
  </si>
  <si>
    <t>KPONG DAM RETROFIT</t>
  </si>
  <si>
    <t>Rehabilitation and upgrade of the electromechanical equipment and systems of the 160MW hydropower plant on the Volta river.</t>
  </si>
  <si>
    <t>RESPONSABILITY ACCESS TO CLEAN POWER FUND</t>
  </si>
  <si>
    <t>Investment fund providing debt and mezzanine financing to energy access companies that provide distributed generation solutions (primarily based on solar energy) to households and SMEs mainly Africa and Asia.</t>
  </si>
  <si>
    <t>CARIBBEAN AND PACIFIC IMPACT FINANCE FACILITY</t>
  </si>
  <si>
    <t>Lending Facility to provide medium to long-term funding to low-income small and micro-enterprises, low income households and community based organisations through selected financial intermediaries in the Caribbean and Pacific countries.</t>
  </si>
  <si>
    <t>SERBIAN INLAND WATERWAY INFRASTRUCTURE</t>
  </si>
  <si>
    <t>The project consists of several investments in the existing core Trans-European Transport (TEN-T) Rhine-Danube inland waterway network of the Republic of Serbia, along the Danube and Sava rivers, which aim at increasing the capacity and improving the efficiency and the safety of the inland waterway navigation, thus allowing for a modal shift from roads to river navigation. The different schemes of the framework loan will be linked to the 2015-2025 Development Strategy on Waterborne Transport of the Republic of Serbia.</t>
  </si>
  <si>
    <t>Cape Verde</t>
  </si>
  <si>
    <t>CAPE VERDE CONNECTIVITY PROGRAMME</t>
  </si>
  <si>
    <t>Telecommunications</t>
  </si>
  <si>
    <t>The project concerns the promoter's investments in Cape Verde to increase the availability and quality of mobile and fixed high speed broadband services (based on 3G, 4G and FTTx) as well as the construction and installation of a submarine cable branch for linking Cape Verde with a Latin America to Europe submarine cable system.</t>
  </si>
  <si>
    <t>Israel</t>
  </si>
  <si>
    <t>NEW THERMAL STORAGE MANUFACTURING PLANT (EDP)</t>
  </si>
  <si>
    <t>Industrial development</t>
  </si>
  <si>
    <t>The project consists of the financing of a production plant for the commercial roll-out of innovative, cost-competitive large-scale, long-duration thermal energy storage units suitable for different market applications and segments.</t>
  </si>
  <si>
    <t>MICROFUND FOR WOMEN MICROFINANCE LOAN</t>
  </si>
  <si>
    <t>Informal/semi-formal financial intermediaries</t>
  </si>
  <si>
    <t>USD loan to fund the microfinance activities of Microfund for Women ("MFW") which mainly supports female entrepreneurs, including Syrian refugees, in Jordan.</t>
  </si>
  <si>
    <t>MERIDIAM INFRASTRUCTURE AFRICA FUND TOP UP</t>
  </si>
  <si>
    <t>Sint Maarten</t>
  </si>
  <si>
    <t>ST MAARTEN AIRPORT POST-HURRICANE RECONSTRUCTION</t>
  </si>
  <si>
    <t>Air transport</t>
  </si>
  <si>
    <t>The project consists of reconstructing the Princess Juliana International Airport terminal to pre-hurricane conditions and improve its resistance to extreme weather events. Works include exterior envelope, interior walls and finishes, ceilings, baggage handling and passenger processing equipment, mechanical, electrical, plumbing, life safety and IT installations. The critical component of replacing and reinforcing the roof is already underway. The existing foundation and steel building structure will be retained.</t>
  </si>
  <si>
    <t>DRAINAGE EAUX PLUVIALES COTONOU</t>
  </si>
  <si>
    <t>Infrastructures de retention et evacuation des eaux pluviales à Cotonou.</t>
  </si>
  <si>
    <t>UKRAINE URBAN PUBLIC TRANSPORT FL II</t>
  </si>
  <si>
    <t>Framework loan for financing of urban public transport investments in midsize and large municipalities in Ukraine. The project will support electric urban public transport schemes that aim at purchasing new rolling stock (trolleybuses, trams, metro coaches and electric buses) or rehabilitating the existing urban public transport infrastructure or extending it with new elements.</t>
  </si>
  <si>
    <t>Seychelles</t>
  </si>
  <si>
    <t>SOUTHERN AFRICA AND INDIAN OCEAN SMERF</t>
  </si>
  <si>
    <t xml:space="preserve">The SME Focused Regional Facility (SMERF) is a regional credit facility to financial intermediaries for on-lending to primarily SME projects in the Southern Africa and Indian Ocean region (excluding South Africa).
</t>
  </si>
  <si>
    <t>BDMG CLIMATE ACTION FL II</t>
  </si>
  <si>
    <t>Framework Loan to part-finance a series of climate action projects in the state of Minas Gerais, Brazil, including solar PV, small-scale hydropower and other renewables.</t>
  </si>
  <si>
    <t>UKRAINE PUBLIC BUILDINGS ENERGY EFFICIENCY</t>
  </si>
  <si>
    <t>Framework loan aimed at thermal refurbishment of public buildings in Ukraine.</t>
  </si>
  <si>
    <t>Solar energy for centralised grids</t>
  </si>
  <si>
    <t>Cambodia</t>
  </si>
  <si>
    <t>BAKHENG WATER SUPPLY PROJECT</t>
  </si>
  <si>
    <t>Construction of Bakheng Water Treatment Plant (WTP), in the northern outskirts of Phnom Penh.The intake will be located on the west bank of the Mekong River.</t>
  </si>
  <si>
    <t>Regional - RU,E.Europe,S.Cauc.</t>
  </si>
  <si>
    <t>GREEN FOR GROWTH FUND IV</t>
  </si>
  <si>
    <t>The proposed operation concerns an investment of up to EUR 25m in A Shares in the Green for Growth Fund, a layered debt fund targeting energy efficiency and renewable energy investments in Southeastern Europe, Eastern European Neighbourhood and Middle East and North Africa regions.</t>
  </si>
  <si>
    <t>MUNICIPAL RESILIENCE FACILITY I- MADAD FUND</t>
  </si>
  <si>
    <t>This 100 % grant management facility aims at supporting Turkey's efforts to increase the adequate resilience of host and refugee communities through supporting urgently needed municipal projects (water, waste-water and solid waste) in the municipalities located in the Southern and Eastern Turkey with the highest rate of Syrian refugees per local population.</t>
  </si>
  <si>
    <t>LAO RESILIENT ROADS FRAMEWORK LOAN</t>
  </si>
  <si>
    <t>Road transport</t>
  </si>
  <si>
    <t>The proposed framework loan is expected to finance road rehabilitation works in Laos to maintain and improve connectivity and accessibility and to improve their climate resilience. The project will include road sections that require urgent rehabilitation as their current condition hampers economic development and access to public services.</t>
  </si>
  <si>
    <t>METIER SUSTAINABLE CAPITAL FUND II</t>
  </si>
  <si>
    <t>Fund targeting renewable energy, energy efficiency and other resource efficiency projects and related corporate investments in sub-Saharan Africa.</t>
  </si>
  <si>
    <t>BLUE ORCHARD RESILIENCE FUND</t>
  </si>
  <si>
    <t>The proposed operation consists of an equity participation of up to USD 25 m in Blue Orchard InsuResilience Investment Equity Sub-Fund ("IIF" or the "Fund"), targeting climate change adaptation and resilience high growth innovative companies operating in the insurance industry. To reach this objective, the Fund will invest in both insurers that invest in and make use of technology and digital technology companies developing solutions for the insurance industry (so-called Insuretech).The Fund will target investments in key countries in Africa, Asia and Latin America.</t>
  </si>
  <si>
    <t>CREDIT AGRICOLE LOAN FOR SME&amp;OTHERPRIORITIES III</t>
  </si>
  <si>
    <t>Loan for SMEs, with a Mid-Cap tranche, to finance, for at least 70% of the facility amount, eligible investments promoted by SMEs and Mid-Caps operating in the agriculture, manufacturing, and services sectors in Serbia. Up to 30% of the loan amount could be dedicated to eligible projects promoted by public and/or private sector entities.</t>
  </si>
  <si>
    <t>EBS COVID19 CRISIS RESPONSE FOR SMES&amp;MIDCAPS</t>
  </si>
  <si>
    <t>Financing to support Serbian SMEs and Mid-Caps affected by the COVID-19 crisis.</t>
  </si>
  <si>
    <t>JORDAN LOAN FOR SME RESILIENCE FACILITY</t>
  </si>
  <si>
    <t>Long term financing for SMEs and Mid-Caps to improve access to finance and financial inclusion, which have been identified as key factors for reinforcing Jordan's economic resilience.</t>
  </si>
  <si>
    <t>PROCREDIT EP COVID19 RESPONSE FOR SMES &amp; MIDCAPS</t>
  </si>
  <si>
    <t>Dedicated EIB loan in support of SMEs and MidCaps in Ukraine, Moldova and Georgia. As part of the overall response to Covid-19, the operation will support the financial intermediaries with temporary emergency measures to facilitate the provision of liquidity to SMEs and MidCaps and thereby contribute to mitigating the impact of the economic shock.</t>
  </si>
  <si>
    <t>ISP BIH LOAN FOR SMES AND PRIORITY PROJECTS IV</t>
  </si>
  <si>
    <t>Loan to finance small and medium scale projects promoted by SMEs and Mid-Caps in industry, tourism, services and agriculture or by local authorities in the fields of environmental protection, energy efficiency, knowledge economy and infrastructure.</t>
  </si>
  <si>
    <t>KANPUR METRO PROJECT</t>
  </si>
  <si>
    <t>The project is the construction and operation of an urban metro rail transit system in Kanpur totaling to 32.4 km with 30 stations in the largest industrial city of Uttar Pradesh, India. The project includes the development of two metro rail corridors with elevated sections (altogether 19.4 km with 18 stations) and underground sections (altogether 13 km with 12 stations) as well as acquisition of rolling stock.</t>
  </si>
  <si>
    <t>UZBEKISTAN SOLAR IPP</t>
  </si>
  <si>
    <t>100MW solar PV located in Samarkand region promoted by Total Eren.</t>
  </si>
  <si>
    <t>NEEV II</t>
  </si>
  <si>
    <t>The proposed operation consists of an equity participation in an investment fund targeting SMEs that contribute to the achievement of SDGs and climate sustainability in India.</t>
  </si>
  <si>
    <t>IDF LOAN FOR SMES CLIMATE &amp; PRIORITY PROJECTS VI</t>
  </si>
  <si>
    <t xml:space="preserve">Financing of small and medium-sized investments carried out by SMEs and Mid-Caps in a wide range of sectors (tourism, services, agriculture, R&amp;D, industry, etc). Up to 30% of the loan amount could be dedicated to eligible projects promoted by public and/or private sector entities. The operation will include a 20% window dedicated to Climate Action and Environmental Sustainability.
</t>
  </si>
  <si>
    <t>IHS KENYA ENERGY EFFICIENT HOUSING</t>
  </si>
  <si>
    <t>Equity fund developing energy efficient affordable housing in Kenya.</t>
  </si>
  <si>
    <t>CIH L4SMES&amp;MIDCAP-COVID19 RESPONSE</t>
  </si>
  <si>
    <t>Loan to support investments of Moroccan SMEs and MidCaps.</t>
  </si>
  <si>
    <t>SENEGAL EAU POTABLE &amp; COVID-19</t>
  </si>
  <si>
    <t>Projet de renforcement des systèmes d'approvisionnement en eau potable des villes de Saint-Louis, Kaolack et Kolda et appui à la campagne nationale  de branchements sociaux en réponse à la crise sanitaire COVID 19.</t>
  </si>
  <si>
    <t>KULIMA - RISK SHARING FACILITY ECOBANK</t>
  </si>
  <si>
    <t>Risk-sharing facility supported by a grant from the European Commission to provide guarantees to Ecobank Malawi Ltd financing agri-food projects that engage smallholder producers in Malawi.</t>
  </si>
  <si>
    <t>ACP MICROFINANCE FACILITY</t>
  </si>
  <si>
    <t>The operation will provide of up to EUR 60 m of  medium to long term funding in the form of senior  debt to micro and small enterprises through selected financial intermediaries in ACP countries.</t>
  </si>
  <si>
    <t>Regional - West Africa</t>
  </si>
  <si>
    <t>WEST AFRICA MICROFINANCE FACILITY</t>
  </si>
  <si>
    <t>Framework credit line of up to EUR 50 m to provide medium to long term funding to micro and small enterprises through selected financial intermediaries in West Africa countries.</t>
  </si>
  <si>
    <t>New Caledonia</t>
  </si>
  <si>
    <t>PACIFIC OCTS COVID-19 FINANCIAL SECTOR FACILITY</t>
  </si>
  <si>
    <t>The Pacific OCTs Financial Sector Facility is a credit facility dedicated to address the adverse consequences of the COVID-19 pandemic on the private sector, in particular SMEs. The main objective is to support on-lending by financial intermediaries to private sector projects in New Caledonia and French Polynesia.</t>
  </si>
  <si>
    <t>SENEGAL COVID-19 HEALTH PROGRAMME</t>
  </si>
  <si>
    <t>A facility to support the Government of Senegal to finance interventions for the response against the COVID-19 crisis, with a gradual shift of focus from acute treatment to a prevention-oriented approach, coupled with the strengthening of the country's medical health system in their mid-term pandemic preparedness response plans. The operation is expected to promote the local vaccine manufacturing ecosystem through direct support to viable vaccine manufacturing investments.</t>
  </si>
  <si>
    <t>UZBEKISTAN - COVID19 RAPID RESPONSE TO SME-MSMES</t>
  </si>
  <si>
    <t>Sovereign loan to assist the government of Uzbekistan and support micro as well as  small and medium-sized enterprises economically affected by the COVID-19 pandemic. The loan will be provided to the government for on-lending through acceptable financial intermediaries.</t>
  </si>
  <si>
    <t>Saint Lucia</t>
  </si>
  <si>
    <t>ST LUCIA DEVELOPMENT BANK MSMES COVID-19</t>
  </si>
  <si>
    <t>A loan to Saint Lucia Development Bank for boosting access to finance for micro, small and medium enterprises, in particular those impacted by the Covid-19 breakout. The loan will be covered by the Saint Lucia sovereign guarantee.</t>
  </si>
  <si>
    <t>El Salvador</t>
  </si>
  <si>
    <t>BANDESAL SUSTAINABLE ENERGY AND COVID-19 SMES</t>
  </si>
  <si>
    <t>A Framework Loan to the Development Bank of El Salvador to partly finance sustainable energy projects and to provide contingency financial support to SMEs in the context of the COVID-19 breakout.</t>
  </si>
  <si>
    <t>PROCREDIT WB COVID19 RESPONSE FOR SMES &amp; MIDCAPS</t>
  </si>
  <si>
    <t>Dedicated EIB loan in support of SMEs and Mid-Caps in Serbia, Albania, North Macedonia and Bosnia &amp; Herzegovina. As part of the overall response to Covid-19, the operation will support the financial intermediaries with temporary emergency measures to facilitate the provision of liquidity to SMEs and Mid-Caps and thereby contribute to mitigating the impact of the economic shock in the relevant countries.</t>
  </si>
  <si>
    <t>IDF COVID-19 RESPONSE FOR SMES AND MID-CAPS</t>
  </si>
  <si>
    <t xml:space="preserve">Dedicated COVID-19 multi-beneficiary intermediated loan (MBIL) to support small and medium-sized enterprises (SMEs), midcaps and public sector entities and contribute to mitigating the COVID-19 induced economic impact in Montenegro.
</t>
  </si>
  <si>
    <t>COVID-19 SERBIAN GOVERNMENT SUPPORT SMES&amp;MIDCAPS</t>
  </si>
  <si>
    <t>Loan dedicated to finance small and medium-sized investments and working capital needs of SMEs and Midcaps.  The loan will be part of the Serbian Government's support for SMEs and Midcaps impacted by the COVID-19 crisis.</t>
  </si>
  <si>
    <t>Palestine</t>
  </si>
  <si>
    <t>PALESTINE COVID-19 GUARANTEE FACILITY</t>
  </si>
  <si>
    <t>The facility provides risk sharing to the selected financial intermediaries in order to support financing eligible small- and medium-sized investments undertaken by SMEs in Palestine, thereby contributing to economic resilience, employment generating activities and alleviating the economic burden due to the COVID-19 outbreak in the country.</t>
  </si>
  <si>
    <t>BRAZIL GENDER COVID-19 RESPONSE</t>
  </si>
  <si>
    <t>Loan to the regional development institution "Banco do Nordeste do Brasil" for financing micro-enterprises, mainly targeted at women empowerment, in response to COVID-19 crisis affecting private businesses, impacting directly poverty alleviation.</t>
  </si>
  <si>
    <t>UCBS COVID-19 RESPONSE SMES &amp; MIDCAPS LOAN</t>
  </si>
  <si>
    <t>Dedicated EIB loan in support of SMEs and Mid-Caps in Serbia. As part of the overall response to COVID-19 pandemic, the operation will support UniCredit Bank Serbia to finance liquidity needs and other eligible investments promoted by Serbian SMEs and Mid-Caps affected by the COVID-19 crisis.</t>
  </si>
  <si>
    <t>W AND C AFRICA COVID19 RAPID RESPONSE FACILITY</t>
  </si>
  <si>
    <t>The West and Central Africa COVID-19 Rapid Response Facility (RFF) is a credit facility dedicated to addressing the adverse consequences of the COVID-19 pandemic on the private sector, in particular on SMEs.  The main objective is to support on-lending by financial intermediaries to private sector projects in the West and Central Africa region.</t>
  </si>
  <si>
    <t>ERI SME GUARANTEE - CAPITAL BANK OF JORDAN</t>
  </si>
  <si>
    <t>Capped partial portfolio guarantee to a selected financial intermediary to support financing of investments undertaken by SMEs in Jordan, thereby contributing to economic resilience in a country that has been severely impacted by external shocks such as the Syrian refugee crisis and the Covid-19 pandemic.</t>
  </si>
  <si>
    <t>EMCAF EMERGING MARKET CLIMATE ACTION FUND</t>
  </si>
  <si>
    <t>EMERGING MARKET CLIMATE ACTION FUND (EMCAF) will be a fund-of-funds targeting EUR 500m to invest in funds providing funding to climate mitigation and climate adaptation, as well as environmental sustainability projects in developing countries. It will be managed by Allianz Global Investors, to which the EIB will act as investment advisor.</t>
  </si>
  <si>
    <t>COVID-19 RESPONSE NORTH MACEDONIA - DBNM</t>
  </si>
  <si>
    <t>Small and medium-sized enterprises (SME) development</t>
  </si>
  <si>
    <t>Dedicated Covid-19 multi-beneficiary intermediated loan (MBIL) through a loan to the Development Bank of North Macedonia ("DBNM") to Support SMEs &amp; midcaps and contribute to mitigating the COVID-19 induced economic impact in North Macedonia.</t>
  </si>
  <si>
    <t>GEORGIA LOAN FOR SMES OUTREACH INITIATIVE</t>
  </si>
  <si>
    <t>Loan for SMEs in Georgia via smaller intermediary banks.</t>
  </si>
  <si>
    <t>LILONGWE WATER RESOURCE EFFICIENCY PROGRAMME</t>
  </si>
  <si>
    <t>Medium term investment programme to optimise available water resources to bridge the gap in water demand in Malawi's fast growing capital city. The project's main components consist of extension of water treatment works, reduction of leakages and improving network management, improving water supply to low income areas and upgrading of a dam that is Lilongwe's primary water source.</t>
  </si>
  <si>
    <t>TAMWEELCOM MICROFINANCE LOAN</t>
  </si>
  <si>
    <t>Synthetic local currency loan in Jordanian Dinar (JOD) to fund the microfinance activities of the Jordan Microfinance Company ("Tamweelcom") in Jordan.</t>
  </si>
  <si>
    <t>BIB COVID19 RESPONSE SMES &amp; MIDCAPS LOAN</t>
  </si>
  <si>
    <t>Dedicated EIB loan in support of SMEs and Mid-Caps in Serbia. As part of the overall response to COVID-19 pandemic, the operation will support Banca Intesa Beograd to finance liquidity needs and eligible investments promoted by Serbian SMEs and Mid-Caps affected by the COVID-19 crisis.</t>
  </si>
  <si>
    <t>EAST AFRICA COVID-19 RAPID RESPONSE FACILITY</t>
  </si>
  <si>
    <t>The East Africa COVID-19 Rapid Response Facility (RRF) is a credit facility dedicated to address the adverse consequences of the COVID-19 pandemic on the private sector, in particular SMEs. The main objective is to support on-lending by financial intermediaries to private sector projects in the East Africa region.</t>
  </si>
  <si>
    <t>ARCH COLD CHAIN SOLUTIONS EAST AFRICA FUND</t>
  </si>
  <si>
    <t>Equity fund targeting greenfield investments in cold chain solutions in East Africa.</t>
  </si>
  <si>
    <t>GEF LATAM CLIMATE SOLUTIONS FUND III</t>
  </si>
  <si>
    <t>Energy policy and administrative management</t>
  </si>
  <si>
    <t>Equity participation in a private equity fund investing in SMEs that promote climate action and environmental sustainability in Latin America, with a focus on Brazil.</t>
  </si>
  <si>
    <t>EMCAF LCFP JUNIOR PARTICIPATION</t>
  </si>
  <si>
    <t>Equity investment of up to EUR 15m from the Luxembourg-EIB Climate Finance Platform (LCFP) in the junior tranche of the Emerging Market Climate Action Fund (EMCAF), a fund of funds targeting EUR 500m to be invested in funds addressing climate mitigation and climate adaptation / environmental sustainability in developing countries. EMCAF will be managed by Allianz Global Investors, to which the EIB would act as Investment Advisor.</t>
  </si>
  <si>
    <t>MECHATRONIC AND CABLE MANUFACTURING MAGHREB</t>
  </si>
  <si>
    <t>The project concerns the promoter's capital expenditure program and new product development focusing on cables and mechatronic components. The investments are aiming to improve the promoter's competitiveness and to increase its manufacturing capacities and own value added. The investments will be carried out in Tunisia and to a minor extent in Morocco.</t>
  </si>
  <si>
    <t>NEOENERGIA GREEN RENEWABLE ENERGY GENERATION FL</t>
  </si>
  <si>
    <t>Framework Loan to finance renewable energy (wind and solar PV) projects in Brazil, promoted by Neoenergia, a subsidiary of Spain's Iberdrola Group.</t>
  </si>
  <si>
    <t>Zimbabwe</t>
  </si>
  <si>
    <t>ZIMBABWE PRIVATE SECTOR FACILITY</t>
  </si>
  <si>
    <t>The Zimbabwe Private Sector Facility is un umbrella facility aimed at supporting private sector limited scale investments in Zimbabwe. The facility will be deployed through local financial intermediaries. It also forms part of the EIB fast response to the adverse consequences of the COVID-19 pandemic on private businesses, notably SMEs.</t>
  </si>
  <si>
    <t>ENEL ENERGY EFFICIENCY &amp; RENEWABLES FL (LATAM)</t>
  </si>
  <si>
    <t>A framework loan to support investment promoted by ENEL's subsidiaries in Latin America for the period 2021-2025.</t>
  </si>
  <si>
    <t>ALCAZAR ENERGY PARTNERS II</t>
  </si>
  <si>
    <t>Equity fund targeting renewable energy projects in Middle East, North Africa, Eastern Europe and Central Asia.</t>
  </si>
  <si>
    <t>JORDAN LOAN FOR SMES AND MID-CAPS</t>
  </si>
  <si>
    <t>Long-term financing for SMEs and Mid-Caps to improve access to finance and financial inclusion, which have been identified as key factors for reinforcing Jordan's economic resilience.</t>
  </si>
  <si>
    <t>BELABO-NGAOUNDERE RAILWAY RENEWAL CAMEROON</t>
  </si>
  <si>
    <t xml:space="preserve">Multilateral </t>
  </si>
  <si>
    <t>The project consists of renewal of a section of the single-track non-electrified railway line between Belabo and Ngaounderé of around 330km.</t>
  </si>
  <si>
    <t>TRANSTU - MATERIEL ROULANT FERROVIAIRE</t>
  </si>
  <si>
    <t>Le Projet porte sur l'acquisition de 18 rames pour les besoins d'exploitation de la ligne de banlieue Tunis Goulette Marsa (TGM) à Tunis. Le nouveau matériel roulant est destiné à remplacer le parc actuel en service depuis environ 40 ans et devenu obsolète.</t>
  </si>
  <si>
    <t>UBBL COVID19 RESPONSE FOR SMES &amp; MIDCAPS LOAN</t>
  </si>
  <si>
    <t xml:space="preserve">Loan to UniCredit Bank AD Banja Luka - Bosnian subsidiary of UniCredit S.p.A. to finance liquidity needs and eligible investments promoted by SMEs and Mid-Caps affected by the COVID-19 crisis in Bosnia and Herzegovina.
</t>
  </si>
  <si>
    <t>PROGRAMME DE SCOLARISATION RURALE</t>
  </si>
  <si>
    <t>The proposed operation concerns the construction of up to 150 rural primary schools and ancillary infrastructure.</t>
  </si>
  <si>
    <t>MOLDOVA ENERGY EFFICIENCY</t>
  </si>
  <si>
    <t>The operation is a framework loan (FL) in support of sustainable energy efficiency improvements targeting public and residential  buildings in various cities in the Republic of Moldova. Part of the allocations under the FL has already been identified ex ante and consists of the refurbishment of 139 public buildings. The remainder of the pipeline of allocations will be further developed by the Energy Efficiency Agency , the promoter, with advisory support.</t>
  </si>
  <si>
    <t>Argentina</t>
  </si>
  <si>
    <t>RIO SALADO FLOOD PROTECTION PROGRAMME</t>
  </si>
  <si>
    <t>The project will finance the measures included in the Integrated Salado River Basin Management Plan (PMI), thus (i) enhance flood protection and (ii) strengthen the capacity of the responsible institutions for integrated water resources monitoring and management in the Salado River Basin.</t>
  </si>
  <si>
    <t>VOCATIONAL EDUCATION AND TRAINING IN UKRAINE</t>
  </si>
  <si>
    <t>The EU4Skills programme, and by extension the project, comprises three components: The modernisation of vocational education and training (VET) infrastructure, including the development of up to 13 VET Centres of Excellence (CoEs) and the modernisation of selected VET schools through smaller renovation measures across 17 Ukrainian regions; Technical assistance - including capacity building, advice and support - for the national authorities and main stakeholders to develop and implement strategic documents, a modern VET governance framework, and an effective VET funding mechanism at the national and regional level; and Technical assistance - including capacity building, advice and support - to implement measures improving the quality of VET education, the relevance of qualifications, and the effectiveness of labour market policies and career guidance.</t>
  </si>
  <si>
    <t>Regional - Indian Ocean</t>
  </si>
  <si>
    <t>The SME Focused Regional Facility (SMERF) is a regional credit facility to financial intermediaries for on-lending to primarily SME projects in the Southern Africa and Indian Ocean region (excluding South Africa).</t>
  </si>
  <si>
    <t>OKAVANGO CAPITAL</t>
  </si>
  <si>
    <t>The proposed operation concerns an equity participation in an impact fund aiming to generate both commercial return and nature conservation and rural livelihood improvements through investments in innovative businesses in East and Southern Africa.</t>
  </si>
  <si>
    <t>Ecuador</t>
  </si>
  <si>
    <t>BDE WATER AND SANITATION</t>
  </si>
  <si>
    <t>Intermediated framework loan through Ecuador's development bank to partly finance investment projects in the  sanitation sector and located throughout the country.</t>
  </si>
  <si>
    <t>WWTP MITROVICA</t>
  </si>
  <si>
    <t>Construction of wastewater treatment facility and construction/rehabilitation of sewerage network in the district of Mitrovica, Kosovo.</t>
  </si>
  <si>
    <t>JORDAN VALLEY WATER RESOURCES</t>
  </si>
  <si>
    <t>The project involves the implementation of measures to increase the efficiency of the use of water resources in the Jordan Valley.</t>
  </si>
  <si>
    <t>UKRAINE GRAIN STORAGE AND EQUIPMENT</t>
  </si>
  <si>
    <t>Financing of grain silos, agriculture equipment and grain railcars in Ukraine.</t>
  </si>
  <si>
    <t>UKT WATER DISTRIBUTION</t>
  </si>
  <si>
    <t>Structural improvements of the water distribution system  in the Municipality of Tirana, through the construction of Guri I Bardhe transmission line and the Tirana high pressure water supply ring to achieve continuous and high quality potable water supply.</t>
  </si>
  <si>
    <t>INTERCONNEXION ANTANANARIVO TOAMASINA PRIRTEM-1</t>
  </si>
  <si>
    <t>The Project concerns the construction of a 220 kV, 270 km-long overhead transmission line and related substations that will interconnect the currently isolated power systems of Antananarivo and Toamasina, thereby supporting the integration of large hydro power plants being developed in both systems and significantly contributing to Climate Action objectives.</t>
  </si>
  <si>
    <t>GAVI GUARANTEE FACILITY</t>
  </si>
  <si>
    <t>Guarantee facility to support GAVI's (the Vaccine Alliance), investments in vaccines and sustainable immunisation programs.</t>
  </si>
  <si>
    <t>KULIMA ACCESS TO FINANCE</t>
  </si>
  <si>
    <t>The project comprises an intermediated facility for on-lending to eligible private agri-food sector investments in Malawi.</t>
  </si>
  <si>
    <t>SENEGAL DECHETS SOLIDES (PROMOGED) &amp; COVID-19</t>
  </si>
  <si>
    <t>Le projet Sénégal Déchets Solides (PROMOGED) est la seconde phase du Programme National de Gestion des Déchets (PNGD) qui a été défini en 2014. Le PROMOGED couvre quatre pôles: Grand Dakar, centre (Thiès, Mbour et Tivaouane), nord (Saint-Louis et Matam) et sud (Casamance: Ziguinchor, Kolda, Sedhiou). Le financement de la BEI concernera principalement ces trois dernières régions.</t>
  </si>
  <si>
    <t>SARAJEVO URBAN TRANSPORT PROJECT</t>
  </si>
  <si>
    <t>Reconstruction of trolley bus and tram networks, purchase of trolley bus and trams,  and construction of roads.</t>
  </si>
  <si>
    <t>Financing of small and medium-sized investments carried out by SMEs and Mid-Caps in a wide range of sectors (tourism, services, agriculture, R&amp;D, industry, etc). Up to 30% of the loan amount could be dedicated to eligible projects promoted by public and/or private sector entities. The operation will include a 20% window dedicated to Climate Action and Environmental Sustainability.</t>
  </si>
  <si>
    <t>ZAMBIA AGRICULTURE - RSF ZANACO</t>
  </si>
  <si>
    <t>Risk-sharing facility supported by a grant from the European Commission to provide guarantees to Zanaco Plc financing agri-food value chain investments in Zambia.</t>
  </si>
  <si>
    <t>THE URBAN RESILIENCE FUND (TURF) B</t>
  </si>
  <si>
    <t>Layered fund developing and investing in sustainable and resilient urban infrastructure. The investment is made under the Luxembourg-EIB Climate Finance Platform.</t>
  </si>
  <si>
    <t>Layered fund developing and investing in sustainable and resilient urban infrastructure.</t>
  </si>
  <si>
    <t>KYIV CITY URBAN ELECTRIC TRANSPORT</t>
  </si>
  <si>
    <t>Project consists of investment in new trolleybuses, tramcars and metro coaches in Kyiv City.</t>
  </si>
  <si>
    <t>ASSAINISSEMENT PLUVIAL DE VILLES DU BENIN</t>
  </si>
  <si>
    <t>Rainwater drainage project for 8 secondary cities of the country (Porto-Novo, Abomey-Calavi, Bohicon, Natitingou, Abomey, Ouidah, Sèmè-Podji, Parakou).</t>
  </si>
  <si>
    <t>KOSOVO COVID19 RESPONSE FOR SMES</t>
  </si>
  <si>
    <t>Facility provided to the Government of Kosovo to support the economic recovery in the context of COVID19 pandemic. The facility will be used to strengthen the Kosovo Credit Guarantee Fund, so that it can extend guarantees towards commercial banks to support MSMEs.</t>
  </si>
  <si>
    <t>LLWDP II</t>
  </si>
  <si>
    <t>The Lowlands Water Development Project (LWDP) is the second phase of the Lesotho Lowland Water Supply Scheme (LLWSS). It will include bulk water production infrastructure, distribution networks and actions on water efficiency, sanitation and capacity building. The overall LLWSS aims at improving the climate resilience and security of potable water access in the Lowlands of Lesotho. The first phase, the Metolong Dam and Water Supply Program (MDWSP), was already financed by the Bank.</t>
  </si>
  <si>
    <t>OEEB - COVID19 ACP FACILITY FOR SMES</t>
  </si>
  <si>
    <t>Line of credit to Oesterreichische Entwicklungsbank AG (OeEB), the Austrian development finance institution, for on-lending to private sector entities in the Sub-Saharan Africa region.</t>
  </si>
  <si>
    <t>AGRA METRO RAIL PROJECT</t>
  </si>
  <si>
    <t>The project concerns the construction of two interconnected urban metro rail lines, in aggregate 30 km long with 27 stations and the acquisition of the related rolling stock, in the historic city of Agra, in the state of Uttar Pradesh in Northern India.</t>
  </si>
  <si>
    <t>THE URBAN RESILIENCE FUND (TURF) B LCFP</t>
  </si>
  <si>
    <t>URBAN TRANSPORT INFRASTRUCTURE FRAMEWORK EGYPT</t>
  </si>
  <si>
    <t>Framework loan to cover urban rail schemes in Egypt-s cities, in particular investments in the rehabilitation and expansion of metro and tram systems in Alexandria and Cairo.</t>
  </si>
  <si>
    <t>BANQUE MISR COVID 19 LOAN FOR SMES AND MIDCAPS</t>
  </si>
  <si>
    <t>Loan for SMEs and Mid-Caps in response to COVID-19 crisis impact affecting private businesses.</t>
  </si>
  <si>
    <t>BENIN RESILIENCE ECONOMIQUE COVID 19</t>
  </si>
  <si>
    <t>Sovereign loan to part-finance a guarantee scheme for SMEs and Mid-Caps affected by the Covid-19 in Benin, contributing to the response measures put in place by the government in the context of its economic and social resilience response to the pandemic.</t>
  </si>
  <si>
    <t>MOROCCO SME PUBLIC SUPPORT COVID-19 RESPONSE</t>
  </si>
  <si>
    <t>No data reported</t>
  </si>
  <si>
    <t xml:space="preserve">A loan to the Kingdom of Morocco, through the Moroccan Ministry of Economy and Finance (MEF), to support a guarantee scheme for new loans to Micro-, Small- and Medium-sized enterprises (MSME) as the Final Beneficiaries and Caisse Centrale de Garantie (CCG) as the Promoter.  The MEF uses the loan to support CCG's  liquidity buffer enabling provision of guarantees to Financial Intermediaries.
</t>
  </si>
  <si>
    <t>UKRAINE TRANSPORT CONNECTIVITY</t>
  </si>
  <si>
    <t>The project consists of a framework loan for the financing of a series of small-scale transport projects addressing transport bottlenecks in Ukraine.</t>
  </si>
  <si>
    <t>DAMU COVID-19 LOAN FOR SMES</t>
  </si>
  <si>
    <t>A dedicated loan to the Kazakh state-owned "JSC DAMU - Entrepreneurship Development Fund" (DAMU), for on-lending to SMEs and Mid-Caps investing in projects eligible under the Bank's own-risk Climate Action and Environment Facility (CAEF).</t>
  </si>
  <si>
    <t>PALESTINE PRIVATE SECTOR COVID-19 RESPONSE</t>
  </si>
  <si>
    <t>The facility aims to finance eligible small and medium sized investments undertaken by SMEs and Mid-Caps in Palestine, thereby contributing to economic resilience, employment generating activities and alleviating the economic burden of the refugee crisis in the country.</t>
  </si>
  <si>
    <t>PALESTINE SME COVID-19 SUSTAINABILITY PROGRAMME</t>
  </si>
  <si>
    <t>JASMINE PRIVATE MARKET FUND I</t>
  </si>
  <si>
    <t>Equity fund targeting climate-related, growth capital investments in SMEs in Southeast Asia.</t>
  </si>
  <si>
    <t>CIRCULATE CAPITAL OCEAN FUND I - B</t>
  </si>
  <si>
    <t>Equity participation in a private equity fund investing in SMEs that prevent ocean plastic pollution and advance the circular economy in Asia.</t>
  </si>
  <si>
    <t>ENDA TAMWEEL MICROFINANCE LOAN</t>
  </si>
  <si>
    <t>Synthetic local currency loan to fund microfinance activities of ENDA TAMWEEL, a microfinance company in Tunisia.</t>
  </si>
  <si>
    <t>PUNE METRO RAIL PROJECT</t>
  </si>
  <si>
    <t>Construction of two metro lines totalling of 31.25 km and 30 stations, as well as purchase of a related fleet of metro cars in Pune, Maharashtra State, West India.</t>
  </si>
  <si>
    <t>SOUTHERN AFRICA COVID19 RAPID RESPONSE FACILITY</t>
  </si>
  <si>
    <t>The Southern Africa and Indian Ocean COVID-19 Rapid Response Facility (RRF) is a credit facility dedicated to address the adverse consequences of the COVID-19 pandemic on the private sector, in particular SMEs. The main objective is to support on-lending by financial intermediaries to private sector projects in the Southern Africa and Indian Ocean regions (excluding South Africa).</t>
  </si>
  <si>
    <t>Regional - Central Africa</t>
  </si>
  <si>
    <t>AFRIGREEN DEBT FUND</t>
  </si>
  <si>
    <t>Debt fund to finance companies and assets that contribute to improved access to electricity using solar PV in Sub-Saharan Africa.</t>
  </si>
  <si>
    <t>NEDBANK PRIVATE SECTOR FACILITY 3</t>
  </si>
  <si>
    <t>Credit facility to Nedbank for on-lending to private sector limited scale investments in South Africa.</t>
  </si>
  <si>
    <t>SAAMBAT SUSTAINABLE RURAL DEVELOPMENT CAMBODIA</t>
  </si>
  <si>
    <t>The project consists of a framework loan to co-finance the rehabilitation of rural roads under Component 1: value chain infrastructure of the Sustainable Assets for Agricultural Markets, Business and Trade (SAAMBAT) programme in Cambodia. The programme covers the period 2020-2025.</t>
  </si>
  <si>
    <t>Maldives</t>
  </si>
  <si>
    <t>COVID 19 RAPID RESPONSE TO THE MALDIVES</t>
  </si>
  <si>
    <t>Dedicated credit line for re-establishing the economy through financing micro, small and medium-size private sector projects in industry, tourism and other service sectors affected, directly and indirectly, by the COVID 19 outbreak.</t>
  </si>
  <si>
    <t>UKRAINE DCFTA SUPPORT FACILITY</t>
  </si>
  <si>
    <t>Loan dedicated to finance eligible trade transactions by SMEs and Mid-Caps acting as exporters or importers in Ukraine.</t>
  </si>
  <si>
    <t>The project consists of a framework with two components:
(i) acquisition of 11 main-line diesel locomotives suitable for both freight and passenger services and the associated maintenance equipment;
(ii) rehabilitation of selected sections of railway infrastructure.</t>
  </si>
  <si>
    <t>Global</t>
  </si>
  <si>
    <t>Total of financial support mobilized by the European Investment Bank in 2022</t>
  </si>
  <si>
    <t>Equity, Loan, Guarantee</t>
  </si>
  <si>
    <t>various</t>
  </si>
  <si>
    <t>Total financial support mobilised is reported. It is not possible to report information at project level for confidentiality reasons.</t>
  </si>
  <si>
    <r>
      <t>UA</t>
    </r>
    <r>
      <rPr>
        <vertAlign val="superscript"/>
        <sz val="9"/>
        <color theme="1"/>
        <rFont val="Times New Roman"/>
        <family val="1"/>
      </rPr>
      <t>(1)</t>
    </r>
  </si>
  <si>
    <r>
      <rPr>
        <vertAlign val="superscript"/>
        <sz val="9"/>
        <rFont val="Times New Roman"/>
        <family val="1"/>
      </rPr>
      <t>(1)</t>
    </r>
    <r>
      <rPr>
        <sz val="9"/>
        <rFont val="Times New Roman"/>
        <family val="1"/>
      </rPr>
      <t xml:space="preserve"> Information on support mobilised in 2021 is not available.</t>
    </r>
  </si>
  <si>
    <t>Climate Change and Security: Innovative Community-based Climate Technology for Communities at Risks of Conflicts Due to Climate Impact</t>
  </si>
  <si>
    <t>Climate Technology Center and Network (CTCN)</t>
  </si>
  <si>
    <t>The programme will support ten requests for assistance from National Determined Entities (NDEs) from countries at risks of conflicts due to climate impact for a maximum value of 200,000 EUR each. Requests should target conflict-sensitive, field-focused, reliable, cost-effective climate technologies solutions. They should address in a holistic manner climate-related security risks resulting from local resource competition, transboundary natural resource and water management, extreme weather events, disasters, and livelihood insecurity.</t>
  </si>
  <si>
    <t>Various</t>
  </si>
  <si>
    <t>Ongoing</t>
  </si>
  <si>
    <t>Public and private actors</t>
  </si>
  <si>
    <t xml:space="preserve">Further information is available here: https://www.ctc-n.org/technical-assistance/climate-change-and-security </t>
  </si>
  <si>
    <t>Adaptation Fund Climate Innovation Accelerator</t>
  </si>
  <si>
    <t>Adaptation Fund</t>
  </si>
  <si>
    <t>Developing and diffusing innovative adaptation practices, tools and technologies.</t>
  </si>
  <si>
    <t>Further information is available here: https://www.adaptation-fund.org/apply-funding/innovation-grants/adaptation-fund-climate-innovation-accelerator-afcia/</t>
  </si>
  <si>
    <t>Development of Smart Innovation through Research in Agriculture (DeSIRA)</t>
  </si>
  <si>
    <t>Developing countries</t>
  </si>
  <si>
    <t>Contribute to climate-relevant, productive and sustainable transformation of agriculture and food systems in low and middle-income countries.</t>
  </si>
  <si>
    <t>Further information is available here: https://international-partnerships.ec.europa.eu/policies/programming/programmes/desira-development-smart-innovation-through-research-agriculture_en</t>
  </si>
  <si>
    <t>Climate Resilience and Adaptation Finance and Technology Transfer Facility (CRAFT)</t>
  </si>
  <si>
    <t xml:space="preserve">Growth equity investments in selected private companies with climate resilience solutions. This inter alia includes companies offering services and products related to weather analytics, agricultural analytics, catastrophe risk modelling and distributed water solutions. </t>
  </si>
  <si>
    <t>Technologies that help increase resilience</t>
  </si>
  <si>
    <t>Private</t>
  </si>
  <si>
    <t>Further information is available here: https://www.climatefinancelab.org/ideas/climate-resilience-and-adaptation-finance-technology-transfer-facility-craft-2/</t>
  </si>
  <si>
    <t>AFRIGREEN Debt Impact Fund</t>
  </si>
  <si>
    <t>Solar photovoltaic</t>
  </si>
  <si>
    <t>Further infromation is available here: https://www.eib.org/en/products/equity/funds/afrigreen-debt-impact-fund</t>
  </si>
  <si>
    <t>Pacific Solutions to Save Our Ocean Integrated Ocean Management</t>
  </si>
  <si>
    <t>Pacific countries</t>
  </si>
  <si>
    <t>Harness science and knowledge, including traditional knowledge for integrated ocean management. One of the projects objectives is to integrate Pacific traditional knowledge, culture and wisdom to support inclusive, consultative decision making on national ocean policies and improve decision support systems.</t>
  </si>
  <si>
    <t>Support for the development and enhancement of endogenous capacities and technologies</t>
  </si>
  <si>
    <t>Public</t>
  </si>
  <si>
    <t>Solar Development in Brazil</t>
  </si>
  <si>
    <t>Intermediated framework loan to Sicredi, a cooperative financial institution with more than 6.5 million members and 2,500 branches across all regions of Brazil. Sicredia will use the funding to finance the installation of photovoltaic panels on homes, SMEs and rural properties. It will help to further develop the deployment of solar PV technology in Brazil through private sector investment in renewable energy.</t>
  </si>
  <si>
    <t>Further information is available here: https://www.eib.org/en/press/all/2023-215-brazil-eib-grants-eur200-million-to-sicredi-for-smes-and-households-solar-energy-investments</t>
  </si>
  <si>
    <t>Euroclima</t>
  </si>
  <si>
    <t>Latin America and Caribbean</t>
  </si>
  <si>
    <t>Further information is available here: https://www.euroclima.org/en/</t>
  </si>
  <si>
    <t>EU4Climate</t>
  </si>
  <si>
    <t>Eastern European countries</t>
  </si>
  <si>
    <t>The EU4Climate project supports the governments of Eastern European partner countries in implementing the Paris Agreement through mitigating climate change and transitioning towards a low-emissions and climate-resilient economy. The four key objectives are (i) enhancing countries’ capacity to develop and implement climate policies aligned with their Paris Agreement commitments, (ii) enhancing transparency on emissions and climate action, (iii) mainstreaming climate aspects in sector specific policies, and (iv) advancing the implementation of climate-related provisions of bilateral agreements with the EU and in the Energy Community Treaty framework.</t>
  </si>
  <si>
    <t>Completed</t>
  </si>
  <si>
    <t>Further information is available here: https://www.undp.org/eurasia/projects/eu4climate</t>
  </si>
  <si>
    <t>Twinning</t>
  </si>
  <si>
    <t>The Twinning instrument  facilitates institutional capacity building through peer-to-peer cooperation between public administrations in EU Member States and those in partner countries. Projects typically involve workshops, training sessions, expert missions, and study visits, all of which are designed to foster long-term reform processes. With over 20 years of experience in enlargement and neighbourhood countries, Twinning has been available for additional countries in Sub-Saharan Africa, in the Middle- East, Asia and the Pacific, the Americas and the Caribbean as well as Overseas Countries and Territories since 2020. It strengthens national policies of partner countries and regions, supports the implementation of the Sustainable Development Goals, and contributes to the Global Gateway strategy.</t>
  </si>
  <si>
    <t>Further information is available here: https://international-partnerships.ec.europa.eu/funding-and-technical-assistance/technical-assistance/twinning_en</t>
  </si>
  <si>
    <t>The Transition towards the low emissions and climate-resilient economy in the Western Balkans and Türkiye (TRATOLOW)</t>
  </si>
  <si>
    <t>Western Balkan region and Türkiye</t>
  </si>
  <si>
    <t>The project’s objective is to contribute to climate change mitigation and adaptation and to support the development towards resource-efficient, low-emission and climate-resilient economies in the Western Balkan region and Türkyie. One focus of the project lies on strengthening institutional capacities and cooperation and on involving stakeholders.</t>
  </si>
  <si>
    <t>Further information is available here: https://www.tratolownetwork.eu/about/project</t>
  </si>
  <si>
    <t>Advancing Climate Adaptation in the Southern Mediterranean (ACA-MED)</t>
  </si>
  <si>
    <t>Southern Mediterranean region</t>
  </si>
  <si>
    <t>The overall objective of the programme is to promote the green transition and increase environmental and climate resilience of economies and communities in the Southern Mediterranean region. This includes enhancing knowledge, climate governance, policies and action plans at national/central level for successful implementation of NDCs and NAPs and to facilitate access to climate finance for adaptation, as well as increasing local authorities’ access to climate finance to implement climate change adaptation investments.</t>
  </si>
  <si>
    <t>Further information is available here: https://neighbourhood-enlargement.ec.europa.eu/news/eu-un-and-france-boost-access-climate-finance-local-governments-southern-mediterranean-region-2022-11-11_en</t>
  </si>
  <si>
    <t>Global Climate Change Alliance Plus Scaling up Pacific Adaptation (GCCA+ SUPA)</t>
  </si>
  <si>
    <t>Paific Island countries</t>
  </si>
  <si>
    <t>The GCCA+ SUPA project, which falls under the GCCA+ flagship initiative, aimed at enhancing climate change adaptation and resilience within ten Pacific Island countries. The 2019-2023 project specifically focused on strengthening the implementation of sector based, but integrated, climate change and disaster risk management strategies and plans. A people-centred approach has been applied to all project activities consisting of the pillars of human rights, gender and social inclusion, Pacific culture, and environmental sustainability.</t>
  </si>
  <si>
    <t>Further information is available here: https://capacity4dev.europa.eu/library/project-fiche-gcca-scaling-pacific-adaptation-gcca-supa_en</t>
  </si>
  <si>
    <t>Further information is available here: https://gem.spc.int/projects/pacific-solutions-to-save-our-ocean-integrated-ocean-management-programme</t>
  </si>
  <si>
    <t>Sub-Saharan Africa, Middle-East, Asia and the Pacific, the Americas and the Caribbean, Overseas Countries and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</si>
</sst>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General"/>
    <numFmt numFmtId="165" formatCode="#,##0\ _€"/>
  </numFmts>
  <fonts count="29"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FF0000"/>
      <name val="Times New Roman"/>
      <family val="1"/>
    </font>
    <font>
      <i/>
      <vertAlign val="superscript"/>
      <sz val="9"/>
      <color rgb="FF000000"/>
      <name val="Times New Roman"/>
      <family val="1"/>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vertAlign val="superscript"/>
      <sz val="12"/>
      <color theme="1"/>
      <name val="Times New Roman"/>
      <family val="1"/>
    </font>
    <font>
      <b/>
      <sz val="9"/>
      <color rgb="FFFF0000"/>
      <name val="Times New Roman"/>
      <family val="1"/>
    </font>
    <font>
      <sz val="9"/>
      <color rgb="FF0070C0"/>
      <name val="Times New Roman"/>
      <family val="1"/>
    </font>
    <font>
      <vertAlign val="superscript"/>
      <sz val="9"/>
      <color theme="1"/>
      <name val="Times New Roman"/>
      <family val="1"/>
    </font>
    <font>
      <sz val="9"/>
      <color rgb="FFFFFF00"/>
      <name val="Times New Roman"/>
      <family val="1"/>
    </font>
    <font>
      <b/>
      <sz val="9"/>
      <color rgb="FF000000"/>
      <name val="Times New Roman"/>
      <family val="1"/>
    </font>
    <font>
      <sz val="9"/>
      <color theme="10"/>
      <name val="Times New Roman"/>
      <family val="1"/>
    </font>
    <font>
      <b/>
      <vertAlign val="superscript"/>
      <sz val="12"/>
      <name val="Times New Roman"/>
      <family val="1"/>
    </font>
    <font>
      <b/>
      <sz val="12"/>
      <name val="Times New Roman"/>
      <family val="1"/>
    </font>
    <font>
      <i/>
      <vertAlign val="superscript"/>
      <sz val="9"/>
      <name val="Times New Roman"/>
      <family val="1"/>
    </font>
    <font>
      <sz val="9"/>
      <name val="Times New Roman"/>
      <family val="1"/>
    </font>
    <font>
      <i/>
      <sz val="9"/>
      <name val="Times New Roman"/>
      <family val="1"/>
    </font>
    <font>
      <vertAlign val="superscript"/>
      <sz val="9"/>
      <name val="Times New Roman"/>
      <family val="1"/>
    </font>
    <font>
      <b/>
      <vertAlign val="superscript"/>
      <sz val="11"/>
      <name val="Times New Roman"/>
      <family val="1"/>
    </font>
    <font>
      <b/>
      <sz val="11"/>
      <name val="Times New Roman"/>
      <family val="1"/>
    </font>
    <font>
      <sz val="11"/>
      <color theme="1"/>
      <name val="Calibri"/>
      <family val="2"/>
      <scheme val="minor"/>
    </font>
  </fonts>
  <fills count="6">
    <fill>
      <patternFill patternType="none"/>
    </fill>
    <fill>
      <patternFill patternType="gray125"/>
    </fill>
    <fill>
      <patternFill patternType="solid">
        <fgColor rgb="FFFFFFFF"/>
        <bgColor rgb="FF000000"/>
      </patternFill>
    </fill>
    <fill>
      <patternFill patternType="solid">
        <fgColor theme="0" tint="-0.34998626667073579"/>
        <bgColor rgb="FF000000"/>
      </patternFill>
    </fill>
    <fill>
      <patternFill patternType="solid">
        <fgColor theme="0"/>
        <bgColor indexed="64"/>
      </patternFill>
    </fill>
    <fill>
      <patternFill patternType="solid">
        <fgColor theme="0"/>
        <bgColor rgb="FF0000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s>
  <cellStyleXfs count="7">
    <xf numFmtId="0" fontId="0" fillId="0" borderId="0"/>
    <xf numFmtId="0" fontId="3" fillId="0" borderId="0"/>
    <xf numFmtId="0" fontId="5" fillId="0" borderId="0"/>
    <xf numFmtId="0" fontId="6" fillId="0" borderId="2"/>
    <xf numFmtId="0" fontId="6" fillId="0" borderId="1"/>
    <xf numFmtId="0" fontId="18" fillId="0" borderId="0"/>
    <xf numFmtId="43" fontId="28" fillId="0" borderId="0" applyFont="0" applyFill="0" applyBorder="0" applyAlignment="0" applyProtection="0"/>
  </cellStyleXfs>
  <cellXfs count="129">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pplyAlignment="1">
      <alignment horizontal="left"/>
    </xf>
    <xf numFmtId="0" fontId="5" fillId="0" borderId="0" xfId="0" applyNumberFormat="1" applyFont="1"/>
    <xf numFmtId="0" fontId="5" fillId="2" borderId="0" xfId="2" applyNumberFormat="1" applyFont="1" applyFill="1" applyAlignment="1">
      <alignment horizontal="left"/>
    </xf>
    <xf numFmtId="0" fontId="2" fillId="2" borderId="0" xfId="2" applyNumberFormat="1" applyFont="1" applyFill="1" applyAlignment="1">
      <alignment horizontal="left"/>
    </xf>
    <xf numFmtId="0" fontId="1" fillId="0" borderId="0" xfId="2" applyNumberFormat="1" applyFont="1" applyAlignment="1">
      <alignment horizontal="left"/>
    </xf>
    <xf numFmtId="2" fontId="1" fillId="0" borderId="0" xfId="2" applyNumberFormat="1" applyFont="1" applyAlignment="1">
      <alignment horizontal="left"/>
    </xf>
    <xf numFmtId="0" fontId="1" fillId="2" borderId="0" xfId="2" applyNumberFormat="1" applyFont="1" applyFill="1" applyAlignment="1">
      <alignment horizontal="left"/>
    </xf>
    <xf numFmtId="0" fontId="3" fillId="2" borderId="0" xfId="1" applyNumberFormat="1" applyFont="1" applyFill="1" applyAlignment="1">
      <alignment horizontal="left"/>
    </xf>
    <xf numFmtId="0" fontId="4" fillId="2" borderId="0" xfId="2" applyNumberFormat="1" applyFont="1" applyFill="1" applyAlignment="1">
      <alignment horizontal="left"/>
    </xf>
    <xf numFmtId="0" fontId="6" fillId="0" borderId="1" xfId="0" applyNumberFormat="1" applyFont="1" applyBorder="1" applyAlignment="1">
      <alignment horizontal="center" vertical="center" wrapText="1"/>
    </xf>
    <xf numFmtId="0" fontId="6" fillId="0" borderId="2" xfId="0" applyNumberFormat="1" applyFont="1" applyBorder="1" applyAlignment="1">
      <alignment horizontal="centerContinuous" vertical="center"/>
    </xf>
    <xf numFmtId="0" fontId="6" fillId="0" borderId="3" xfId="0" applyNumberFormat="1" applyFont="1" applyBorder="1" applyAlignment="1">
      <alignment horizontal="centerContinuous" vertical="center"/>
    </xf>
    <xf numFmtId="0" fontId="6" fillId="0" borderId="4" xfId="0" applyNumberFormat="1" applyFont="1" applyBorder="1" applyAlignment="1">
      <alignment horizontal="centerContinuous" vertical="center"/>
    </xf>
    <xf numFmtId="0" fontId="6" fillId="0" borderId="5" xfId="0" applyNumberFormat="1" applyFont="1" applyBorder="1" applyAlignment="1">
      <alignment horizontal="center" vertical="center" wrapText="1"/>
    </xf>
    <xf numFmtId="0" fontId="6" fillId="0" borderId="0" xfId="0" applyNumberFormat="1" applyFont="1"/>
    <xf numFmtId="0" fontId="6" fillId="0" borderId="6" xfId="0" applyNumberFormat="1" applyFont="1" applyBorder="1" applyAlignment="1">
      <alignment horizontal="center" vertical="center" wrapText="1"/>
    </xf>
    <xf numFmtId="0" fontId="6" fillId="0" borderId="2" xfId="3" applyNumberFormat="1" applyFont="1" applyBorder="1" applyAlignment="1">
      <alignment horizontal="centerContinuous" vertical="center"/>
    </xf>
    <xf numFmtId="0" fontId="6" fillId="0" borderId="4" xfId="3" applyNumberFormat="1" applyFont="1" applyBorder="1" applyAlignment="1">
      <alignment horizontal="centerContinuous" vertical="center"/>
    </xf>
    <xf numFmtId="0" fontId="6" fillId="0" borderId="7" xfId="0" applyNumberFormat="1" applyFont="1" applyBorder="1" applyAlignment="1">
      <alignment horizontal="center" vertical="center" wrapText="1"/>
    </xf>
    <xf numFmtId="0" fontId="6" fillId="0" borderId="8" xfId="0" applyNumberFormat="1" applyFont="1" applyBorder="1" applyAlignment="1">
      <alignment horizontal="center" vertical="center" wrapText="1"/>
    </xf>
    <xf numFmtId="0" fontId="6" fillId="0" borderId="9" xfId="3" applyNumberFormat="1" applyFont="1" applyBorder="1" applyAlignment="1">
      <alignment horizontal="center" vertical="center" wrapText="1"/>
    </xf>
    <xf numFmtId="0" fontId="6" fillId="0" borderId="9" xfId="3" applyNumberFormat="1" applyFont="1" applyBorder="1" applyAlignment="1">
      <alignment horizontal="center" vertical="center"/>
    </xf>
    <xf numFmtId="0" fontId="6" fillId="0" borderId="10" xfId="0" applyNumberFormat="1" applyFont="1" applyBorder="1" applyAlignment="1">
      <alignment horizontal="center" vertical="center" wrapText="1"/>
    </xf>
    <xf numFmtId="0" fontId="7" fillId="0" borderId="0" xfId="0" applyNumberFormat="1" applyFont="1"/>
    <xf numFmtId="3" fontId="6" fillId="0" borderId="0" xfId="3" applyNumberFormat="1" applyFont="1" applyBorder="1" applyAlignment="1">
      <alignment horizontal="center" vertical="top"/>
    </xf>
    <xf numFmtId="3" fontId="6" fillId="0" borderId="0" xfId="3" applyNumberFormat="1" applyFont="1" applyBorder="1" applyAlignment="1">
      <alignment vertical="top"/>
    </xf>
    <xf numFmtId="0" fontId="6" fillId="0" borderId="0" xfId="3" applyNumberFormat="1" applyFont="1" applyBorder="1" applyAlignment="1">
      <alignment horizontal="center" vertical="top"/>
    </xf>
    <xf numFmtId="0" fontId="6" fillId="0" borderId="0" xfId="3" applyNumberFormat="1" applyFont="1" applyBorder="1" applyAlignment="1">
      <alignment horizontal="center" vertical="top" wrapText="1"/>
    </xf>
    <xf numFmtId="0" fontId="6" fillId="0" borderId="0" xfId="3" applyNumberFormat="1" applyFont="1" applyBorder="1" applyAlignment="1">
      <alignment vertical="top" wrapText="1"/>
    </xf>
    <xf numFmtId="0" fontId="8" fillId="0" borderId="0" xfId="0" applyNumberFormat="1" applyFont="1"/>
    <xf numFmtId="0" fontId="1" fillId="0" borderId="0" xfId="3" applyNumberFormat="1" applyFont="1" applyBorder="1" applyAlignment="1">
      <alignment horizontal="left" vertical="top" wrapText="1"/>
    </xf>
    <xf numFmtId="0" fontId="1" fillId="0" borderId="0" xfId="3" applyNumberFormat="1" applyFont="1" applyBorder="1" applyAlignment="1">
      <alignment vertical="top" wrapText="1"/>
    </xf>
    <xf numFmtId="3" fontId="1" fillId="0" borderId="0" xfId="3" applyNumberFormat="1" applyFont="1" applyBorder="1" applyAlignment="1">
      <alignment vertical="top"/>
    </xf>
    <xf numFmtId="3" fontId="1" fillId="0" borderId="0" xfId="3" applyNumberFormat="1" applyFont="1" applyBorder="1" applyAlignment="1">
      <alignment horizontal="center" vertical="top"/>
    </xf>
    <xf numFmtId="0" fontId="4" fillId="2" borderId="0" xfId="2" applyNumberFormat="1" applyFont="1" applyFill="1" applyAlignment="1">
      <alignment horizontal="left" wrapText="1"/>
    </xf>
    <xf numFmtId="0" fontId="1" fillId="0" borderId="0" xfId="0" applyNumberFormat="1" applyFont="1" applyAlignment="1">
      <alignment horizontal="left" vertical="center" indent="7"/>
    </xf>
    <xf numFmtId="0" fontId="2" fillId="0" borderId="0" xfId="0" applyNumberFormat="1" applyFont="1" applyAlignment="1">
      <alignment horizontal="left" vertical="center" indent="7"/>
    </xf>
    <xf numFmtId="0" fontId="8" fillId="0" borderId="0" xfId="0" applyNumberFormat="1" applyFont="1" applyAlignment="1">
      <alignment vertical="center"/>
    </xf>
    <xf numFmtId="0" fontId="1" fillId="0" borderId="0" xfId="0" applyNumberFormat="1" applyFont="1" applyAlignment="1">
      <alignment vertical="center"/>
    </xf>
    <xf numFmtId="0" fontId="9" fillId="0" borderId="0" xfId="0" applyNumberFormat="1" applyFont="1" applyAlignment="1">
      <alignment vertical="center"/>
    </xf>
    <xf numFmtId="0" fontId="10" fillId="0" borderId="0" xfId="0" applyNumberFormat="1" applyFont="1"/>
    <xf numFmtId="0" fontId="6" fillId="0" borderId="1" xfId="3" applyNumberFormat="1" applyFont="1" applyBorder="1" applyAlignment="1">
      <alignment horizontal="center" vertical="center" wrapText="1"/>
    </xf>
    <xf numFmtId="0" fontId="6" fillId="0" borderId="9" xfId="0" applyNumberFormat="1" applyFont="1" applyBorder="1" applyAlignment="1">
      <alignment horizontal="centerContinuous" vertical="center" wrapText="1"/>
    </xf>
    <xf numFmtId="0" fontId="6" fillId="0" borderId="6" xfId="3" applyNumberFormat="1" applyFont="1" applyBorder="1" applyAlignment="1">
      <alignment horizontal="center" vertical="center" wrapText="1"/>
    </xf>
    <xf numFmtId="0" fontId="6" fillId="0" borderId="9" xfId="3" applyNumberFormat="1" applyFont="1" applyBorder="1" applyAlignment="1">
      <alignment horizontal="centerContinuous" vertical="center" wrapText="1"/>
    </xf>
    <xf numFmtId="0" fontId="6" fillId="0" borderId="1" xfId="3" applyNumberFormat="1" applyFont="1" applyBorder="1" applyAlignment="1">
      <alignment horizontal="center" vertical="center"/>
    </xf>
    <xf numFmtId="0" fontId="6" fillId="0" borderId="0" xfId="0" applyNumberFormat="1" applyFont="1" applyAlignment="1">
      <alignment horizontal="left" vertical="top"/>
    </xf>
    <xf numFmtId="0" fontId="1" fillId="0" borderId="0" xfId="0" applyNumberFormat="1" applyFont="1" applyAlignment="1">
      <alignment vertical="top"/>
    </xf>
    <xf numFmtId="0" fontId="11" fillId="0" borderId="0" xfId="0" applyNumberFormat="1" applyFont="1"/>
    <xf numFmtId="0" fontId="1" fillId="0" borderId="0" xfId="3" applyNumberFormat="1" applyFont="1" applyBorder="1"/>
    <xf numFmtId="0" fontId="8" fillId="0" borderId="0" xfId="0" applyNumberFormat="1" applyFont="1" applyAlignment="1">
      <alignment wrapText="1"/>
    </xf>
    <xf numFmtId="0" fontId="12" fillId="0" borderId="0" xfId="0" applyNumberFormat="1" applyFont="1"/>
    <xf numFmtId="0" fontId="13" fillId="0" borderId="0" xfId="2" applyNumberFormat="1" applyFont="1" applyAlignment="1">
      <alignment horizontal="left"/>
    </xf>
    <xf numFmtId="0" fontId="4" fillId="2" borderId="0" xfId="1" applyNumberFormat="1" applyFont="1" applyFill="1" applyAlignment="1">
      <alignment horizontal="left"/>
    </xf>
    <xf numFmtId="0" fontId="14" fillId="2" borderId="0" xfId="2" applyNumberFormat="1" applyFont="1" applyFill="1" applyAlignment="1">
      <alignment horizontal="left"/>
    </xf>
    <xf numFmtId="0" fontId="15" fillId="0" borderId="0" xfId="0" applyNumberFormat="1" applyFont="1"/>
    <xf numFmtId="0" fontId="6" fillId="0" borderId="1" xfId="4" applyNumberFormat="1" applyFont="1" applyBorder="1" applyAlignment="1">
      <alignment horizontal="center" vertical="center" wrapText="1"/>
    </xf>
    <xf numFmtId="0" fontId="6" fillId="0" borderId="9" xfId="0" applyNumberFormat="1" applyFont="1" applyBorder="1" applyAlignment="1">
      <alignment horizontal="centerContinuous" vertical="center"/>
    </xf>
    <xf numFmtId="0" fontId="6" fillId="0" borderId="9" xfId="0" applyNumberFormat="1" applyFont="1" applyBorder="1" applyAlignment="1">
      <alignment horizontal="centerContinuous"/>
    </xf>
    <xf numFmtId="0" fontId="6" fillId="0" borderId="5" xfId="4" applyNumberFormat="1" applyFont="1" applyBorder="1" applyAlignment="1">
      <alignment horizontal="centerContinuous" vertical="center" wrapText="1"/>
    </xf>
    <xf numFmtId="0" fontId="6" fillId="0" borderId="11" xfId="4" applyNumberFormat="1" applyFont="1" applyBorder="1" applyAlignment="1">
      <alignment horizontal="centerContinuous" vertical="center" wrapText="1"/>
    </xf>
    <xf numFmtId="0" fontId="6" fillId="0" borderId="6" xfId="4" applyNumberFormat="1" applyFont="1" applyBorder="1" applyAlignment="1">
      <alignment horizontal="center" vertical="center" wrapText="1"/>
    </xf>
    <xf numFmtId="0" fontId="6" fillId="0" borderId="9" xfId="4" applyNumberFormat="1" applyFont="1" applyBorder="1" applyAlignment="1">
      <alignment horizontal="centerContinuous"/>
    </xf>
    <xf numFmtId="0" fontId="6" fillId="0" borderId="10" xfId="4" applyNumberFormat="1" applyFont="1" applyBorder="1" applyAlignment="1">
      <alignment vertical="center" wrapText="1"/>
    </xf>
    <xf numFmtId="0" fontId="6" fillId="0" borderId="12" xfId="4" applyNumberFormat="1" applyFont="1" applyBorder="1" applyAlignment="1">
      <alignment vertical="center" wrapText="1"/>
    </xf>
    <xf numFmtId="0" fontId="6" fillId="0" borderId="8" xfId="4" applyNumberFormat="1" applyFont="1" applyBorder="1" applyAlignment="1">
      <alignment horizontal="center" vertical="center" wrapText="1"/>
    </xf>
    <xf numFmtId="0" fontId="6" fillId="0" borderId="9" xfId="4" applyNumberFormat="1" applyFont="1" applyBorder="1" applyAlignment="1">
      <alignment horizontal="center" vertical="center" wrapText="1"/>
    </xf>
    <xf numFmtId="0" fontId="6" fillId="0" borderId="9" xfId="4" applyNumberFormat="1" applyFont="1" applyBorder="1" applyAlignment="1">
      <alignment horizontal="center" vertical="center"/>
    </xf>
    <xf numFmtId="0" fontId="1" fillId="0" borderId="0" xfId="0" applyNumberFormat="1" applyFont="1" applyAlignment="1">
      <alignment horizontal="left" vertical="top" wrapText="1"/>
    </xf>
    <xf numFmtId="0" fontId="16" fillId="0" borderId="0" xfId="0" applyNumberFormat="1" applyFont="1" applyAlignment="1">
      <alignment horizontal="left" vertical="top" wrapText="1"/>
    </xf>
    <xf numFmtId="0" fontId="5" fillId="0" borderId="0" xfId="2" applyNumberFormat="1" applyFont="1" applyAlignment="1">
      <alignment horizontal="left" vertical="top"/>
    </xf>
    <xf numFmtId="14" fontId="1" fillId="0" borderId="0" xfId="0" applyNumberFormat="1" applyFont="1"/>
    <xf numFmtId="0" fontId="17" fillId="0" borderId="0" xfId="0" applyNumberFormat="1" applyFont="1" applyAlignment="1">
      <alignment horizontal="center"/>
    </xf>
    <xf numFmtId="164" fontId="1" fillId="0" borderId="0" xfId="0" applyNumberFormat="1" applyFont="1"/>
    <xf numFmtId="0" fontId="2" fillId="0" borderId="0" xfId="2" applyNumberFormat="1" applyFont="1" applyAlignment="1">
      <alignment horizontal="left" vertical="top"/>
    </xf>
    <xf numFmtId="0" fontId="15" fillId="2" borderId="0" xfId="1" applyNumberFormat="1" applyFont="1" applyFill="1" applyAlignment="1">
      <alignment horizontal="left"/>
    </xf>
    <xf numFmtId="0" fontId="4" fillId="2" borderId="0" xfId="1" applyNumberFormat="1" applyFont="1" applyFill="1" applyAlignment="1">
      <alignment horizontal="left" wrapText="1"/>
    </xf>
    <xf numFmtId="0" fontId="6" fillId="3" borderId="9" xfId="0" applyNumberFormat="1" applyFont="1" applyFill="1" applyBorder="1" applyAlignment="1">
      <alignment horizontal="center" vertical="center"/>
    </xf>
    <xf numFmtId="0" fontId="6" fillId="0" borderId="9" xfId="0" applyNumberFormat="1" applyFont="1" applyBorder="1" applyAlignment="1">
      <alignment horizontal="center" vertical="center"/>
    </xf>
    <xf numFmtId="0" fontId="6" fillId="0" borderId="9" xfId="0" applyNumberFormat="1" applyFont="1" applyBorder="1" applyAlignment="1">
      <alignment horizontal="center" vertical="center" wrapText="1"/>
    </xf>
    <xf numFmtId="0" fontId="6" fillId="3" borderId="9" xfId="0" applyNumberFormat="1" applyFont="1" applyFill="1" applyBorder="1" applyAlignment="1">
      <alignment horizontal="center" vertical="center" wrapText="1"/>
    </xf>
    <xf numFmtId="0" fontId="18" fillId="0" borderId="0" xfId="5" applyNumberFormat="1" applyFont="1" applyAlignment="1">
      <alignment horizontal="left" vertical="top"/>
    </xf>
    <xf numFmtId="0" fontId="1" fillId="0" borderId="0" xfId="0" applyNumberFormat="1" applyFont="1" applyAlignment="1">
      <alignment horizontal="left"/>
    </xf>
    <xf numFmtId="0" fontId="18" fillId="0" borderId="0" xfId="5" applyNumberFormat="1" applyFont="1" applyAlignment="1">
      <alignment horizontal="left" vertical="top" wrapText="1"/>
    </xf>
    <xf numFmtId="0" fontId="2" fillId="0" borderId="0" xfId="2" applyNumberFormat="1" applyFont="1" applyAlignment="1">
      <alignment horizontal="left"/>
    </xf>
    <xf numFmtId="0" fontId="19" fillId="2" borderId="0" xfId="1" applyNumberFormat="1" applyFont="1" applyFill="1" applyAlignment="1">
      <alignment horizontal="left"/>
    </xf>
    <xf numFmtId="0" fontId="3" fillId="0" borderId="0" xfId="1" applyNumberFormat="1" applyFont="1" applyAlignment="1">
      <alignment vertical="center"/>
    </xf>
    <xf numFmtId="0" fontId="1" fillId="0" borderId="0" xfId="0" applyFont="1" applyAlignment="1">
      <alignment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165" fontId="1" fillId="0" borderId="9" xfId="0" applyNumberFormat="1" applyFont="1" applyBorder="1" applyAlignment="1">
      <alignment horizontal="right" vertical="top" wrapText="1"/>
    </xf>
    <xf numFmtId="0" fontId="0" fillId="0" borderId="0" xfId="0"/>
    <xf numFmtId="0" fontId="1" fillId="0" borderId="2" xfId="0" applyFont="1" applyBorder="1" applyAlignment="1">
      <alignment horizontal="left" vertical="top" wrapText="1"/>
    </xf>
    <xf numFmtId="0" fontId="1" fillId="4" borderId="9" xfId="0" applyFont="1" applyFill="1" applyBorder="1" applyAlignment="1">
      <alignment horizontal="left" vertical="top" wrapText="1"/>
    </xf>
    <xf numFmtId="0" fontId="23" fillId="0" borderId="9" xfId="0" applyFont="1" applyBorder="1" applyAlignment="1">
      <alignment horizontal="left" vertical="top" wrapText="1"/>
    </xf>
    <xf numFmtId="0" fontId="1" fillId="0" borderId="9" xfId="0" quotePrefix="1" applyFont="1" applyBorder="1" applyAlignment="1">
      <alignment horizontal="left" vertical="top" wrapText="1"/>
    </xf>
    <xf numFmtId="0" fontId="2" fillId="0" borderId="0" xfId="0" applyFont="1"/>
    <xf numFmtId="0" fontId="23" fillId="0" borderId="0" xfId="0" applyFont="1"/>
    <xf numFmtId="0" fontId="1" fillId="0" borderId="0" xfId="0" applyFont="1"/>
    <xf numFmtId="0" fontId="6" fillId="0" borderId="0" xfId="0" applyFont="1"/>
    <xf numFmtId="0" fontId="1" fillId="0" borderId="9" xfId="0" applyFont="1" applyBorder="1" applyAlignment="1">
      <alignment horizontal="left" vertical="top"/>
    </xf>
    <xf numFmtId="165" fontId="1" fillId="0" borderId="9" xfId="0" applyNumberFormat="1" applyFont="1" applyBorder="1" applyAlignment="1">
      <alignment horizontal="right" vertical="top"/>
    </xf>
    <xf numFmtId="0" fontId="1" fillId="0" borderId="9" xfId="0" quotePrefix="1" applyFont="1" applyBorder="1" applyAlignment="1">
      <alignment horizontal="left" vertical="top"/>
    </xf>
    <xf numFmtId="0" fontId="6" fillId="0" borderId="0" xfId="3" applyNumberFormat="1" applyFont="1" applyBorder="1" applyAlignment="1">
      <alignment horizontal="center" vertical="center" wrapText="1"/>
    </xf>
    <xf numFmtId="0" fontId="6" fillId="0" borderId="0" xfId="3" applyNumberFormat="1" applyFont="1" applyBorder="1" applyAlignment="1">
      <alignment horizontal="center" vertical="center"/>
    </xf>
    <xf numFmtId="0" fontId="6" fillId="0" borderId="0" xfId="0" applyNumberFormat="1" applyFont="1" applyBorder="1" applyAlignment="1">
      <alignment horizontal="center" vertical="center" wrapText="1"/>
    </xf>
    <xf numFmtId="0" fontId="6" fillId="0" borderId="0" xfId="0" applyFont="1" applyAlignment="1">
      <alignment horizontal="left" vertical="top"/>
    </xf>
    <xf numFmtId="3" fontId="1" fillId="0" borderId="4" xfId="0" applyNumberFormat="1" applyFont="1" applyBorder="1" applyAlignment="1">
      <alignment horizontal="right" vertical="top"/>
    </xf>
    <xf numFmtId="3" fontId="1" fillId="0" borderId="9" xfId="0" applyNumberFormat="1" applyFont="1" applyBorder="1" applyAlignment="1">
      <alignment horizontal="right" vertical="top"/>
    </xf>
    <xf numFmtId="3" fontId="1" fillId="0" borderId="9" xfId="6" applyNumberFormat="1" applyFont="1" applyBorder="1" applyAlignment="1">
      <alignment horizontal="right" vertical="top" wrapText="1"/>
    </xf>
    <xf numFmtId="3" fontId="1" fillId="0" borderId="9" xfId="0" applyNumberFormat="1" applyFont="1" applyBorder="1" applyAlignment="1">
      <alignment horizontal="right" vertical="top" wrapText="1"/>
    </xf>
    <xf numFmtId="0" fontId="1" fillId="0" borderId="10" xfId="0" applyFont="1" applyBorder="1" applyAlignment="1">
      <alignment horizontal="left" vertical="top" wrapText="1"/>
    </xf>
    <xf numFmtId="0" fontId="1" fillId="0" borderId="13" xfId="0" applyFont="1" applyBorder="1" applyAlignment="1">
      <alignment horizontal="left" vertical="top" wrapText="1"/>
    </xf>
    <xf numFmtId="0" fontId="15" fillId="0" borderId="0" xfId="0" applyFont="1" applyAlignment="1">
      <alignment vertical="top"/>
    </xf>
    <xf numFmtId="0" fontId="1" fillId="0" borderId="1" xfId="0" applyFont="1" applyBorder="1" applyAlignment="1">
      <alignment horizontal="left" vertical="top" wrapText="1"/>
    </xf>
    <xf numFmtId="0" fontId="15" fillId="0" borderId="0" xfId="0" applyFont="1"/>
    <xf numFmtId="0" fontId="1" fillId="0" borderId="0" xfId="0" applyFont="1" applyAlignment="1">
      <alignment vertical="top" wrapText="1"/>
    </xf>
    <xf numFmtId="0" fontId="1" fillId="4" borderId="9" xfId="0" applyFont="1" applyFill="1" applyBorder="1" applyAlignment="1">
      <alignment horizontal="center" vertical="top" wrapText="1"/>
    </xf>
    <xf numFmtId="0" fontId="1" fillId="0" borderId="10" xfId="0" applyFont="1" applyBorder="1" applyAlignment="1">
      <alignment horizontal="center" vertical="top" wrapText="1"/>
    </xf>
    <xf numFmtId="0" fontId="1" fillId="0" borderId="1" xfId="0" applyFont="1" applyBorder="1" applyAlignment="1">
      <alignment horizontal="center" vertical="top" wrapText="1"/>
    </xf>
    <xf numFmtId="0" fontId="1" fillId="0" borderId="14" xfId="0" applyFont="1" applyBorder="1" applyAlignment="1">
      <alignment horizontal="center" vertical="top" wrapText="1"/>
    </xf>
    <xf numFmtId="0" fontId="1" fillId="5" borderId="9" xfId="0" applyFont="1" applyFill="1" applyBorder="1" applyAlignment="1">
      <alignment horizontal="left" vertical="top" wrapText="1"/>
    </xf>
    <xf numFmtId="0" fontId="1" fillId="4" borderId="9" xfId="0" applyFont="1" applyFill="1" applyBorder="1" applyAlignment="1">
      <alignment horizontal="center" vertical="top"/>
    </xf>
  </cellXfs>
  <cellStyles count="7">
    <cellStyle name="Headline" xfId="2" xr:uid="{00000000-0005-0000-0000-000002000000}"/>
    <cellStyle name="Hyperlink" xfId="1" xr:uid="{00000000-0005-0000-0000-000001000000}"/>
    <cellStyle name="Komma" xfId="6" builtinId="3"/>
    <cellStyle name="Normal 2" xfId="4" xr:uid="{00000000-0005-0000-0000-000004000000}"/>
    <cellStyle name="Normal 2 2" xfId="3" xr:uid="{00000000-0005-0000-0000-000003000000}"/>
    <cellStyle name="Standard" xfId="0" builtinId="0" customBuiltin="1"/>
    <cellStyle name="Обычный_CRF2002 (1)" xfId="5" xr:uid="{00000000-0005-0000-0000-00000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www.tratolownetwork.eu/fileadmin/inhalte/tratolow/eu_support_for_climate_action_imagebrochur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showGridLines="0" tabSelected="1" zoomScale="140" workbookViewId="0">
      <selection activeCell="A16" sqref="A16"/>
    </sheetView>
  </sheetViews>
  <sheetFormatPr baseColWidth="10" defaultColWidth="8.5546875" defaultRowHeight="11.55" customHeight="1" x14ac:dyDescent="0.25"/>
  <cols>
    <col min="1" max="1" width="10.109375" style="1" customWidth="1"/>
    <col min="2" max="2" width="3.44140625" style="1" customWidth="1"/>
    <col min="3" max="3" width="8.5546875" style="1" customWidth="1"/>
    <col min="4" max="16384" width="8.5546875" style="1"/>
  </cols>
  <sheetData>
    <row r="1" spans="1:3" ht="12" x14ac:dyDescent="0.25">
      <c r="A1" s="2" t="s">
        <v>0</v>
      </c>
    </row>
    <row r="3" spans="1:3" ht="12" x14ac:dyDescent="0.25">
      <c r="A3" s="3"/>
    </row>
    <row r="4" spans="1:3" ht="12" x14ac:dyDescent="0.25">
      <c r="A4" s="4" t="s">
        <v>1</v>
      </c>
      <c r="C4" s="2" t="s">
        <v>2</v>
      </c>
    </row>
    <row r="5" spans="1:3" ht="12" x14ac:dyDescent="0.25">
      <c r="A5" s="4" t="s">
        <v>3</v>
      </c>
    </row>
    <row r="6" spans="1:3" ht="12" x14ac:dyDescent="0.25">
      <c r="A6" s="3" t="s">
        <v>4</v>
      </c>
    </row>
    <row r="7" spans="1:3" ht="12" x14ac:dyDescent="0.25">
      <c r="A7" s="3" t="s">
        <v>5</v>
      </c>
    </row>
    <row r="8" spans="1:3" ht="12" x14ac:dyDescent="0.25">
      <c r="A8" s="3" t="s">
        <v>6</v>
      </c>
    </row>
    <row r="9" spans="1:3" ht="12" x14ac:dyDescent="0.25">
      <c r="A9" s="3" t="s">
        <v>7</v>
      </c>
    </row>
    <row r="10" spans="1:3" ht="11.55" customHeight="1" x14ac:dyDescent="0.3">
      <c r="A10" s="3" t="s">
        <v>8</v>
      </c>
      <c r="C10" t="s">
        <v>9</v>
      </c>
    </row>
    <row r="11" spans="1:3" ht="11.55" customHeight="1" x14ac:dyDescent="0.3">
      <c r="A11" s="3" t="s">
        <v>10</v>
      </c>
      <c r="C11" t="s">
        <v>9</v>
      </c>
    </row>
    <row r="12" spans="1:3" ht="12" x14ac:dyDescent="0.25">
      <c r="A12" s="3" t="s">
        <v>11</v>
      </c>
    </row>
    <row r="13" spans="1:3" ht="12" x14ac:dyDescent="0.25">
      <c r="A13" s="3" t="s">
        <v>12</v>
      </c>
    </row>
    <row r="14" spans="1:3" ht="12" x14ac:dyDescent="0.25">
      <c r="A14" s="4" t="s">
        <v>13</v>
      </c>
      <c r="B14" s="4"/>
    </row>
    <row r="15" spans="1:3" ht="12" x14ac:dyDescent="0.25"/>
    <row r="16" spans="1:3" ht="12" x14ac:dyDescent="0.25">
      <c r="A16" s="5"/>
    </row>
  </sheetData>
  <hyperlinks>
    <hyperlink ref="A6" location="'Table1_2021'!A1" display="Table1_2021" xr:uid="{00000000-0004-0000-0000-000000000000}"/>
    <hyperlink ref="A7" location="'Table1_2022'!A1" display="Table1_2022" xr:uid="{00000000-0004-0000-0000-000001000000}"/>
    <hyperlink ref="A8" location="'Table2_2021'!A1" display="Table2_2021" xr:uid="{00000000-0004-0000-0000-000002000000}"/>
    <hyperlink ref="A9" location="'Table2_2022'!A1" display="Table2_2022" xr:uid="{00000000-0004-0000-0000-000003000000}"/>
    <hyperlink ref="A10" location="'Table3_2021'!A1" display="Table3_2021" xr:uid="{00000000-0004-0000-0000-000004000000}"/>
    <hyperlink ref="A11" location="'Table3_2022'!A1" display="Table3_2022" xr:uid="{00000000-0004-0000-0000-000005000000}"/>
    <hyperlink ref="A12" location="'Table4'!A1" display="Table4" xr:uid="{00000000-0004-0000-0000-000006000000}"/>
    <hyperlink ref="A13" location="'Table5'!A1" display="Table5"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98"/>
  <sheetViews>
    <sheetView showGridLines="0" zoomScaleNormal="100" workbookViewId="0">
      <selection activeCell="S1" sqref="S1"/>
    </sheetView>
  </sheetViews>
  <sheetFormatPr baseColWidth="10" defaultColWidth="9.109375" defaultRowHeight="11.55" customHeight="1" x14ac:dyDescent="0.25"/>
  <cols>
    <col min="1" max="1" width="2.44140625" style="1" customWidth="1"/>
    <col min="2" max="2" width="23" style="1" customWidth="1"/>
    <col min="3" max="16" width="11.44140625" style="1" customWidth="1"/>
    <col min="17" max="17" width="20.44140625" style="1" customWidth="1"/>
    <col min="18" max="18" width="9.109375" style="1" customWidth="1"/>
    <col min="19" max="16384" width="9.109375" style="1"/>
  </cols>
  <sheetData>
    <row r="1" spans="2:21" ht="16.05" customHeight="1" x14ac:dyDescent="0.3">
      <c r="B1" s="6" t="s">
        <v>14</v>
      </c>
      <c r="C1" s="6"/>
    </row>
    <row r="2" spans="2:21" ht="16.05" customHeight="1" x14ac:dyDescent="0.3">
      <c r="B2" s="7" t="s">
        <v>15</v>
      </c>
      <c r="C2" s="8"/>
      <c r="D2" s="9"/>
      <c r="I2" s="7" t="s">
        <v>16</v>
      </c>
      <c r="J2" s="7" t="s">
        <v>17</v>
      </c>
    </row>
    <row r="3" spans="2:21" ht="16.05" customHeight="1" x14ac:dyDescent="0.25">
      <c r="B3" s="10" t="s">
        <v>18</v>
      </c>
      <c r="C3" s="11">
        <v>0.95</v>
      </c>
    </row>
    <row r="4" spans="2:21" ht="16.05" customHeight="1" x14ac:dyDescent="0.25">
      <c r="B4" s="12"/>
      <c r="C4" s="12"/>
    </row>
    <row r="5" spans="2:21" ht="12" x14ac:dyDescent="0.25">
      <c r="B5" s="13" t="s">
        <v>19</v>
      </c>
      <c r="C5" s="14"/>
    </row>
    <row r="6" spans="2:21" ht="12" x14ac:dyDescent="0.25">
      <c r="B6" s="13"/>
      <c r="C6" s="14"/>
    </row>
    <row r="7" spans="2:21" s="20" customFormat="1" ht="64.8" customHeight="1" x14ac:dyDescent="0.25">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spans="2:21" s="20" customFormat="1" ht="23.55" customHeight="1" x14ac:dyDescent="0.25">
      <c r="B8" s="21"/>
      <c r="C8" s="21"/>
      <c r="D8" s="22" t="s">
        <v>33</v>
      </c>
      <c r="E8" s="23"/>
      <c r="F8" s="22" t="s">
        <v>34</v>
      </c>
      <c r="G8" s="23"/>
      <c r="H8" s="21"/>
      <c r="I8" s="21"/>
      <c r="J8" s="21"/>
      <c r="K8" s="21"/>
      <c r="L8" s="21"/>
      <c r="M8" s="21"/>
      <c r="N8" s="21"/>
      <c r="O8" s="21"/>
      <c r="P8" s="24"/>
      <c r="Q8" s="21"/>
    </row>
    <row r="9" spans="2:21" s="20" customFormat="1" ht="22.95" customHeight="1" x14ac:dyDescent="0.25">
      <c r="B9" s="25"/>
      <c r="C9" s="25"/>
      <c r="D9" s="26" t="s">
        <v>35</v>
      </c>
      <c r="E9" s="27" t="s">
        <v>36</v>
      </c>
      <c r="F9" s="26" t="s">
        <v>35</v>
      </c>
      <c r="G9" s="27" t="s">
        <v>36</v>
      </c>
      <c r="H9" s="25"/>
      <c r="I9" s="25"/>
      <c r="J9" s="25"/>
      <c r="K9" s="25"/>
      <c r="L9" s="25"/>
      <c r="M9" s="25"/>
      <c r="N9" s="25"/>
      <c r="O9" s="25"/>
      <c r="P9" s="28"/>
      <c r="Q9" s="21"/>
    </row>
    <row r="10" spans="2:21" s="93" customFormat="1" ht="120" x14ac:dyDescent="0.3">
      <c r="B10" s="94" t="s">
        <v>169</v>
      </c>
      <c r="C10" s="95" t="s">
        <v>170</v>
      </c>
      <c r="D10" s="96">
        <v>551149172</v>
      </c>
      <c r="E10" s="96">
        <v>580157023.15789473</v>
      </c>
      <c r="F10" s="96">
        <v>551149172</v>
      </c>
      <c r="G10" s="96">
        <v>580157023.15789473</v>
      </c>
      <c r="H10" s="95" t="s">
        <v>39</v>
      </c>
      <c r="I10" s="94" t="s">
        <v>40</v>
      </c>
      <c r="J10" s="94" t="s">
        <v>41</v>
      </c>
      <c r="K10" s="94" t="s">
        <v>42</v>
      </c>
      <c r="L10" s="94" t="s">
        <v>49</v>
      </c>
      <c r="M10" s="95" t="s">
        <v>50</v>
      </c>
      <c r="N10" s="94" t="s">
        <v>51</v>
      </c>
      <c r="O10" s="95" t="s">
        <v>171</v>
      </c>
      <c r="P10" s="95" t="s">
        <v>171</v>
      </c>
      <c r="Q10" s="95" t="s">
        <v>52</v>
      </c>
      <c r="T10" s="97"/>
      <c r="U10" s="97"/>
    </row>
    <row r="11" spans="2:21" s="93" customFormat="1" ht="240" x14ac:dyDescent="0.3">
      <c r="B11" s="94" t="s">
        <v>172</v>
      </c>
      <c r="C11" s="95" t="s">
        <v>38</v>
      </c>
      <c r="D11" s="96">
        <v>152273172</v>
      </c>
      <c r="E11" s="96">
        <v>160287549.47368422</v>
      </c>
      <c r="F11" s="96">
        <v>152273172</v>
      </c>
      <c r="G11" s="96">
        <v>160287549.47368422</v>
      </c>
      <c r="H11" s="95" t="s">
        <v>39</v>
      </c>
      <c r="I11" s="94" t="s">
        <v>40</v>
      </c>
      <c r="J11" s="94" t="s">
        <v>41</v>
      </c>
      <c r="K11" s="94" t="s">
        <v>42</v>
      </c>
      <c r="L11" s="94" t="s">
        <v>43</v>
      </c>
      <c r="M11" s="95" t="s">
        <v>44</v>
      </c>
      <c r="N11" s="94" t="s">
        <v>45</v>
      </c>
      <c r="O11" s="95" t="s">
        <v>171</v>
      </c>
      <c r="P11" s="95" t="s">
        <v>171</v>
      </c>
      <c r="Q11" s="95" t="s">
        <v>47</v>
      </c>
      <c r="T11" s="97"/>
      <c r="U11" s="97"/>
    </row>
    <row r="12" spans="2:21" s="93" customFormat="1" ht="192" x14ac:dyDescent="0.3">
      <c r="B12" s="94" t="s">
        <v>172</v>
      </c>
      <c r="C12" s="95" t="s">
        <v>53</v>
      </c>
      <c r="D12" s="96">
        <v>128000004</v>
      </c>
      <c r="E12" s="96">
        <v>134736846.31578949</v>
      </c>
      <c r="F12" s="96">
        <v>128000004</v>
      </c>
      <c r="G12" s="96">
        <v>134736846.31578949</v>
      </c>
      <c r="H12" s="95" t="s">
        <v>39</v>
      </c>
      <c r="I12" s="94" t="s">
        <v>40</v>
      </c>
      <c r="J12" s="94" t="s">
        <v>41</v>
      </c>
      <c r="K12" s="94" t="s">
        <v>42</v>
      </c>
      <c r="L12" s="94" t="s">
        <v>43</v>
      </c>
      <c r="M12" s="95" t="s">
        <v>54</v>
      </c>
      <c r="N12" s="94" t="s">
        <v>55</v>
      </c>
      <c r="O12" s="95" t="s">
        <v>171</v>
      </c>
      <c r="P12" s="95" t="s">
        <v>171</v>
      </c>
      <c r="Q12" s="95" t="s">
        <v>56</v>
      </c>
      <c r="T12" s="97"/>
      <c r="U12" s="97"/>
    </row>
    <row r="13" spans="2:21" s="93" customFormat="1" ht="228" x14ac:dyDescent="0.3">
      <c r="B13" s="94" t="s">
        <v>61</v>
      </c>
      <c r="C13" s="95" t="s">
        <v>173</v>
      </c>
      <c r="D13" s="96">
        <v>115000000</v>
      </c>
      <c r="E13" s="96">
        <v>121052631.57894738</v>
      </c>
      <c r="F13" s="96">
        <v>115000000</v>
      </c>
      <c r="G13" s="96">
        <v>121052631.57894738</v>
      </c>
      <c r="H13" s="95" t="s">
        <v>39</v>
      </c>
      <c r="I13" s="94" t="s">
        <v>40</v>
      </c>
      <c r="J13" s="94" t="s">
        <v>41</v>
      </c>
      <c r="K13" s="94" t="s">
        <v>42</v>
      </c>
      <c r="L13" s="94" t="s">
        <v>62</v>
      </c>
      <c r="M13" s="95" t="s">
        <v>63</v>
      </c>
      <c r="N13" s="94" t="s">
        <v>64</v>
      </c>
      <c r="O13" s="95" t="s">
        <v>171</v>
      </c>
      <c r="P13" s="95" t="s">
        <v>171</v>
      </c>
      <c r="Q13" s="95" t="s">
        <v>174</v>
      </c>
      <c r="T13" s="97"/>
      <c r="U13" s="97"/>
    </row>
    <row r="14" spans="2:21" s="93" customFormat="1" ht="228" x14ac:dyDescent="0.3">
      <c r="B14" s="94" t="s">
        <v>175</v>
      </c>
      <c r="C14" s="95" t="s">
        <v>60</v>
      </c>
      <c r="D14" s="96">
        <v>110000000</v>
      </c>
      <c r="E14" s="96">
        <v>115789473.68421054</v>
      </c>
      <c r="F14" s="96">
        <v>110000000</v>
      </c>
      <c r="G14" s="96">
        <v>115789473.68421054</v>
      </c>
      <c r="H14" s="95" t="s">
        <v>39</v>
      </c>
      <c r="I14" s="94" t="s">
        <v>40</v>
      </c>
      <c r="J14" s="94" t="s">
        <v>41</v>
      </c>
      <c r="K14" s="94" t="s">
        <v>42</v>
      </c>
      <c r="L14" s="94" t="s">
        <v>62</v>
      </c>
      <c r="M14" s="95" t="s">
        <v>50</v>
      </c>
      <c r="N14" s="94" t="s">
        <v>88</v>
      </c>
      <c r="O14" s="95" t="s">
        <v>171</v>
      </c>
      <c r="P14" s="95" t="s">
        <v>171</v>
      </c>
      <c r="Q14" s="95" t="s">
        <v>93</v>
      </c>
      <c r="T14" s="97"/>
      <c r="U14" s="97"/>
    </row>
    <row r="15" spans="2:21" s="93" customFormat="1" ht="84" x14ac:dyDescent="0.3">
      <c r="B15" s="94" t="s">
        <v>169</v>
      </c>
      <c r="C15" s="95" t="s">
        <v>59</v>
      </c>
      <c r="D15" s="96">
        <v>105507200</v>
      </c>
      <c r="E15" s="96">
        <v>111060210.52631579</v>
      </c>
      <c r="F15" s="96">
        <v>105507200</v>
      </c>
      <c r="G15" s="96">
        <v>111060210.52631579</v>
      </c>
      <c r="H15" s="95" t="s">
        <v>39</v>
      </c>
      <c r="I15" s="94" t="s">
        <v>40</v>
      </c>
      <c r="J15" s="94" t="s">
        <v>41</v>
      </c>
      <c r="K15" s="94" t="s">
        <v>42</v>
      </c>
      <c r="L15" s="94" t="s">
        <v>49</v>
      </c>
      <c r="M15" s="95" t="s">
        <v>50</v>
      </c>
      <c r="N15" s="94" t="s">
        <v>82</v>
      </c>
      <c r="O15" s="95" t="s">
        <v>171</v>
      </c>
      <c r="P15" s="95" t="s">
        <v>171</v>
      </c>
      <c r="Q15" s="95" t="s">
        <v>176</v>
      </c>
      <c r="T15" s="97"/>
      <c r="U15" s="97"/>
    </row>
    <row r="16" spans="2:21" s="93" customFormat="1" ht="228" x14ac:dyDescent="0.3">
      <c r="B16" s="94" t="s">
        <v>177</v>
      </c>
      <c r="C16" s="95" t="s">
        <v>57</v>
      </c>
      <c r="D16" s="96">
        <v>100000000</v>
      </c>
      <c r="E16" s="96">
        <v>105263157.89473684</v>
      </c>
      <c r="F16" s="96">
        <v>100000000</v>
      </c>
      <c r="G16" s="96">
        <v>105263157.89473684</v>
      </c>
      <c r="H16" s="95" t="s">
        <v>39</v>
      </c>
      <c r="I16" s="94" t="s">
        <v>40</v>
      </c>
      <c r="J16" s="94" t="s">
        <v>41</v>
      </c>
      <c r="K16" s="94" t="s">
        <v>42</v>
      </c>
      <c r="L16" s="94" t="s">
        <v>62</v>
      </c>
      <c r="M16" s="95" t="s">
        <v>50</v>
      </c>
      <c r="N16" s="94" t="s">
        <v>90</v>
      </c>
      <c r="O16" s="95" t="s">
        <v>171</v>
      </c>
      <c r="P16" s="95" t="s">
        <v>171</v>
      </c>
      <c r="Q16" s="95" t="s">
        <v>91</v>
      </c>
      <c r="T16" s="97"/>
      <c r="U16" s="97"/>
    </row>
    <row r="17" spans="2:21" s="93" customFormat="1" ht="228" x14ac:dyDescent="0.3">
      <c r="B17" s="94" t="s">
        <v>169</v>
      </c>
      <c r="C17" s="95" t="s">
        <v>58</v>
      </c>
      <c r="D17" s="96">
        <v>74000000</v>
      </c>
      <c r="E17" s="96">
        <v>77894736.842105269</v>
      </c>
      <c r="F17" s="96">
        <v>74000000</v>
      </c>
      <c r="G17" s="96">
        <v>77894736.842105269</v>
      </c>
      <c r="H17" s="95" t="s">
        <v>39</v>
      </c>
      <c r="I17" s="94" t="s">
        <v>40</v>
      </c>
      <c r="J17" s="94" t="s">
        <v>41</v>
      </c>
      <c r="K17" s="94" t="s">
        <v>42</v>
      </c>
      <c r="L17" s="94" t="s">
        <v>43</v>
      </c>
      <c r="M17" s="95" t="s">
        <v>50</v>
      </c>
      <c r="N17" s="94" t="s">
        <v>92</v>
      </c>
      <c r="O17" s="95" t="s">
        <v>171</v>
      </c>
      <c r="P17" s="95" t="s">
        <v>171</v>
      </c>
      <c r="Q17" s="95" t="s">
        <v>89</v>
      </c>
      <c r="T17" s="97"/>
      <c r="U17" s="97"/>
    </row>
    <row r="18" spans="2:21" s="93" customFormat="1" ht="228" x14ac:dyDescent="0.3">
      <c r="B18" s="94" t="s">
        <v>169</v>
      </c>
      <c r="C18" s="95" t="s">
        <v>48</v>
      </c>
      <c r="D18" s="96">
        <v>72800264.000000015</v>
      </c>
      <c r="E18" s="96">
        <v>76631856.842105284</v>
      </c>
      <c r="F18" s="96">
        <v>72800264.000000015</v>
      </c>
      <c r="G18" s="96">
        <v>76631856.842105284</v>
      </c>
      <c r="H18" s="95" t="s">
        <v>39</v>
      </c>
      <c r="I18" s="94" t="s">
        <v>40</v>
      </c>
      <c r="J18" s="94" t="s">
        <v>41</v>
      </c>
      <c r="K18" s="94" t="s">
        <v>42</v>
      </c>
      <c r="L18" s="94" t="s">
        <v>49</v>
      </c>
      <c r="M18" s="95" t="s">
        <v>50</v>
      </c>
      <c r="N18" s="94" t="s">
        <v>88</v>
      </c>
      <c r="O18" s="95" t="s">
        <v>171</v>
      </c>
      <c r="P18" s="95" t="s">
        <v>171</v>
      </c>
      <c r="Q18" s="95" t="s">
        <v>89</v>
      </c>
      <c r="T18" s="97"/>
      <c r="U18" s="97"/>
    </row>
    <row r="19" spans="2:21" s="93" customFormat="1" ht="204" x14ac:dyDescent="0.3">
      <c r="B19" s="94" t="s">
        <v>81</v>
      </c>
      <c r="C19" s="95" t="s">
        <v>37</v>
      </c>
      <c r="D19" s="96">
        <v>71000000</v>
      </c>
      <c r="E19" s="96">
        <v>74736842.105263159</v>
      </c>
      <c r="F19" s="96">
        <v>71000000</v>
      </c>
      <c r="G19" s="96">
        <v>74736842.105263159</v>
      </c>
      <c r="H19" s="95" t="s">
        <v>39</v>
      </c>
      <c r="I19" s="94" t="s">
        <v>40</v>
      </c>
      <c r="J19" s="94" t="s">
        <v>41</v>
      </c>
      <c r="K19" s="94" t="s">
        <v>42</v>
      </c>
      <c r="L19" s="94" t="s">
        <v>43</v>
      </c>
      <c r="M19" s="95" t="s">
        <v>50</v>
      </c>
      <c r="N19" s="94" t="s">
        <v>82</v>
      </c>
      <c r="O19" s="95" t="s">
        <v>171</v>
      </c>
      <c r="P19" s="95" t="s">
        <v>171</v>
      </c>
      <c r="Q19" s="95" t="s">
        <v>83</v>
      </c>
      <c r="T19" s="97"/>
      <c r="U19" s="97"/>
    </row>
    <row r="20" spans="2:21" s="93" customFormat="1" ht="120" x14ac:dyDescent="0.3">
      <c r="B20" s="94" t="s">
        <v>169</v>
      </c>
      <c r="C20" s="95" t="s">
        <v>178</v>
      </c>
      <c r="D20" s="96">
        <v>67952272</v>
      </c>
      <c r="E20" s="96">
        <v>71528707.368421063</v>
      </c>
      <c r="F20" s="96">
        <v>67952272</v>
      </c>
      <c r="G20" s="96">
        <v>71528707.368421063</v>
      </c>
      <c r="H20" s="95" t="s">
        <v>39</v>
      </c>
      <c r="I20" s="94" t="s">
        <v>40</v>
      </c>
      <c r="J20" s="94" t="s">
        <v>41</v>
      </c>
      <c r="K20" s="94" t="s">
        <v>42</v>
      </c>
      <c r="L20" s="94" t="s">
        <v>49</v>
      </c>
      <c r="M20" s="95" t="s">
        <v>50</v>
      </c>
      <c r="N20" s="94" t="s">
        <v>82</v>
      </c>
      <c r="O20" s="95" t="s">
        <v>171</v>
      </c>
      <c r="P20" s="95" t="s">
        <v>171</v>
      </c>
      <c r="Q20" s="95" t="s">
        <v>179</v>
      </c>
      <c r="T20" s="97"/>
      <c r="U20" s="97"/>
    </row>
    <row r="21" spans="2:21" s="93" customFormat="1" ht="156" x14ac:dyDescent="0.3">
      <c r="B21" s="94" t="s">
        <v>180</v>
      </c>
      <c r="C21" s="95" t="s">
        <v>181</v>
      </c>
      <c r="D21" s="96">
        <v>63000000</v>
      </c>
      <c r="E21" s="96">
        <v>66315789.473684214</v>
      </c>
      <c r="F21" s="96">
        <v>63000000</v>
      </c>
      <c r="G21" s="96">
        <v>66315789.473684214</v>
      </c>
      <c r="H21" s="95" t="s">
        <v>39</v>
      </c>
      <c r="I21" s="94" t="s">
        <v>40</v>
      </c>
      <c r="J21" s="94" t="s">
        <v>41</v>
      </c>
      <c r="K21" s="94" t="s">
        <v>42</v>
      </c>
      <c r="L21" s="94" t="s">
        <v>49</v>
      </c>
      <c r="M21" s="95" t="s">
        <v>50</v>
      </c>
      <c r="N21" s="94" t="s">
        <v>90</v>
      </c>
      <c r="O21" s="95" t="s">
        <v>171</v>
      </c>
      <c r="P21" s="95" t="s">
        <v>171</v>
      </c>
      <c r="Q21" s="95" t="s">
        <v>182</v>
      </c>
      <c r="T21" s="97"/>
      <c r="U21" s="97"/>
    </row>
    <row r="22" spans="2:21" s="93" customFormat="1" ht="156" x14ac:dyDescent="0.3">
      <c r="B22" s="94" t="s">
        <v>183</v>
      </c>
      <c r="C22" s="95" t="s">
        <v>184</v>
      </c>
      <c r="D22" s="96">
        <v>60000000</v>
      </c>
      <c r="E22" s="96">
        <v>63157894.736842111</v>
      </c>
      <c r="F22" s="96">
        <v>60000000</v>
      </c>
      <c r="G22" s="96">
        <v>63157894.736842111</v>
      </c>
      <c r="H22" s="95" t="s">
        <v>39</v>
      </c>
      <c r="I22" s="94" t="s">
        <v>40</v>
      </c>
      <c r="J22" s="94" t="s">
        <v>41</v>
      </c>
      <c r="K22" s="94" t="s">
        <v>42</v>
      </c>
      <c r="L22" s="94" t="s">
        <v>43</v>
      </c>
      <c r="M22" s="95" t="s">
        <v>44</v>
      </c>
      <c r="N22" s="94" t="s">
        <v>45</v>
      </c>
      <c r="O22" s="95" t="s">
        <v>171</v>
      </c>
      <c r="P22" s="95" t="s">
        <v>171</v>
      </c>
      <c r="Q22" s="95" t="s">
        <v>185</v>
      </c>
      <c r="T22" s="97"/>
      <c r="U22" s="97"/>
    </row>
    <row r="23" spans="2:21" s="93" customFormat="1" ht="84" x14ac:dyDescent="0.3">
      <c r="B23" s="94" t="s">
        <v>169</v>
      </c>
      <c r="C23" s="95" t="s">
        <v>186</v>
      </c>
      <c r="D23" s="96">
        <v>54959436</v>
      </c>
      <c r="E23" s="96">
        <v>57852037.894736841</v>
      </c>
      <c r="F23" s="96">
        <v>54959436</v>
      </c>
      <c r="G23" s="96">
        <v>57852037.894736841</v>
      </c>
      <c r="H23" s="95" t="s">
        <v>39</v>
      </c>
      <c r="I23" s="94" t="s">
        <v>40</v>
      </c>
      <c r="J23" s="94" t="s">
        <v>41</v>
      </c>
      <c r="K23" s="94" t="s">
        <v>42</v>
      </c>
      <c r="L23" s="94" t="s">
        <v>49</v>
      </c>
      <c r="M23" s="95" t="s">
        <v>44</v>
      </c>
      <c r="N23" s="94" t="s">
        <v>45</v>
      </c>
      <c r="O23" s="95" t="s">
        <v>171</v>
      </c>
      <c r="P23" s="95" t="s">
        <v>171</v>
      </c>
      <c r="Q23" s="95" t="s">
        <v>187</v>
      </c>
      <c r="T23" s="97"/>
      <c r="U23" s="97"/>
    </row>
    <row r="24" spans="2:21" s="93" customFormat="1" ht="228" x14ac:dyDescent="0.3">
      <c r="B24" s="94" t="s">
        <v>188</v>
      </c>
      <c r="C24" s="95" t="s">
        <v>189</v>
      </c>
      <c r="D24" s="96">
        <v>54700000</v>
      </c>
      <c r="E24" s="96">
        <v>57578947.368421055</v>
      </c>
      <c r="F24" s="96">
        <v>54700000</v>
      </c>
      <c r="G24" s="96">
        <v>57578947.368421055</v>
      </c>
      <c r="H24" s="95" t="s">
        <v>39</v>
      </c>
      <c r="I24" s="94" t="s">
        <v>40</v>
      </c>
      <c r="J24" s="94" t="s">
        <v>41</v>
      </c>
      <c r="K24" s="94" t="s">
        <v>42</v>
      </c>
      <c r="L24" s="94" t="s">
        <v>49</v>
      </c>
      <c r="M24" s="95" t="s">
        <v>85</v>
      </c>
      <c r="N24" s="94" t="s">
        <v>86</v>
      </c>
      <c r="O24" s="95" t="s">
        <v>171</v>
      </c>
      <c r="P24" s="95" t="s">
        <v>171</v>
      </c>
      <c r="Q24" s="95" t="s">
        <v>190</v>
      </c>
      <c r="T24" s="97"/>
      <c r="U24" s="97"/>
    </row>
    <row r="25" spans="2:21" s="93" customFormat="1" ht="180" x14ac:dyDescent="0.3">
      <c r="B25" s="94" t="s">
        <v>191</v>
      </c>
      <c r="C25" s="95" t="s">
        <v>192</v>
      </c>
      <c r="D25" s="96">
        <v>50000000</v>
      </c>
      <c r="E25" s="96">
        <v>52631578.947368421</v>
      </c>
      <c r="F25" s="96">
        <v>50000000</v>
      </c>
      <c r="G25" s="96">
        <v>52631578.947368421</v>
      </c>
      <c r="H25" s="95" t="s">
        <v>39</v>
      </c>
      <c r="I25" s="94" t="s">
        <v>40</v>
      </c>
      <c r="J25" s="94" t="s">
        <v>41</v>
      </c>
      <c r="K25" s="94" t="s">
        <v>42</v>
      </c>
      <c r="L25" s="94" t="s">
        <v>43</v>
      </c>
      <c r="M25" s="95" t="s">
        <v>193</v>
      </c>
      <c r="N25" s="94" t="s">
        <v>194</v>
      </c>
      <c r="O25" s="95" t="s">
        <v>171</v>
      </c>
      <c r="P25" s="95" t="s">
        <v>171</v>
      </c>
      <c r="Q25" s="95" t="s">
        <v>195</v>
      </c>
      <c r="T25" s="97"/>
      <c r="U25" s="97"/>
    </row>
    <row r="26" spans="2:21" s="93" customFormat="1" ht="228" x14ac:dyDescent="0.3">
      <c r="B26" s="94" t="s">
        <v>61</v>
      </c>
      <c r="C26" s="95" t="s">
        <v>196</v>
      </c>
      <c r="D26" s="96">
        <v>50000000</v>
      </c>
      <c r="E26" s="96">
        <v>52631578.947368421</v>
      </c>
      <c r="F26" s="96">
        <v>50000000</v>
      </c>
      <c r="G26" s="96">
        <v>52631578.947368421</v>
      </c>
      <c r="H26" s="95" t="s">
        <v>39</v>
      </c>
      <c r="I26" s="94" t="s">
        <v>40</v>
      </c>
      <c r="J26" s="94" t="s">
        <v>41</v>
      </c>
      <c r="K26" s="94" t="s">
        <v>42</v>
      </c>
      <c r="L26" s="94" t="s">
        <v>43</v>
      </c>
      <c r="M26" s="95" t="s">
        <v>193</v>
      </c>
      <c r="N26" s="94" t="s">
        <v>194</v>
      </c>
      <c r="O26" s="95" t="s">
        <v>171</v>
      </c>
      <c r="P26" s="95" t="s">
        <v>171</v>
      </c>
      <c r="Q26" s="99" t="s">
        <v>197</v>
      </c>
      <c r="T26" s="97"/>
      <c r="U26" s="97"/>
    </row>
    <row r="27" spans="2:21" s="93" customFormat="1" ht="204" x14ac:dyDescent="0.3">
      <c r="B27" s="94" t="s">
        <v>198</v>
      </c>
      <c r="C27" s="95" t="s">
        <v>199</v>
      </c>
      <c r="D27" s="96">
        <v>50000000</v>
      </c>
      <c r="E27" s="96">
        <v>52631578.947368421</v>
      </c>
      <c r="F27" s="96">
        <v>50000000</v>
      </c>
      <c r="G27" s="96">
        <v>52631578.947368421</v>
      </c>
      <c r="H27" s="95" t="s">
        <v>39</v>
      </c>
      <c r="I27" s="94" t="s">
        <v>40</v>
      </c>
      <c r="J27" s="94" t="s">
        <v>41</v>
      </c>
      <c r="K27" s="94" t="s">
        <v>42</v>
      </c>
      <c r="L27" s="94" t="s">
        <v>62</v>
      </c>
      <c r="M27" s="95" t="s">
        <v>50</v>
      </c>
      <c r="N27" s="94" t="s">
        <v>82</v>
      </c>
      <c r="O27" s="95" t="s">
        <v>171</v>
      </c>
      <c r="P27" s="95" t="s">
        <v>171</v>
      </c>
      <c r="Q27" s="99" t="s">
        <v>200</v>
      </c>
      <c r="T27" s="97"/>
      <c r="U27" s="97"/>
    </row>
    <row r="28" spans="2:21" s="93" customFormat="1" ht="240" x14ac:dyDescent="0.3">
      <c r="B28" s="94" t="s">
        <v>201</v>
      </c>
      <c r="C28" s="95" t="s">
        <v>202</v>
      </c>
      <c r="D28" s="96">
        <v>45000000</v>
      </c>
      <c r="E28" s="96">
        <v>47368421.052631579</v>
      </c>
      <c r="F28" s="96">
        <v>45000000</v>
      </c>
      <c r="G28" s="96">
        <v>47368421.052631579</v>
      </c>
      <c r="H28" s="95" t="s">
        <v>39</v>
      </c>
      <c r="I28" s="94" t="s">
        <v>40</v>
      </c>
      <c r="J28" s="94" t="s">
        <v>41</v>
      </c>
      <c r="K28" s="94" t="s">
        <v>42</v>
      </c>
      <c r="L28" s="94" t="s">
        <v>62</v>
      </c>
      <c r="M28" s="95" t="s">
        <v>63</v>
      </c>
      <c r="N28" s="94" t="s">
        <v>64</v>
      </c>
      <c r="O28" s="95" t="s">
        <v>171</v>
      </c>
      <c r="P28" s="95" t="s">
        <v>171</v>
      </c>
      <c r="Q28" s="95" t="s">
        <v>203</v>
      </c>
      <c r="T28" s="97"/>
      <c r="U28" s="97"/>
    </row>
    <row r="29" spans="2:21" s="93" customFormat="1" ht="240" x14ac:dyDescent="0.3">
      <c r="B29" s="94" t="s">
        <v>180</v>
      </c>
      <c r="C29" s="95" t="s">
        <v>204</v>
      </c>
      <c r="D29" s="96">
        <v>43200000</v>
      </c>
      <c r="E29" s="96">
        <v>45473684.210526317</v>
      </c>
      <c r="F29" s="96">
        <v>43200000</v>
      </c>
      <c r="G29" s="96">
        <v>45473684.210526317</v>
      </c>
      <c r="H29" s="95" t="s">
        <v>39</v>
      </c>
      <c r="I29" s="94" t="s">
        <v>40</v>
      </c>
      <c r="J29" s="94" t="s">
        <v>41</v>
      </c>
      <c r="K29" s="94" t="s">
        <v>42</v>
      </c>
      <c r="L29" s="94" t="s">
        <v>49</v>
      </c>
      <c r="M29" s="95" t="s">
        <v>50</v>
      </c>
      <c r="N29" s="94" t="s">
        <v>92</v>
      </c>
      <c r="O29" s="95" t="s">
        <v>171</v>
      </c>
      <c r="P29" s="95" t="s">
        <v>171</v>
      </c>
      <c r="Q29" s="95" t="s">
        <v>205</v>
      </c>
      <c r="T29" s="97"/>
      <c r="U29" s="97"/>
    </row>
    <row r="30" spans="2:21" s="93" customFormat="1" ht="108" x14ac:dyDescent="0.3">
      <c r="B30" s="94" t="s">
        <v>169</v>
      </c>
      <c r="C30" s="95" t="s">
        <v>206</v>
      </c>
      <c r="D30" s="96">
        <v>41607984.000000007</v>
      </c>
      <c r="E30" s="96">
        <v>43797877.894736849</v>
      </c>
      <c r="F30" s="96">
        <v>41607984.000000007</v>
      </c>
      <c r="G30" s="96">
        <v>43797877.894736849</v>
      </c>
      <c r="H30" s="95" t="s">
        <v>39</v>
      </c>
      <c r="I30" s="94" t="s">
        <v>40</v>
      </c>
      <c r="J30" s="94" t="s">
        <v>41</v>
      </c>
      <c r="K30" s="94" t="s">
        <v>42</v>
      </c>
      <c r="L30" s="94" t="s">
        <v>49</v>
      </c>
      <c r="M30" s="95" t="s">
        <v>50</v>
      </c>
      <c r="N30" s="94" t="s">
        <v>82</v>
      </c>
      <c r="O30" s="95" t="s">
        <v>171</v>
      </c>
      <c r="P30" s="95" t="s">
        <v>171</v>
      </c>
      <c r="Q30" s="95" t="s">
        <v>207</v>
      </c>
      <c r="T30" s="97"/>
      <c r="U30" s="97"/>
    </row>
    <row r="31" spans="2:21" s="93" customFormat="1" ht="228" x14ac:dyDescent="0.3">
      <c r="B31" s="94" t="s">
        <v>208</v>
      </c>
      <c r="C31" s="95" t="s">
        <v>209</v>
      </c>
      <c r="D31" s="96">
        <v>41200000</v>
      </c>
      <c r="E31" s="96">
        <v>43368421.052631579</v>
      </c>
      <c r="F31" s="96">
        <v>41200000</v>
      </c>
      <c r="G31" s="96">
        <v>43368421.052631579</v>
      </c>
      <c r="H31" s="95" t="s">
        <v>39</v>
      </c>
      <c r="I31" s="94" t="s">
        <v>40</v>
      </c>
      <c r="J31" s="94" t="s">
        <v>41</v>
      </c>
      <c r="K31" s="94" t="s">
        <v>42</v>
      </c>
      <c r="L31" s="94" t="s">
        <v>49</v>
      </c>
      <c r="M31" s="95" t="s">
        <v>50</v>
      </c>
      <c r="N31" s="94" t="s">
        <v>90</v>
      </c>
      <c r="O31" s="95" t="s">
        <v>171</v>
      </c>
      <c r="P31" s="95" t="s">
        <v>171</v>
      </c>
      <c r="Q31" s="100" t="s">
        <v>210</v>
      </c>
      <c r="T31" s="97"/>
      <c r="U31" s="97"/>
    </row>
    <row r="32" spans="2:21" s="93" customFormat="1" ht="156" x14ac:dyDescent="0.3">
      <c r="B32" s="94" t="s">
        <v>211</v>
      </c>
      <c r="C32" s="95" t="s">
        <v>212</v>
      </c>
      <c r="D32" s="96">
        <v>40000000</v>
      </c>
      <c r="E32" s="96">
        <v>42105263.157894738</v>
      </c>
      <c r="F32" s="96">
        <v>40000000</v>
      </c>
      <c r="G32" s="96">
        <v>42105263.157894738</v>
      </c>
      <c r="H32" s="95" t="s">
        <v>39</v>
      </c>
      <c r="I32" s="94" t="s">
        <v>40</v>
      </c>
      <c r="J32" s="94" t="s">
        <v>41</v>
      </c>
      <c r="K32" s="94" t="s">
        <v>42</v>
      </c>
      <c r="L32" s="94" t="s">
        <v>62</v>
      </c>
      <c r="M32" s="95" t="s">
        <v>63</v>
      </c>
      <c r="N32" s="94" t="s">
        <v>64</v>
      </c>
      <c r="O32" s="95" t="s">
        <v>171</v>
      </c>
      <c r="P32" s="95" t="s">
        <v>171</v>
      </c>
      <c r="Q32" s="95" t="s">
        <v>213</v>
      </c>
      <c r="T32" s="97"/>
      <c r="U32" s="97"/>
    </row>
    <row r="33" spans="2:21" s="93" customFormat="1" ht="216" x14ac:dyDescent="0.3">
      <c r="B33" s="94" t="s">
        <v>214</v>
      </c>
      <c r="C33" s="95" t="s">
        <v>215</v>
      </c>
      <c r="D33" s="96">
        <v>40000000</v>
      </c>
      <c r="E33" s="96">
        <v>42105263.157894738</v>
      </c>
      <c r="F33" s="96">
        <v>40000000</v>
      </c>
      <c r="G33" s="96">
        <v>42105263.157894738</v>
      </c>
      <c r="H33" s="95" t="s">
        <v>39</v>
      </c>
      <c r="I33" s="94" t="s">
        <v>40</v>
      </c>
      <c r="J33" s="94" t="s">
        <v>41</v>
      </c>
      <c r="K33" s="94" t="s">
        <v>42</v>
      </c>
      <c r="L33" s="94" t="s">
        <v>49</v>
      </c>
      <c r="M33" s="95" t="s">
        <v>85</v>
      </c>
      <c r="N33" s="94" t="s">
        <v>86</v>
      </c>
      <c r="O33" s="95" t="s">
        <v>171</v>
      </c>
      <c r="P33" s="95" t="s">
        <v>171</v>
      </c>
      <c r="Q33" s="95" t="s">
        <v>216</v>
      </c>
      <c r="T33" s="97"/>
      <c r="U33" s="97"/>
    </row>
    <row r="34" spans="2:21" s="93" customFormat="1" ht="108" x14ac:dyDescent="0.3">
      <c r="B34" s="94" t="s">
        <v>169</v>
      </c>
      <c r="C34" s="95" t="s">
        <v>217</v>
      </c>
      <c r="D34" s="96">
        <v>36819092</v>
      </c>
      <c r="E34" s="96">
        <v>38756938.947368421</v>
      </c>
      <c r="F34" s="96">
        <v>36819092</v>
      </c>
      <c r="G34" s="96">
        <v>38756938.947368421</v>
      </c>
      <c r="H34" s="95" t="s">
        <v>39</v>
      </c>
      <c r="I34" s="94" t="s">
        <v>40</v>
      </c>
      <c r="J34" s="94" t="s">
        <v>41</v>
      </c>
      <c r="K34" s="94" t="s">
        <v>42</v>
      </c>
      <c r="L34" s="94" t="s">
        <v>49</v>
      </c>
      <c r="M34" s="95" t="s">
        <v>50</v>
      </c>
      <c r="N34" s="94" t="s">
        <v>82</v>
      </c>
      <c r="O34" s="95" t="s">
        <v>171</v>
      </c>
      <c r="P34" s="95" t="s">
        <v>171</v>
      </c>
      <c r="Q34" s="95" t="s">
        <v>218</v>
      </c>
      <c r="T34" s="97"/>
      <c r="U34" s="97"/>
    </row>
    <row r="35" spans="2:21" s="93" customFormat="1" ht="168" x14ac:dyDescent="0.3">
      <c r="B35" s="94" t="s">
        <v>219</v>
      </c>
      <c r="C35" s="95" t="s">
        <v>220</v>
      </c>
      <c r="D35" s="96">
        <v>35000000</v>
      </c>
      <c r="E35" s="96">
        <v>36842105.263157897</v>
      </c>
      <c r="F35" s="96">
        <v>35000000</v>
      </c>
      <c r="G35" s="96">
        <v>36842105.263157897</v>
      </c>
      <c r="H35" s="95" t="s">
        <v>39</v>
      </c>
      <c r="I35" s="94" t="s">
        <v>40</v>
      </c>
      <c r="J35" s="94" t="s">
        <v>41</v>
      </c>
      <c r="K35" s="94" t="s">
        <v>42</v>
      </c>
      <c r="L35" s="94" t="s">
        <v>62</v>
      </c>
      <c r="M35" s="95" t="s">
        <v>50</v>
      </c>
      <c r="N35" s="94" t="s">
        <v>221</v>
      </c>
      <c r="O35" s="95" t="s">
        <v>171</v>
      </c>
      <c r="P35" s="95" t="s">
        <v>171</v>
      </c>
      <c r="Q35" s="95" t="s">
        <v>222</v>
      </c>
      <c r="T35" s="97"/>
      <c r="U35" s="97"/>
    </row>
    <row r="36" spans="2:21" s="93" customFormat="1" ht="204" x14ac:dyDescent="0.3">
      <c r="B36" s="94" t="s">
        <v>180</v>
      </c>
      <c r="C36" s="95" t="s">
        <v>223</v>
      </c>
      <c r="D36" s="96">
        <v>35000000</v>
      </c>
      <c r="E36" s="96">
        <v>36842105.263157897</v>
      </c>
      <c r="F36" s="96">
        <v>35000000</v>
      </c>
      <c r="G36" s="96">
        <v>36842105.263157897</v>
      </c>
      <c r="H36" s="95" t="s">
        <v>39</v>
      </c>
      <c r="I36" s="94" t="s">
        <v>40</v>
      </c>
      <c r="J36" s="94" t="s">
        <v>41</v>
      </c>
      <c r="K36" s="94" t="s">
        <v>42</v>
      </c>
      <c r="L36" s="94" t="s">
        <v>49</v>
      </c>
      <c r="M36" s="95" t="s">
        <v>49</v>
      </c>
      <c r="N36" s="94" t="s">
        <v>82</v>
      </c>
      <c r="O36" s="95" t="s">
        <v>171</v>
      </c>
      <c r="P36" s="95" t="s">
        <v>171</v>
      </c>
      <c r="Q36" s="95" t="s">
        <v>224</v>
      </c>
      <c r="T36" s="97"/>
      <c r="U36" s="97"/>
    </row>
    <row r="37" spans="2:21" s="93" customFormat="1" ht="228" x14ac:dyDescent="0.3">
      <c r="B37" s="94" t="s">
        <v>180</v>
      </c>
      <c r="C37" s="95" t="s">
        <v>225</v>
      </c>
      <c r="D37" s="96">
        <v>34800000</v>
      </c>
      <c r="E37" s="96">
        <v>36631578.947368421</v>
      </c>
      <c r="F37" s="96">
        <v>34800000</v>
      </c>
      <c r="G37" s="96">
        <v>36631578.947368421</v>
      </c>
      <c r="H37" s="95" t="s">
        <v>39</v>
      </c>
      <c r="I37" s="94" t="s">
        <v>40</v>
      </c>
      <c r="J37" s="94" t="s">
        <v>41</v>
      </c>
      <c r="K37" s="94" t="s">
        <v>42</v>
      </c>
      <c r="L37" s="94" t="s">
        <v>62</v>
      </c>
      <c r="M37" s="95" t="s">
        <v>50</v>
      </c>
      <c r="N37" s="94" t="s">
        <v>221</v>
      </c>
      <c r="O37" s="95" t="s">
        <v>171</v>
      </c>
      <c r="P37" s="95" t="s">
        <v>171</v>
      </c>
      <c r="Q37" s="95" t="s">
        <v>226</v>
      </c>
      <c r="T37" s="97"/>
      <c r="U37" s="97"/>
    </row>
    <row r="38" spans="2:21" s="93" customFormat="1" ht="216" x14ac:dyDescent="0.3">
      <c r="B38" s="94" t="s">
        <v>227</v>
      </c>
      <c r="C38" s="95" t="s">
        <v>228</v>
      </c>
      <c r="D38" s="96">
        <v>32000000</v>
      </c>
      <c r="E38" s="96">
        <v>33684210.526315793</v>
      </c>
      <c r="F38" s="96">
        <v>32000000</v>
      </c>
      <c r="G38" s="96">
        <v>33684210.526315793</v>
      </c>
      <c r="H38" s="95" t="s">
        <v>39</v>
      </c>
      <c r="I38" s="94" t="s">
        <v>40</v>
      </c>
      <c r="J38" s="94" t="s">
        <v>41</v>
      </c>
      <c r="K38" s="94" t="s">
        <v>42</v>
      </c>
      <c r="L38" s="94" t="s">
        <v>43</v>
      </c>
      <c r="M38" s="95" t="s">
        <v>193</v>
      </c>
      <c r="N38" s="94" t="s">
        <v>194</v>
      </c>
      <c r="O38" s="95" t="s">
        <v>171</v>
      </c>
      <c r="P38" s="95" t="s">
        <v>171</v>
      </c>
      <c r="Q38" s="95" t="s">
        <v>229</v>
      </c>
      <c r="T38" s="97"/>
      <c r="U38" s="97"/>
    </row>
    <row r="39" spans="2:21" s="93" customFormat="1" ht="120" x14ac:dyDescent="0.3">
      <c r="B39" s="94" t="s">
        <v>230</v>
      </c>
      <c r="C39" s="95" t="s">
        <v>231</v>
      </c>
      <c r="D39" s="96">
        <v>30481710</v>
      </c>
      <c r="E39" s="96">
        <v>32086010.52631579</v>
      </c>
      <c r="F39" s="96">
        <v>30481710</v>
      </c>
      <c r="G39" s="96">
        <v>32086010.52631579</v>
      </c>
      <c r="H39" s="95" t="s">
        <v>39</v>
      </c>
      <c r="I39" s="94" t="s">
        <v>40</v>
      </c>
      <c r="J39" s="94" t="s">
        <v>41</v>
      </c>
      <c r="K39" s="94" t="s">
        <v>42</v>
      </c>
      <c r="L39" s="94" t="s">
        <v>62</v>
      </c>
      <c r="M39" s="95" t="s">
        <v>193</v>
      </c>
      <c r="N39" s="94" t="s">
        <v>194</v>
      </c>
      <c r="O39" s="95" t="s">
        <v>171</v>
      </c>
      <c r="P39" s="95" t="s">
        <v>171</v>
      </c>
      <c r="Q39" s="95" t="s">
        <v>232</v>
      </c>
      <c r="T39" s="97"/>
      <c r="U39" s="97"/>
    </row>
    <row r="40" spans="2:21" s="93" customFormat="1" ht="228" x14ac:dyDescent="0.3">
      <c r="B40" s="94" t="s">
        <v>169</v>
      </c>
      <c r="C40" s="95" t="s">
        <v>233</v>
      </c>
      <c r="D40" s="96">
        <v>30414588.000000004</v>
      </c>
      <c r="E40" s="96">
        <v>32015355.78947369</v>
      </c>
      <c r="F40" s="96">
        <v>30414588.000000004</v>
      </c>
      <c r="G40" s="96">
        <v>32015355.78947369</v>
      </c>
      <c r="H40" s="95" t="s">
        <v>39</v>
      </c>
      <c r="I40" s="94" t="s">
        <v>40</v>
      </c>
      <c r="J40" s="94" t="s">
        <v>41</v>
      </c>
      <c r="K40" s="94" t="s">
        <v>42</v>
      </c>
      <c r="L40" s="94" t="s">
        <v>43</v>
      </c>
      <c r="M40" s="95" t="s">
        <v>234</v>
      </c>
      <c r="N40" s="94" t="s">
        <v>235</v>
      </c>
      <c r="O40" s="95" t="s">
        <v>171</v>
      </c>
      <c r="P40" s="95" t="s">
        <v>171</v>
      </c>
      <c r="Q40" s="95" t="s">
        <v>236</v>
      </c>
      <c r="T40" s="97"/>
      <c r="U40" s="97"/>
    </row>
    <row r="41" spans="2:21" s="93" customFormat="1" ht="216" x14ac:dyDescent="0.3">
      <c r="B41" s="94" t="s">
        <v>237</v>
      </c>
      <c r="C41" s="95" t="s">
        <v>238</v>
      </c>
      <c r="D41" s="96">
        <v>30300000</v>
      </c>
      <c r="E41" s="96">
        <v>31894736.842105266</v>
      </c>
      <c r="F41" s="96">
        <v>30300000</v>
      </c>
      <c r="G41" s="96">
        <v>31894736.842105266</v>
      </c>
      <c r="H41" s="95" t="s">
        <v>39</v>
      </c>
      <c r="I41" s="94" t="s">
        <v>40</v>
      </c>
      <c r="J41" s="94" t="s">
        <v>41</v>
      </c>
      <c r="K41" s="94" t="s">
        <v>42</v>
      </c>
      <c r="L41" s="94" t="s">
        <v>62</v>
      </c>
      <c r="M41" s="95" t="s">
        <v>63</v>
      </c>
      <c r="N41" s="94" t="s">
        <v>64</v>
      </c>
      <c r="O41" s="95" t="s">
        <v>171</v>
      </c>
      <c r="P41" s="95" t="s">
        <v>171</v>
      </c>
      <c r="Q41" s="100" t="s">
        <v>239</v>
      </c>
      <c r="T41" s="97"/>
      <c r="U41" s="97"/>
    </row>
    <row r="42" spans="2:21" s="93" customFormat="1" ht="228" x14ac:dyDescent="0.3">
      <c r="B42" s="94" t="s">
        <v>240</v>
      </c>
      <c r="C42" s="95" t="s">
        <v>241</v>
      </c>
      <c r="D42" s="96">
        <v>30000000</v>
      </c>
      <c r="E42" s="96">
        <v>31578947.368421055</v>
      </c>
      <c r="F42" s="96">
        <v>30000000</v>
      </c>
      <c r="G42" s="96">
        <v>31578947.368421055</v>
      </c>
      <c r="H42" s="95" t="s">
        <v>39</v>
      </c>
      <c r="I42" s="94" t="s">
        <v>40</v>
      </c>
      <c r="J42" s="94" t="s">
        <v>41</v>
      </c>
      <c r="K42" s="94" t="s">
        <v>42</v>
      </c>
      <c r="L42" s="94" t="s">
        <v>62</v>
      </c>
      <c r="M42" s="95" t="s">
        <v>63</v>
      </c>
      <c r="N42" s="94" t="s">
        <v>64</v>
      </c>
      <c r="O42" s="95" t="s">
        <v>171</v>
      </c>
      <c r="P42" s="95" t="s">
        <v>171</v>
      </c>
      <c r="Q42" s="95" t="s">
        <v>242</v>
      </c>
      <c r="T42" s="97"/>
      <c r="U42" s="97"/>
    </row>
    <row r="43" spans="2:21" s="93" customFormat="1" ht="228" x14ac:dyDescent="0.3">
      <c r="B43" s="94" t="s">
        <v>243</v>
      </c>
      <c r="C43" s="95" t="s">
        <v>244</v>
      </c>
      <c r="D43" s="96">
        <v>30000000</v>
      </c>
      <c r="E43" s="96">
        <v>31578947.368421055</v>
      </c>
      <c r="F43" s="96">
        <v>30000000</v>
      </c>
      <c r="G43" s="96">
        <v>31578947.368421055</v>
      </c>
      <c r="H43" s="95" t="s">
        <v>39</v>
      </c>
      <c r="I43" s="94" t="s">
        <v>40</v>
      </c>
      <c r="J43" s="94" t="s">
        <v>41</v>
      </c>
      <c r="K43" s="94" t="s">
        <v>42</v>
      </c>
      <c r="L43" s="94" t="s">
        <v>49</v>
      </c>
      <c r="M43" s="95" t="s">
        <v>193</v>
      </c>
      <c r="N43" s="94" t="s">
        <v>194</v>
      </c>
      <c r="O43" s="95" t="s">
        <v>171</v>
      </c>
      <c r="P43" s="95" t="s">
        <v>171</v>
      </c>
      <c r="Q43" s="95" t="s">
        <v>245</v>
      </c>
      <c r="T43" s="97"/>
      <c r="U43" s="97"/>
    </row>
    <row r="44" spans="2:21" s="93" customFormat="1" ht="228" x14ac:dyDescent="0.3">
      <c r="B44" s="94" t="s">
        <v>246</v>
      </c>
      <c r="C44" s="95" t="s">
        <v>247</v>
      </c>
      <c r="D44" s="96">
        <v>29120000</v>
      </c>
      <c r="E44" s="96">
        <v>30652631.578947369</v>
      </c>
      <c r="F44" s="96">
        <v>29120000</v>
      </c>
      <c r="G44" s="96">
        <v>30652631.578947369</v>
      </c>
      <c r="H44" s="95" t="s">
        <v>39</v>
      </c>
      <c r="I44" s="94" t="s">
        <v>40</v>
      </c>
      <c r="J44" s="94" t="s">
        <v>41</v>
      </c>
      <c r="K44" s="94" t="s">
        <v>42</v>
      </c>
      <c r="L44" s="94" t="s">
        <v>49</v>
      </c>
      <c r="M44" s="95" t="s">
        <v>50</v>
      </c>
      <c r="N44" s="94" t="s">
        <v>90</v>
      </c>
      <c r="O44" s="95" t="s">
        <v>171</v>
      </c>
      <c r="P44" s="95" t="s">
        <v>171</v>
      </c>
      <c r="Q44" s="100" t="s">
        <v>248</v>
      </c>
      <c r="T44" s="97"/>
      <c r="U44" s="97"/>
    </row>
    <row r="45" spans="2:21" s="93" customFormat="1" ht="216" x14ac:dyDescent="0.3">
      <c r="B45" s="94" t="s">
        <v>169</v>
      </c>
      <c r="C45" s="95" t="s">
        <v>249</v>
      </c>
      <c r="D45" s="96">
        <v>28676000</v>
      </c>
      <c r="E45" s="96">
        <v>30185263.157894738</v>
      </c>
      <c r="F45" s="96">
        <v>28676000</v>
      </c>
      <c r="G45" s="96">
        <v>30185263.157894738</v>
      </c>
      <c r="H45" s="95" t="s">
        <v>39</v>
      </c>
      <c r="I45" s="94" t="s">
        <v>40</v>
      </c>
      <c r="J45" s="94" t="s">
        <v>41</v>
      </c>
      <c r="K45" s="94" t="s">
        <v>42</v>
      </c>
      <c r="L45" s="94" t="s">
        <v>49</v>
      </c>
      <c r="M45" s="95" t="s">
        <v>234</v>
      </c>
      <c r="N45" s="94" t="s">
        <v>235</v>
      </c>
      <c r="O45" s="95" t="s">
        <v>171</v>
      </c>
      <c r="P45" s="95" t="s">
        <v>171</v>
      </c>
      <c r="Q45" s="95" t="s">
        <v>250</v>
      </c>
      <c r="T45" s="97"/>
      <c r="U45" s="97"/>
    </row>
    <row r="46" spans="2:21" s="93" customFormat="1" ht="84" x14ac:dyDescent="0.3">
      <c r="B46" s="94" t="s">
        <v>169</v>
      </c>
      <c r="C46" s="95" t="s">
        <v>251</v>
      </c>
      <c r="D46" s="96">
        <v>27494724.000000004</v>
      </c>
      <c r="E46" s="96">
        <v>28941814.736842111</v>
      </c>
      <c r="F46" s="96">
        <v>27494724.000000004</v>
      </c>
      <c r="G46" s="96">
        <v>28941814.736842111</v>
      </c>
      <c r="H46" s="95" t="s">
        <v>39</v>
      </c>
      <c r="I46" s="94" t="s">
        <v>40</v>
      </c>
      <c r="J46" s="94" t="s">
        <v>41</v>
      </c>
      <c r="K46" s="94" t="s">
        <v>42</v>
      </c>
      <c r="L46" s="94" t="s">
        <v>49</v>
      </c>
      <c r="M46" s="95" t="s">
        <v>49</v>
      </c>
      <c r="N46" s="94" t="s">
        <v>82</v>
      </c>
      <c r="O46" s="95" t="s">
        <v>171</v>
      </c>
      <c r="P46" s="95" t="s">
        <v>171</v>
      </c>
      <c r="Q46" s="95" t="s">
        <v>252</v>
      </c>
      <c r="T46" s="97"/>
      <c r="U46" s="97"/>
    </row>
    <row r="47" spans="2:21" s="93" customFormat="1" ht="252" x14ac:dyDescent="0.3">
      <c r="B47" s="94" t="s">
        <v>253</v>
      </c>
      <c r="C47" s="95" t="s">
        <v>254</v>
      </c>
      <c r="D47" s="96">
        <v>25500000</v>
      </c>
      <c r="E47" s="96">
        <v>26842105.263157897</v>
      </c>
      <c r="F47" s="96">
        <v>25500000</v>
      </c>
      <c r="G47" s="96">
        <v>26842105.263157897</v>
      </c>
      <c r="H47" s="95" t="s">
        <v>39</v>
      </c>
      <c r="I47" s="94" t="s">
        <v>40</v>
      </c>
      <c r="J47" s="94" t="s">
        <v>41</v>
      </c>
      <c r="K47" s="94" t="s">
        <v>42</v>
      </c>
      <c r="L47" s="94" t="s">
        <v>43</v>
      </c>
      <c r="M47" s="95" t="s">
        <v>85</v>
      </c>
      <c r="N47" s="94" t="s">
        <v>86</v>
      </c>
      <c r="O47" s="95" t="s">
        <v>171</v>
      </c>
      <c r="P47" s="95" t="s">
        <v>171</v>
      </c>
      <c r="Q47" s="95" t="s">
        <v>255</v>
      </c>
      <c r="T47" s="97"/>
      <c r="U47" s="97"/>
    </row>
    <row r="48" spans="2:21" s="93" customFormat="1" ht="192" x14ac:dyDescent="0.3">
      <c r="B48" s="94" t="s">
        <v>256</v>
      </c>
      <c r="C48" s="95" t="s">
        <v>257</v>
      </c>
      <c r="D48" s="96">
        <v>25000000</v>
      </c>
      <c r="E48" s="96">
        <v>26315789.47368421</v>
      </c>
      <c r="F48" s="96">
        <v>25000000</v>
      </c>
      <c r="G48" s="96">
        <v>26315789.47368421</v>
      </c>
      <c r="H48" s="95" t="s">
        <v>39</v>
      </c>
      <c r="I48" s="94" t="s">
        <v>40</v>
      </c>
      <c r="J48" s="94" t="s">
        <v>41</v>
      </c>
      <c r="K48" s="94" t="s">
        <v>42</v>
      </c>
      <c r="L48" s="94" t="s">
        <v>43</v>
      </c>
      <c r="M48" s="95" t="s">
        <v>50</v>
      </c>
      <c r="N48" s="94" t="s">
        <v>90</v>
      </c>
      <c r="O48" s="95" t="s">
        <v>171</v>
      </c>
      <c r="P48" s="95" t="s">
        <v>171</v>
      </c>
      <c r="Q48" s="95" t="s">
        <v>258</v>
      </c>
      <c r="T48" s="97"/>
      <c r="U48" s="97"/>
    </row>
    <row r="49" spans="2:21" s="93" customFormat="1" ht="216" x14ac:dyDescent="0.3">
      <c r="B49" s="94" t="s">
        <v>259</v>
      </c>
      <c r="C49" s="95" t="s">
        <v>260</v>
      </c>
      <c r="D49" s="96">
        <v>25000000</v>
      </c>
      <c r="E49" s="96">
        <v>26315789.47368421</v>
      </c>
      <c r="F49" s="96">
        <v>25000000</v>
      </c>
      <c r="G49" s="96">
        <v>26315789.47368421</v>
      </c>
      <c r="H49" s="95" t="s">
        <v>39</v>
      </c>
      <c r="I49" s="94" t="s">
        <v>40</v>
      </c>
      <c r="J49" s="94" t="s">
        <v>41</v>
      </c>
      <c r="K49" s="94" t="s">
        <v>42</v>
      </c>
      <c r="L49" s="94" t="s">
        <v>43</v>
      </c>
      <c r="M49" s="95" t="s">
        <v>193</v>
      </c>
      <c r="N49" s="94" t="s">
        <v>194</v>
      </c>
      <c r="O49" s="95" t="s">
        <v>171</v>
      </c>
      <c r="P49" s="95" t="s">
        <v>171</v>
      </c>
      <c r="Q49" s="95" t="s">
        <v>261</v>
      </c>
      <c r="T49" s="97"/>
      <c r="U49" s="97"/>
    </row>
    <row r="50" spans="2:21" s="93" customFormat="1" ht="96" x14ac:dyDescent="0.3">
      <c r="B50" s="94" t="s">
        <v>262</v>
      </c>
      <c r="C50" s="95" t="s">
        <v>263</v>
      </c>
      <c r="D50" s="96">
        <v>25000000</v>
      </c>
      <c r="E50" s="96">
        <v>26315789.47368421</v>
      </c>
      <c r="F50" s="96">
        <v>25000000</v>
      </c>
      <c r="G50" s="96">
        <v>26315789.47368421</v>
      </c>
      <c r="H50" s="95" t="s">
        <v>39</v>
      </c>
      <c r="I50" s="94" t="s">
        <v>40</v>
      </c>
      <c r="J50" s="94" t="s">
        <v>41</v>
      </c>
      <c r="K50" s="94" t="s">
        <v>42</v>
      </c>
      <c r="L50" s="94" t="s">
        <v>43</v>
      </c>
      <c r="M50" s="95" t="s">
        <v>50</v>
      </c>
      <c r="N50" s="94" t="s">
        <v>90</v>
      </c>
      <c r="O50" s="95" t="s">
        <v>171</v>
      </c>
      <c r="P50" s="95" t="s">
        <v>171</v>
      </c>
      <c r="Q50" s="95" t="s">
        <v>264</v>
      </c>
      <c r="T50" s="97"/>
      <c r="U50" s="97"/>
    </row>
    <row r="51" spans="2:21" s="93" customFormat="1" ht="228" x14ac:dyDescent="0.3">
      <c r="B51" s="94" t="s">
        <v>265</v>
      </c>
      <c r="C51" s="95" t="s">
        <v>266</v>
      </c>
      <c r="D51" s="96">
        <v>22600000</v>
      </c>
      <c r="E51" s="96">
        <v>23789473.684210528</v>
      </c>
      <c r="F51" s="96">
        <v>22600000</v>
      </c>
      <c r="G51" s="96">
        <v>23789473.684210528</v>
      </c>
      <c r="H51" s="95" t="s">
        <v>39</v>
      </c>
      <c r="I51" s="94" t="s">
        <v>40</v>
      </c>
      <c r="J51" s="94" t="s">
        <v>41</v>
      </c>
      <c r="K51" s="94" t="s">
        <v>42</v>
      </c>
      <c r="L51" s="94" t="s">
        <v>62</v>
      </c>
      <c r="M51" s="95" t="s">
        <v>63</v>
      </c>
      <c r="N51" s="94" t="s">
        <v>64</v>
      </c>
      <c r="O51" s="95" t="s">
        <v>171</v>
      </c>
      <c r="P51" s="95" t="s">
        <v>171</v>
      </c>
      <c r="Q51" s="95" t="s">
        <v>267</v>
      </c>
      <c r="T51" s="97"/>
      <c r="U51" s="97"/>
    </row>
    <row r="52" spans="2:21" s="93" customFormat="1" ht="180" x14ac:dyDescent="0.3">
      <c r="B52" s="94" t="s">
        <v>169</v>
      </c>
      <c r="C52" s="95" t="s">
        <v>268</v>
      </c>
      <c r="D52" s="96">
        <v>22474584.000000004</v>
      </c>
      <c r="E52" s="96">
        <v>23657456.842105269</v>
      </c>
      <c r="F52" s="96">
        <v>22474584.000000004</v>
      </c>
      <c r="G52" s="96">
        <v>23657456.842105269</v>
      </c>
      <c r="H52" s="95" t="s">
        <v>39</v>
      </c>
      <c r="I52" s="94" t="s">
        <v>40</v>
      </c>
      <c r="J52" s="94" t="s">
        <v>41</v>
      </c>
      <c r="K52" s="94" t="s">
        <v>42</v>
      </c>
      <c r="L52" s="94" t="s">
        <v>62</v>
      </c>
      <c r="M52" s="95" t="s">
        <v>63</v>
      </c>
      <c r="N52" s="94" t="s">
        <v>64</v>
      </c>
      <c r="O52" s="95" t="s">
        <v>171</v>
      </c>
      <c r="P52" s="95" t="s">
        <v>171</v>
      </c>
      <c r="Q52" s="95" t="s">
        <v>269</v>
      </c>
      <c r="T52" s="97"/>
      <c r="U52" s="97"/>
    </row>
    <row r="53" spans="2:21" s="93" customFormat="1" ht="204" x14ac:dyDescent="0.3">
      <c r="B53" s="94" t="s">
        <v>270</v>
      </c>
      <c r="C53" s="95" t="s">
        <v>271</v>
      </c>
      <c r="D53" s="96">
        <v>22000000</v>
      </c>
      <c r="E53" s="96">
        <v>23157894.736842107</v>
      </c>
      <c r="F53" s="96">
        <v>22000000</v>
      </c>
      <c r="G53" s="96">
        <v>23157894.736842107</v>
      </c>
      <c r="H53" s="95" t="s">
        <v>39</v>
      </c>
      <c r="I53" s="94" t="s">
        <v>40</v>
      </c>
      <c r="J53" s="94" t="s">
        <v>41</v>
      </c>
      <c r="K53" s="94" t="s">
        <v>42</v>
      </c>
      <c r="L53" s="94" t="s">
        <v>62</v>
      </c>
      <c r="M53" s="95" t="s">
        <v>44</v>
      </c>
      <c r="N53" s="94" t="s">
        <v>45</v>
      </c>
      <c r="O53" s="95" t="s">
        <v>171</v>
      </c>
      <c r="P53" s="95" t="s">
        <v>171</v>
      </c>
      <c r="Q53" s="95" t="s">
        <v>272</v>
      </c>
      <c r="T53" s="97"/>
      <c r="U53" s="97"/>
    </row>
    <row r="54" spans="2:21" s="93" customFormat="1" ht="228" x14ac:dyDescent="0.3">
      <c r="B54" s="94" t="s">
        <v>198</v>
      </c>
      <c r="C54" s="95" t="s">
        <v>273</v>
      </c>
      <c r="D54" s="96">
        <v>22000000</v>
      </c>
      <c r="E54" s="96">
        <v>23157894.736842107</v>
      </c>
      <c r="F54" s="96">
        <v>22000000</v>
      </c>
      <c r="G54" s="96">
        <v>23157894.736842107</v>
      </c>
      <c r="H54" s="95" t="s">
        <v>39</v>
      </c>
      <c r="I54" s="94" t="s">
        <v>40</v>
      </c>
      <c r="J54" s="94" t="s">
        <v>41</v>
      </c>
      <c r="K54" s="94" t="s">
        <v>42</v>
      </c>
      <c r="L54" s="94" t="s">
        <v>43</v>
      </c>
      <c r="M54" s="95" t="s">
        <v>193</v>
      </c>
      <c r="N54" s="94" t="s">
        <v>194</v>
      </c>
      <c r="O54" s="95" t="s">
        <v>171</v>
      </c>
      <c r="P54" s="95" t="s">
        <v>171</v>
      </c>
      <c r="Q54" s="95" t="s">
        <v>274</v>
      </c>
      <c r="T54" s="97"/>
      <c r="U54" s="97"/>
    </row>
    <row r="55" spans="2:21" s="93" customFormat="1" ht="216" x14ac:dyDescent="0.3">
      <c r="B55" s="94" t="s">
        <v>169</v>
      </c>
      <c r="C55" s="95" t="s">
        <v>275</v>
      </c>
      <c r="D55" s="96">
        <v>21717000</v>
      </c>
      <c r="E55" s="96">
        <v>22860000</v>
      </c>
      <c r="F55" s="96">
        <v>21717000</v>
      </c>
      <c r="G55" s="96">
        <v>22860000</v>
      </c>
      <c r="H55" s="95" t="s">
        <v>39</v>
      </c>
      <c r="I55" s="94" t="s">
        <v>40</v>
      </c>
      <c r="J55" s="94" t="s">
        <v>41</v>
      </c>
      <c r="K55" s="94" t="s">
        <v>42</v>
      </c>
      <c r="L55" s="94" t="s">
        <v>49</v>
      </c>
      <c r="M55" s="95" t="s">
        <v>50</v>
      </c>
      <c r="N55" s="94" t="s">
        <v>90</v>
      </c>
      <c r="O55" s="95" t="s">
        <v>171</v>
      </c>
      <c r="P55" s="95" t="s">
        <v>171</v>
      </c>
      <c r="Q55" s="95" t="s">
        <v>276</v>
      </c>
      <c r="T55" s="97"/>
      <c r="U55" s="97"/>
    </row>
    <row r="56" spans="2:21" s="93" customFormat="1" ht="72" x14ac:dyDescent="0.3">
      <c r="B56" s="94" t="s">
        <v>169</v>
      </c>
      <c r="C56" s="95" t="s">
        <v>277</v>
      </c>
      <c r="D56" s="96">
        <v>21000000</v>
      </c>
      <c r="E56" s="96">
        <v>22105263.157894738</v>
      </c>
      <c r="F56" s="96">
        <v>21000000</v>
      </c>
      <c r="G56" s="96">
        <v>22105263.157894738</v>
      </c>
      <c r="H56" s="95" t="s">
        <v>39</v>
      </c>
      <c r="I56" s="94" t="s">
        <v>40</v>
      </c>
      <c r="J56" s="94" t="s">
        <v>41</v>
      </c>
      <c r="K56" s="94" t="s">
        <v>42</v>
      </c>
      <c r="L56" s="94" t="s">
        <v>62</v>
      </c>
      <c r="M56" s="95" t="s">
        <v>63</v>
      </c>
      <c r="N56" s="94" t="s">
        <v>64</v>
      </c>
      <c r="O56" s="95" t="s">
        <v>171</v>
      </c>
      <c r="P56" s="95" t="s">
        <v>171</v>
      </c>
      <c r="Q56" s="95" t="s">
        <v>278</v>
      </c>
      <c r="T56" s="97"/>
      <c r="U56" s="97"/>
    </row>
    <row r="57" spans="2:21" s="93" customFormat="1" ht="228" x14ac:dyDescent="0.3">
      <c r="B57" s="94" t="s">
        <v>279</v>
      </c>
      <c r="C57" s="95" t="s">
        <v>280</v>
      </c>
      <c r="D57" s="96">
        <v>20400000</v>
      </c>
      <c r="E57" s="96">
        <v>21473684.210526317</v>
      </c>
      <c r="F57" s="96">
        <v>20400000</v>
      </c>
      <c r="G57" s="96">
        <v>21473684.210526317</v>
      </c>
      <c r="H57" s="95" t="s">
        <v>39</v>
      </c>
      <c r="I57" s="94" t="s">
        <v>40</v>
      </c>
      <c r="J57" s="94" t="s">
        <v>41</v>
      </c>
      <c r="K57" s="94" t="s">
        <v>42</v>
      </c>
      <c r="L57" s="94" t="s">
        <v>62</v>
      </c>
      <c r="M57" s="95" t="s">
        <v>50</v>
      </c>
      <c r="N57" s="94" t="s">
        <v>90</v>
      </c>
      <c r="O57" s="95" t="s">
        <v>171</v>
      </c>
      <c r="P57" s="95" t="s">
        <v>171</v>
      </c>
      <c r="Q57" s="95" t="s">
        <v>281</v>
      </c>
      <c r="T57" s="97"/>
      <c r="U57" s="97"/>
    </row>
    <row r="58" spans="2:21" s="93" customFormat="1" ht="228" x14ac:dyDescent="0.3">
      <c r="B58" s="94" t="s">
        <v>282</v>
      </c>
      <c r="C58" s="95" t="s">
        <v>283</v>
      </c>
      <c r="D58" s="96">
        <v>20000000</v>
      </c>
      <c r="E58" s="96">
        <v>21052631.578947369</v>
      </c>
      <c r="F58" s="96">
        <v>20000000</v>
      </c>
      <c r="G58" s="96">
        <v>21052631.578947369</v>
      </c>
      <c r="H58" s="95" t="s">
        <v>39</v>
      </c>
      <c r="I58" s="94" t="s">
        <v>40</v>
      </c>
      <c r="J58" s="94" t="s">
        <v>41</v>
      </c>
      <c r="K58" s="94" t="s">
        <v>42</v>
      </c>
      <c r="L58" s="94" t="s">
        <v>62</v>
      </c>
      <c r="M58" s="95" t="s">
        <v>50</v>
      </c>
      <c r="N58" s="94" t="s">
        <v>90</v>
      </c>
      <c r="O58" s="95" t="s">
        <v>171</v>
      </c>
      <c r="P58" s="95" t="s">
        <v>171</v>
      </c>
      <c r="Q58" s="95" t="s">
        <v>284</v>
      </c>
      <c r="T58" s="97"/>
      <c r="U58" s="97"/>
    </row>
    <row r="59" spans="2:21" s="93" customFormat="1" ht="228" x14ac:dyDescent="0.3">
      <c r="B59" s="94" t="s">
        <v>175</v>
      </c>
      <c r="C59" s="95" t="s">
        <v>285</v>
      </c>
      <c r="D59" s="96">
        <v>20000000</v>
      </c>
      <c r="E59" s="96">
        <v>21052631.578947369</v>
      </c>
      <c r="F59" s="96">
        <v>20000000</v>
      </c>
      <c r="G59" s="96">
        <v>21052631.578947369</v>
      </c>
      <c r="H59" s="95" t="s">
        <v>39</v>
      </c>
      <c r="I59" s="94" t="s">
        <v>40</v>
      </c>
      <c r="J59" s="94" t="s">
        <v>41</v>
      </c>
      <c r="K59" s="94" t="s">
        <v>42</v>
      </c>
      <c r="L59" s="94" t="s">
        <v>49</v>
      </c>
      <c r="M59" s="95" t="s">
        <v>50</v>
      </c>
      <c r="N59" s="94" t="s">
        <v>286</v>
      </c>
      <c r="O59" s="95" t="s">
        <v>171</v>
      </c>
      <c r="P59" s="95" t="s">
        <v>171</v>
      </c>
      <c r="Q59" s="95" t="s">
        <v>287</v>
      </c>
      <c r="T59" s="97"/>
      <c r="U59" s="97"/>
    </row>
    <row r="60" spans="2:21" s="93" customFormat="1" ht="228" x14ac:dyDescent="0.3">
      <c r="B60" s="94" t="s">
        <v>288</v>
      </c>
      <c r="C60" s="95" t="s">
        <v>289</v>
      </c>
      <c r="D60" s="96">
        <v>20000000</v>
      </c>
      <c r="E60" s="96">
        <v>21052631.578947369</v>
      </c>
      <c r="F60" s="96">
        <v>20000000</v>
      </c>
      <c r="G60" s="96">
        <v>21052631.578947369</v>
      </c>
      <c r="H60" s="95" t="s">
        <v>39</v>
      </c>
      <c r="I60" s="94" t="s">
        <v>40</v>
      </c>
      <c r="J60" s="94" t="s">
        <v>41</v>
      </c>
      <c r="K60" s="94" t="s">
        <v>42</v>
      </c>
      <c r="L60" s="94" t="s">
        <v>43</v>
      </c>
      <c r="M60" s="95" t="s">
        <v>193</v>
      </c>
      <c r="N60" s="94" t="s">
        <v>194</v>
      </c>
      <c r="O60" s="95" t="s">
        <v>171</v>
      </c>
      <c r="P60" s="95" t="s">
        <v>171</v>
      </c>
      <c r="Q60" s="95" t="s">
        <v>290</v>
      </c>
      <c r="T60" s="97"/>
      <c r="U60" s="97"/>
    </row>
    <row r="61" spans="2:21" s="93" customFormat="1" ht="240" x14ac:dyDescent="0.3">
      <c r="B61" s="94" t="s">
        <v>291</v>
      </c>
      <c r="C61" s="95" t="s">
        <v>292</v>
      </c>
      <c r="D61" s="96">
        <v>20000000</v>
      </c>
      <c r="E61" s="96">
        <v>21052631.578947369</v>
      </c>
      <c r="F61" s="96">
        <v>20000000</v>
      </c>
      <c r="G61" s="96">
        <v>21052631.578947369</v>
      </c>
      <c r="H61" s="95" t="s">
        <v>39</v>
      </c>
      <c r="I61" s="94" t="s">
        <v>40</v>
      </c>
      <c r="J61" s="94" t="s">
        <v>41</v>
      </c>
      <c r="K61" s="94" t="s">
        <v>42</v>
      </c>
      <c r="L61" s="94" t="s">
        <v>62</v>
      </c>
      <c r="M61" s="95" t="s">
        <v>49</v>
      </c>
      <c r="N61" s="94" t="s">
        <v>82</v>
      </c>
      <c r="O61" s="95" t="s">
        <v>171</v>
      </c>
      <c r="P61" s="95" t="s">
        <v>171</v>
      </c>
      <c r="Q61" s="95" t="s">
        <v>293</v>
      </c>
      <c r="T61" s="97"/>
      <c r="U61" s="97"/>
    </row>
    <row r="62" spans="2:21" s="93" customFormat="1" ht="204" x14ac:dyDescent="0.3">
      <c r="B62" s="94" t="s">
        <v>294</v>
      </c>
      <c r="C62" s="95" t="s">
        <v>295</v>
      </c>
      <c r="D62" s="96">
        <v>18200000</v>
      </c>
      <c r="E62" s="96">
        <v>19157894.736842107</v>
      </c>
      <c r="F62" s="96">
        <v>18200000</v>
      </c>
      <c r="G62" s="96">
        <v>19157894.736842107</v>
      </c>
      <c r="H62" s="95" t="s">
        <v>39</v>
      </c>
      <c r="I62" s="94" t="s">
        <v>40</v>
      </c>
      <c r="J62" s="94" t="s">
        <v>41</v>
      </c>
      <c r="K62" s="94" t="s">
        <v>42</v>
      </c>
      <c r="L62" s="94" t="s">
        <v>43</v>
      </c>
      <c r="M62" s="95" t="s">
        <v>50</v>
      </c>
      <c r="N62" s="94" t="s">
        <v>296</v>
      </c>
      <c r="O62" s="95" t="s">
        <v>171</v>
      </c>
      <c r="P62" s="95" t="s">
        <v>171</v>
      </c>
      <c r="Q62" s="95" t="s">
        <v>297</v>
      </c>
      <c r="T62" s="97"/>
      <c r="U62" s="97"/>
    </row>
    <row r="63" spans="2:21" s="93" customFormat="1" ht="216" x14ac:dyDescent="0.3">
      <c r="B63" s="94" t="s">
        <v>298</v>
      </c>
      <c r="C63" s="95" t="s">
        <v>299</v>
      </c>
      <c r="D63" s="96">
        <v>16780000</v>
      </c>
      <c r="E63" s="96">
        <v>17663157.894736841</v>
      </c>
      <c r="F63" s="96">
        <v>16780000</v>
      </c>
      <c r="G63" s="96">
        <v>17663157.894736841</v>
      </c>
      <c r="H63" s="95" t="s">
        <v>39</v>
      </c>
      <c r="I63" s="94" t="s">
        <v>40</v>
      </c>
      <c r="J63" s="94" t="s">
        <v>41</v>
      </c>
      <c r="K63" s="94" t="s">
        <v>42</v>
      </c>
      <c r="L63" s="94" t="s">
        <v>43</v>
      </c>
      <c r="M63" s="95" t="s">
        <v>44</v>
      </c>
      <c r="N63" s="94" t="s">
        <v>45</v>
      </c>
      <c r="O63" s="95" t="s">
        <v>171</v>
      </c>
      <c r="P63" s="95" t="s">
        <v>171</v>
      </c>
      <c r="Q63" s="95" t="s">
        <v>300</v>
      </c>
      <c r="T63" s="97"/>
      <c r="U63" s="97"/>
    </row>
    <row r="64" spans="2:21" s="93" customFormat="1" ht="216" x14ac:dyDescent="0.3">
      <c r="B64" s="94" t="s">
        <v>301</v>
      </c>
      <c r="C64" s="95" t="s">
        <v>302</v>
      </c>
      <c r="D64" s="96">
        <v>16000000</v>
      </c>
      <c r="E64" s="96">
        <v>16842105.263157897</v>
      </c>
      <c r="F64" s="96">
        <v>16000000</v>
      </c>
      <c r="G64" s="96">
        <v>16842105.263157897</v>
      </c>
      <c r="H64" s="95" t="s">
        <v>39</v>
      </c>
      <c r="I64" s="94" t="s">
        <v>40</v>
      </c>
      <c r="J64" s="94" t="s">
        <v>41</v>
      </c>
      <c r="K64" s="94" t="s">
        <v>42</v>
      </c>
      <c r="L64" s="94" t="s">
        <v>62</v>
      </c>
      <c r="M64" s="95" t="s">
        <v>50</v>
      </c>
      <c r="N64" s="94" t="s">
        <v>303</v>
      </c>
      <c r="O64" s="95" t="s">
        <v>171</v>
      </c>
      <c r="P64" s="95" t="s">
        <v>171</v>
      </c>
      <c r="Q64" s="95" t="s">
        <v>304</v>
      </c>
      <c r="T64" s="97"/>
      <c r="U64" s="97"/>
    </row>
    <row r="65" spans="2:21" s="93" customFormat="1" ht="228" x14ac:dyDescent="0.3">
      <c r="B65" s="94" t="s">
        <v>169</v>
      </c>
      <c r="C65" s="95" t="s">
        <v>305</v>
      </c>
      <c r="D65" s="96">
        <v>16000000</v>
      </c>
      <c r="E65" s="96">
        <v>16842105.263157897</v>
      </c>
      <c r="F65" s="96">
        <v>16000000</v>
      </c>
      <c r="G65" s="96">
        <v>16842105.263157897</v>
      </c>
      <c r="H65" s="95" t="s">
        <v>39</v>
      </c>
      <c r="I65" s="94" t="s">
        <v>40</v>
      </c>
      <c r="J65" s="94" t="s">
        <v>41</v>
      </c>
      <c r="K65" s="94" t="s">
        <v>42</v>
      </c>
      <c r="L65" s="94" t="s">
        <v>43</v>
      </c>
      <c r="M65" s="95" t="s">
        <v>44</v>
      </c>
      <c r="N65" s="94" t="s">
        <v>45</v>
      </c>
      <c r="O65" s="95" t="s">
        <v>171</v>
      </c>
      <c r="P65" s="95" t="s">
        <v>171</v>
      </c>
      <c r="Q65" s="95" t="s">
        <v>306</v>
      </c>
      <c r="T65" s="97"/>
      <c r="U65" s="97"/>
    </row>
    <row r="66" spans="2:21" s="93" customFormat="1" ht="240" x14ac:dyDescent="0.3">
      <c r="B66" s="94" t="s">
        <v>307</v>
      </c>
      <c r="C66" s="95" t="s">
        <v>308</v>
      </c>
      <c r="D66" s="96">
        <v>16000000</v>
      </c>
      <c r="E66" s="96">
        <v>16842105.263157897</v>
      </c>
      <c r="F66" s="96">
        <v>16000000</v>
      </c>
      <c r="G66" s="96">
        <v>16842105.263157897</v>
      </c>
      <c r="H66" s="95" t="s">
        <v>39</v>
      </c>
      <c r="I66" s="94" t="s">
        <v>40</v>
      </c>
      <c r="J66" s="94" t="s">
        <v>41</v>
      </c>
      <c r="K66" s="94" t="s">
        <v>42</v>
      </c>
      <c r="L66" s="94" t="s">
        <v>62</v>
      </c>
      <c r="M66" s="95" t="s">
        <v>50</v>
      </c>
      <c r="N66" s="94" t="s">
        <v>92</v>
      </c>
      <c r="O66" s="95" t="s">
        <v>171</v>
      </c>
      <c r="P66" s="95" t="s">
        <v>171</v>
      </c>
      <c r="Q66" s="95" t="s">
        <v>309</v>
      </c>
      <c r="T66" s="97"/>
      <c r="U66" s="97"/>
    </row>
    <row r="67" spans="2:21" s="93" customFormat="1" ht="108" x14ac:dyDescent="0.3">
      <c r="B67" s="94" t="s">
        <v>208</v>
      </c>
      <c r="C67" s="95" t="s">
        <v>310</v>
      </c>
      <c r="D67" s="96">
        <v>15886596</v>
      </c>
      <c r="E67" s="96">
        <v>16722732.631578948</v>
      </c>
      <c r="F67" s="96">
        <v>15886596</v>
      </c>
      <c r="G67" s="96">
        <v>16722732.631578948</v>
      </c>
      <c r="H67" s="95" t="s">
        <v>39</v>
      </c>
      <c r="I67" s="94" t="s">
        <v>40</v>
      </c>
      <c r="J67" s="94" t="s">
        <v>41</v>
      </c>
      <c r="K67" s="94" t="s">
        <v>42</v>
      </c>
      <c r="L67" s="94" t="s">
        <v>49</v>
      </c>
      <c r="M67" s="95" t="s">
        <v>63</v>
      </c>
      <c r="N67" s="94" t="s">
        <v>64</v>
      </c>
      <c r="O67" s="95" t="s">
        <v>171</v>
      </c>
      <c r="P67" s="95" t="s">
        <v>171</v>
      </c>
      <c r="Q67" s="95" t="s">
        <v>311</v>
      </c>
      <c r="T67" s="97"/>
      <c r="U67" s="97"/>
    </row>
    <row r="68" spans="2:21" s="93" customFormat="1" ht="96" x14ac:dyDescent="0.3">
      <c r="B68" s="94" t="s">
        <v>169</v>
      </c>
      <c r="C68" s="95" t="s">
        <v>312</v>
      </c>
      <c r="D68" s="96">
        <v>15425984</v>
      </c>
      <c r="E68" s="96">
        <v>16237877.894736843</v>
      </c>
      <c r="F68" s="96">
        <v>15425984</v>
      </c>
      <c r="G68" s="96">
        <v>16237877.894736843</v>
      </c>
      <c r="H68" s="95" t="s">
        <v>39</v>
      </c>
      <c r="I68" s="94" t="s">
        <v>40</v>
      </c>
      <c r="J68" s="94" t="s">
        <v>41</v>
      </c>
      <c r="K68" s="94" t="s">
        <v>42</v>
      </c>
      <c r="L68" s="94" t="s">
        <v>49</v>
      </c>
      <c r="M68" s="95" t="s">
        <v>49</v>
      </c>
      <c r="N68" s="94" t="s">
        <v>82</v>
      </c>
      <c r="O68" s="95" t="s">
        <v>171</v>
      </c>
      <c r="P68" s="95" t="s">
        <v>171</v>
      </c>
      <c r="Q68" s="95" t="s">
        <v>313</v>
      </c>
      <c r="T68" s="97"/>
      <c r="U68" s="97"/>
    </row>
    <row r="69" spans="2:21" s="93" customFormat="1" ht="228" x14ac:dyDescent="0.3">
      <c r="B69" s="94" t="s">
        <v>208</v>
      </c>
      <c r="C69" s="95" t="s">
        <v>314</v>
      </c>
      <c r="D69" s="96">
        <v>15000000</v>
      </c>
      <c r="E69" s="96">
        <v>15789473.684210528</v>
      </c>
      <c r="F69" s="96">
        <v>15000000</v>
      </c>
      <c r="G69" s="96">
        <v>15789473.684210528</v>
      </c>
      <c r="H69" s="95" t="s">
        <v>39</v>
      </c>
      <c r="I69" s="94" t="s">
        <v>40</v>
      </c>
      <c r="J69" s="94" t="s">
        <v>41</v>
      </c>
      <c r="K69" s="94" t="s">
        <v>42</v>
      </c>
      <c r="L69" s="94" t="s">
        <v>43</v>
      </c>
      <c r="M69" s="95" t="s">
        <v>54</v>
      </c>
      <c r="N69" s="94" t="s">
        <v>55</v>
      </c>
      <c r="O69" s="95" t="s">
        <v>171</v>
      </c>
      <c r="P69" s="95" t="s">
        <v>171</v>
      </c>
      <c r="Q69" s="95" t="s">
        <v>315</v>
      </c>
      <c r="T69" s="97"/>
      <c r="U69" s="97"/>
    </row>
    <row r="70" spans="2:21" s="93" customFormat="1" ht="228" x14ac:dyDescent="0.3">
      <c r="B70" s="94" t="s">
        <v>316</v>
      </c>
      <c r="C70" s="95" t="s">
        <v>317</v>
      </c>
      <c r="D70" s="96">
        <v>15000000</v>
      </c>
      <c r="E70" s="96">
        <v>15789473.684210528</v>
      </c>
      <c r="F70" s="96">
        <v>15000000</v>
      </c>
      <c r="G70" s="96">
        <v>15789473.684210528</v>
      </c>
      <c r="H70" s="95" t="s">
        <v>39</v>
      </c>
      <c r="I70" s="94" t="s">
        <v>40</v>
      </c>
      <c r="J70" s="94" t="s">
        <v>41</v>
      </c>
      <c r="K70" s="94" t="s">
        <v>42</v>
      </c>
      <c r="L70" s="94" t="s">
        <v>62</v>
      </c>
      <c r="M70" s="95" t="s">
        <v>49</v>
      </c>
      <c r="N70" s="94" t="s">
        <v>82</v>
      </c>
      <c r="O70" s="95" t="s">
        <v>171</v>
      </c>
      <c r="P70" s="95" t="s">
        <v>171</v>
      </c>
      <c r="Q70" s="95" t="s">
        <v>318</v>
      </c>
      <c r="T70" s="97"/>
      <c r="U70" s="97"/>
    </row>
    <row r="71" spans="2:21" s="93" customFormat="1" ht="240" x14ac:dyDescent="0.3">
      <c r="B71" s="94" t="s">
        <v>319</v>
      </c>
      <c r="C71" s="95" t="s">
        <v>320</v>
      </c>
      <c r="D71" s="96">
        <v>15000000</v>
      </c>
      <c r="E71" s="96">
        <v>15789473.684210528</v>
      </c>
      <c r="F71" s="96">
        <v>15000000</v>
      </c>
      <c r="G71" s="96">
        <v>15789473.684210528</v>
      </c>
      <c r="H71" s="95" t="s">
        <v>39</v>
      </c>
      <c r="I71" s="94" t="s">
        <v>40</v>
      </c>
      <c r="J71" s="94" t="s">
        <v>41</v>
      </c>
      <c r="K71" s="94" t="s">
        <v>42</v>
      </c>
      <c r="L71" s="94" t="s">
        <v>43</v>
      </c>
      <c r="M71" s="95" t="s">
        <v>193</v>
      </c>
      <c r="N71" s="94" t="s">
        <v>194</v>
      </c>
      <c r="O71" s="95" t="s">
        <v>171</v>
      </c>
      <c r="P71" s="95" t="s">
        <v>171</v>
      </c>
      <c r="Q71" s="95" t="s">
        <v>321</v>
      </c>
      <c r="T71" s="97"/>
      <c r="U71" s="97"/>
    </row>
    <row r="72" spans="2:21" s="93" customFormat="1" ht="204" x14ac:dyDescent="0.3">
      <c r="B72" s="94" t="s">
        <v>169</v>
      </c>
      <c r="C72" s="95" t="s">
        <v>322</v>
      </c>
      <c r="D72" s="96">
        <v>15000000</v>
      </c>
      <c r="E72" s="96">
        <v>15789473.684210528</v>
      </c>
      <c r="F72" s="96">
        <v>15000000</v>
      </c>
      <c r="G72" s="96">
        <v>15789473.684210528</v>
      </c>
      <c r="H72" s="95" t="s">
        <v>39</v>
      </c>
      <c r="I72" s="94" t="s">
        <v>40</v>
      </c>
      <c r="J72" s="94" t="s">
        <v>41</v>
      </c>
      <c r="K72" s="94" t="s">
        <v>42</v>
      </c>
      <c r="L72" s="94" t="s">
        <v>43</v>
      </c>
      <c r="M72" s="95" t="s">
        <v>50</v>
      </c>
      <c r="N72" s="94" t="s">
        <v>221</v>
      </c>
      <c r="O72" s="95" t="s">
        <v>171</v>
      </c>
      <c r="P72" s="95" t="s">
        <v>171</v>
      </c>
      <c r="Q72" s="95" t="s">
        <v>323</v>
      </c>
      <c r="T72" s="97"/>
      <c r="U72" s="97"/>
    </row>
    <row r="73" spans="2:21" s="93" customFormat="1" ht="228" x14ac:dyDescent="0.3">
      <c r="B73" s="94" t="s">
        <v>169</v>
      </c>
      <c r="C73" s="95" t="s">
        <v>324</v>
      </c>
      <c r="D73" s="96">
        <v>15000000</v>
      </c>
      <c r="E73" s="96">
        <v>15789473.684210528</v>
      </c>
      <c r="F73" s="96">
        <v>15000000</v>
      </c>
      <c r="G73" s="96">
        <v>15789473.684210528</v>
      </c>
      <c r="H73" s="95" t="s">
        <v>39</v>
      </c>
      <c r="I73" s="94" t="s">
        <v>40</v>
      </c>
      <c r="J73" s="94" t="s">
        <v>41</v>
      </c>
      <c r="K73" s="94" t="s">
        <v>42</v>
      </c>
      <c r="L73" s="94" t="s">
        <v>62</v>
      </c>
      <c r="M73" s="95" t="s">
        <v>50</v>
      </c>
      <c r="N73" s="94" t="s">
        <v>90</v>
      </c>
      <c r="O73" s="95" t="s">
        <v>171</v>
      </c>
      <c r="P73" s="95" t="s">
        <v>171</v>
      </c>
      <c r="Q73" s="95" t="s">
        <v>325</v>
      </c>
      <c r="T73" s="97"/>
      <c r="U73" s="97"/>
    </row>
    <row r="74" spans="2:21" s="93" customFormat="1" ht="216" x14ac:dyDescent="0.3">
      <c r="B74" s="94" t="s">
        <v>294</v>
      </c>
      <c r="C74" s="95" t="s">
        <v>326</v>
      </c>
      <c r="D74" s="96">
        <v>15000000</v>
      </c>
      <c r="E74" s="96">
        <v>15789473.684210528</v>
      </c>
      <c r="F74" s="96">
        <v>15000000</v>
      </c>
      <c r="G74" s="96">
        <v>15789473.684210528</v>
      </c>
      <c r="H74" s="95" t="s">
        <v>39</v>
      </c>
      <c r="I74" s="94" t="s">
        <v>40</v>
      </c>
      <c r="J74" s="94" t="s">
        <v>41</v>
      </c>
      <c r="K74" s="94" t="s">
        <v>42</v>
      </c>
      <c r="L74" s="94" t="s">
        <v>62</v>
      </c>
      <c r="M74" s="95" t="s">
        <v>49</v>
      </c>
      <c r="N74" s="94" t="s">
        <v>82</v>
      </c>
      <c r="O74" s="95" t="s">
        <v>171</v>
      </c>
      <c r="P74" s="95" t="s">
        <v>171</v>
      </c>
      <c r="Q74" s="95" t="s">
        <v>327</v>
      </c>
      <c r="T74" s="97"/>
      <c r="U74" s="97"/>
    </row>
    <row r="75" spans="2:21" s="93" customFormat="1" ht="180" x14ac:dyDescent="0.3">
      <c r="B75" s="94" t="s">
        <v>328</v>
      </c>
      <c r="C75" s="95" t="s">
        <v>329</v>
      </c>
      <c r="D75" s="96">
        <v>14000000</v>
      </c>
      <c r="E75" s="96">
        <v>14736842.105263159</v>
      </c>
      <c r="F75" s="96">
        <v>14000000</v>
      </c>
      <c r="G75" s="96">
        <v>14736842.105263159</v>
      </c>
      <c r="H75" s="95" t="s">
        <v>39</v>
      </c>
      <c r="I75" s="94" t="s">
        <v>40</v>
      </c>
      <c r="J75" s="94" t="s">
        <v>41</v>
      </c>
      <c r="K75" s="94" t="s">
        <v>42</v>
      </c>
      <c r="L75" s="94" t="s">
        <v>43</v>
      </c>
      <c r="M75" s="95" t="s">
        <v>50</v>
      </c>
      <c r="N75" s="94" t="s">
        <v>90</v>
      </c>
      <c r="O75" s="95" t="s">
        <v>171</v>
      </c>
      <c r="P75" s="95" t="s">
        <v>171</v>
      </c>
      <c r="Q75" s="95" t="s">
        <v>330</v>
      </c>
      <c r="T75" s="97"/>
      <c r="U75" s="97"/>
    </row>
    <row r="76" spans="2:21" s="93" customFormat="1" ht="216" x14ac:dyDescent="0.3">
      <c r="B76" s="94" t="s">
        <v>331</v>
      </c>
      <c r="C76" s="95" t="s">
        <v>332</v>
      </c>
      <c r="D76" s="96">
        <v>13500000</v>
      </c>
      <c r="E76" s="96">
        <v>14210526.315789474</v>
      </c>
      <c r="F76" s="96">
        <v>13500000</v>
      </c>
      <c r="G76" s="96">
        <v>14210526.315789474</v>
      </c>
      <c r="H76" s="95" t="s">
        <v>39</v>
      </c>
      <c r="I76" s="94" t="s">
        <v>40</v>
      </c>
      <c r="J76" s="94" t="s">
        <v>41</v>
      </c>
      <c r="K76" s="94" t="s">
        <v>42</v>
      </c>
      <c r="L76" s="94" t="s">
        <v>62</v>
      </c>
      <c r="M76" s="95" t="s">
        <v>50</v>
      </c>
      <c r="N76" s="94" t="s">
        <v>88</v>
      </c>
      <c r="O76" s="95" t="s">
        <v>171</v>
      </c>
      <c r="P76" s="95" t="s">
        <v>171</v>
      </c>
      <c r="Q76" s="95" t="s">
        <v>333</v>
      </c>
      <c r="T76" s="97"/>
      <c r="U76" s="97"/>
    </row>
    <row r="77" spans="2:21" s="93" customFormat="1" ht="228" x14ac:dyDescent="0.3">
      <c r="B77" s="94" t="s">
        <v>334</v>
      </c>
      <c r="C77" s="95" t="s">
        <v>335</v>
      </c>
      <c r="D77" s="96">
        <v>13250000</v>
      </c>
      <c r="E77" s="96">
        <v>13947368.421052633</v>
      </c>
      <c r="F77" s="96">
        <v>13250000</v>
      </c>
      <c r="G77" s="96">
        <v>13947368.421052633</v>
      </c>
      <c r="H77" s="95" t="s">
        <v>39</v>
      </c>
      <c r="I77" s="94" t="s">
        <v>40</v>
      </c>
      <c r="J77" s="94" t="s">
        <v>41</v>
      </c>
      <c r="K77" s="94" t="s">
        <v>42</v>
      </c>
      <c r="L77" s="94" t="s">
        <v>43</v>
      </c>
      <c r="M77" s="95" t="s">
        <v>193</v>
      </c>
      <c r="N77" s="94" t="s">
        <v>194</v>
      </c>
      <c r="O77" s="95" t="s">
        <v>171</v>
      </c>
      <c r="P77" s="95" t="s">
        <v>171</v>
      </c>
      <c r="Q77" s="95" t="s">
        <v>336</v>
      </c>
      <c r="T77" s="97"/>
      <c r="U77" s="97"/>
    </row>
    <row r="78" spans="2:21" s="93" customFormat="1" ht="132" x14ac:dyDescent="0.3">
      <c r="B78" s="94" t="s">
        <v>169</v>
      </c>
      <c r="C78" s="95" t="s">
        <v>337</v>
      </c>
      <c r="D78" s="96">
        <v>13000000</v>
      </c>
      <c r="E78" s="96">
        <v>13684210.52631579</v>
      </c>
      <c r="F78" s="96">
        <v>13000000</v>
      </c>
      <c r="G78" s="96">
        <v>13684210.52631579</v>
      </c>
      <c r="H78" s="95" t="s">
        <v>39</v>
      </c>
      <c r="I78" s="94" t="s">
        <v>40</v>
      </c>
      <c r="J78" s="94" t="s">
        <v>41</v>
      </c>
      <c r="K78" s="94" t="s">
        <v>42</v>
      </c>
      <c r="L78" s="94" t="s">
        <v>49</v>
      </c>
      <c r="M78" s="95" t="s">
        <v>50</v>
      </c>
      <c r="N78" s="94" t="s">
        <v>90</v>
      </c>
      <c r="O78" s="95" t="s">
        <v>171</v>
      </c>
      <c r="P78" s="95" t="s">
        <v>171</v>
      </c>
      <c r="Q78" s="95" t="s">
        <v>337</v>
      </c>
      <c r="T78" s="97"/>
      <c r="U78" s="97"/>
    </row>
    <row r="79" spans="2:21" s="93" customFormat="1" ht="228" x14ac:dyDescent="0.3">
      <c r="B79" s="94" t="s">
        <v>177</v>
      </c>
      <c r="C79" s="95" t="s">
        <v>338</v>
      </c>
      <c r="D79" s="96">
        <v>13000000</v>
      </c>
      <c r="E79" s="96">
        <v>13684210.52631579</v>
      </c>
      <c r="F79" s="96">
        <v>13000000</v>
      </c>
      <c r="G79" s="96">
        <v>13684210.52631579</v>
      </c>
      <c r="H79" s="95" t="s">
        <v>39</v>
      </c>
      <c r="I79" s="94" t="s">
        <v>40</v>
      </c>
      <c r="J79" s="94" t="s">
        <v>41</v>
      </c>
      <c r="K79" s="94" t="s">
        <v>42</v>
      </c>
      <c r="L79" s="94" t="s">
        <v>62</v>
      </c>
      <c r="M79" s="95" t="s">
        <v>49</v>
      </c>
      <c r="N79" s="94" t="s">
        <v>82</v>
      </c>
      <c r="O79" s="95" t="s">
        <v>171</v>
      </c>
      <c r="P79" s="95" t="s">
        <v>171</v>
      </c>
      <c r="Q79" s="95" t="s">
        <v>339</v>
      </c>
      <c r="T79" s="97"/>
      <c r="U79" s="97"/>
    </row>
    <row r="80" spans="2:21" s="93" customFormat="1" ht="108" x14ac:dyDescent="0.3">
      <c r="B80" s="94" t="s">
        <v>208</v>
      </c>
      <c r="C80" s="95" t="s">
        <v>310</v>
      </c>
      <c r="D80" s="96">
        <v>12945736</v>
      </c>
      <c r="E80" s="96">
        <v>13627090.52631579</v>
      </c>
      <c r="F80" s="96">
        <v>12945736</v>
      </c>
      <c r="G80" s="96">
        <v>13627090.52631579</v>
      </c>
      <c r="H80" s="95" t="s">
        <v>39</v>
      </c>
      <c r="I80" s="94" t="s">
        <v>40</v>
      </c>
      <c r="J80" s="94" t="s">
        <v>41</v>
      </c>
      <c r="K80" s="94" t="s">
        <v>42</v>
      </c>
      <c r="L80" s="94" t="s">
        <v>49</v>
      </c>
      <c r="M80" s="95" t="s">
        <v>63</v>
      </c>
      <c r="N80" s="94" t="s">
        <v>64</v>
      </c>
      <c r="O80" s="95" t="s">
        <v>171</v>
      </c>
      <c r="P80" s="95" t="s">
        <v>171</v>
      </c>
      <c r="Q80" s="95" t="s">
        <v>311</v>
      </c>
      <c r="T80" s="97"/>
      <c r="U80" s="97"/>
    </row>
    <row r="81" spans="2:21" s="93" customFormat="1" ht="228" x14ac:dyDescent="0.3">
      <c r="B81" s="94" t="s">
        <v>340</v>
      </c>
      <c r="C81" s="95" t="s">
        <v>341</v>
      </c>
      <c r="D81" s="96">
        <v>12200000</v>
      </c>
      <c r="E81" s="96">
        <v>12842105.263157895</v>
      </c>
      <c r="F81" s="96">
        <v>12200000</v>
      </c>
      <c r="G81" s="96">
        <v>12842105.263157895</v>
      </c>
      <c r="H81" s="95" t="s">
        <v>39</v>
      </c>
      <c r="I81" s="94" t="s">
        <v>40</v>
      </c>
      <c r="J81" s="94" t="s">
        <v>41</v>
      </c>
      <c r="K81" s="94" t="s">
        <v>42</v>
      </c>
      <c r="L81" s="94" t="s">
        <v>43</v>
      </c>
      <c r="M81" s="95" t="s">
        <v>50</v>
      </c>
      <c r="N81" s="94" t="s">
        <v>342</v>
      </c>
      <c r="O81" s="95" t="s">
        <v>171</v>
      </c>
      <c r="P81" s="95" t="s">
        <v>171</v>
      </c>
      <c r="Q81" s="95" t="s">
        <v>343</v>
      </c>
      <c r="T81" s="97"/>
      <c r="U81" s="97"/>
    </row>
    <row r="82" spans="2:21" s="93" customFormat="1" ht="240" x14ac:dyDescent="0.3">
      <c r="B82" s="94" t="s">
        <v>344</v>
      </c>
      <c r="C82" s="95" t="s">
        <v>345</v>
      </c>
      <c r="D82" s="96">
        <v>12000000</v>
      </c>
      <c r="E82" s="96">
        <v>12631578.947368423</v>
      </c>
      <c r="F82" s="96">
        <v>12000000</v>
      </c>
      <c r="G82" s="96">
        <v>12631578.947368423</v>
      </c>
      <c r="H82" s="95" t="s">
        <v>39</v>
      </c>
      <c r="I82" s="94" t="s">
        <v>40</v>
      </c>
      <c r="J82" s="94" t="s">
        <v>41</v>
      </c>
      <c r="K82" s="94" t="s">
        <v>42</v>
      </c>
      <c r="L82" s="94" t="s">
        <v>43</v>
      </c>
      <c r="M82" s="95" t="s">
        <v>50</v>
      </c>
      <c r="N82" s="94" t="s">
        <v>88</v>
      </c>
      <c r="O82" s="95" t="s">
        <v>171</v>
      </c>
      <c r="P82" s="95" t="s">
        <v>171</v>
      </c>
      <c r="Q82" s="95" t="s">
        <v>346</v>
      </c>
      <c r="T82" s="97"/>
      <c r="U82" s="97"/>
    </row>
    <row r="83" spans="2:21" s="93" customFormat="1" ht="84" x14ac:dyDescent="0.3">
      <c r="B83" s="94" t="s">
        <v>340</v>
      </c>
      <c r="C83" s="95" t="s">
        <v>347</v>
      </c>
      <c r="D83" s="96">
        <v>12000000</v>
      </c>
      <c r="E83" s="96">
        <v>12631578.947368423</v>
      </c>
      <c r="F83" s="96">
        <v>12000000</v>
      </c>
      <c r="G83" s="96">
        <v>12631578.947368423</v>
      </c>
      <c r="H83" s="95" t="s">
        <v>39</v>
      </c>
      <c r="I83" s="94" t="s">
        <v>40</v>
      </c>
      <c r="J83" s="94" t="s">
        <v>41</v>
      </c>
      <c r="K83" s="94" t="s">
        <v>42</v>
      </c>
      <c r="L83" s="94" t="s">
        <v>62</v>
      </c>
      <c r="M83" s="95" t="s">
        <v>44</v>
      </c>
      <c r="N83" s="94" t="s">
        <v>45</v>
      </c>
      <c r="O83" s="95" t="s">
        <v>171</v>
      </c>
      <c r="P83" s="95" t="s">
        <v>171</v>
      </c>
      <c r="Q83" s="95" t="s">
        <v>348</v>
      </c>
      <c r="T83" s="97"/>
      <c r="U83" s="97"/>
    </row>
    <row r="84" spans="2:21" s="93" customFormat="1" ht="204" x14ac:dyDescent="0.3">
      <c r="B84" s="94" t="s">
        <v>211</v>
      </c>
      <c r="C84" s="95" t="s">
        <v>349</v>
      </c>
      <c r="D84" s="96">
        <v>12000000</v>
      </c>
      <c r="E84" s="96">
        <v>12631578.947368423</v>
      </c>
      <c r="F84" s="96">
        <v>12000000</v>
      </c>
      <c r="G84" s="96">
        <v>12631578.947368423</v>
      </c>
      <c r="H84" s="95" t="s">
        <v>39</v>
      </c>
      <c r="I84" s="94" t="s">
        <v>40</v>
      </c>
      <c r="J84" s="94" t="s">
        <v>41</v>
      </c>
      <c r="K84" s="94" t="s">
        <v>42</v>
      </c>
      <c r="L84" s="94" t="s">
        <v>62</v>
      </c>
      <c r="M84" s="95" t="s">
        <v>50</v>
      </c>
      <c r="N84" s="94" t="s">
        <v>350</v>
      </c>
      <c r="O84" s="95" t="s">
        <v>171</v>
      </c>
      <c r="P84" s="95" t="s">
        <v>171</v>
      </c>
      <c r="Q84" s="95" t="s">
        <v>351</v>
      </c>
      <c r="T84" s="97"/>
      <c r="U84" s="97"/>
    </row>
    <row r="85" spans="2:21" s="93" customFormat="1" ht="168" x14ac:dyDescent="0.3">
      <c r="B85" s="94" t="s">
        <v>352</v>
      </c>
      <c r="C85" s="95" t="s">
        <v>353</v>
      </c>
      <c r="D85" s="96">
        <v>12000000</v>
      </c>
      <c r="E85" s="96">
        <v>12631578.947368423</v>
      </c>
      <c r="F85" s="96">
        <v>12000000</v>
      </c>
      <c r="G85" s="96">
        <v>12631578.947368423</v>
      </c>
      <c r="H85" s="95" t="s">
        <v>39</v>
      </c>
      <c r="I85" s="94" t="s">
        <v>40</v>
      </c>
      <c r="J85" s="94" t="s">
        <v>41</v>
      </c>
      <c r="K85" s="94" t="s">
        <v>42</v>
      </c>
      <c r="L85" s="94" t="s">
        <v>49</v>
      </c>
      <c r="M85" s="95" t="s">
        <v>63</v>
      </c>
      <c r="N85" s="94" t="s">
        <v>64</v>
      </c>
      <c r="O85" s="95" t="s">
        <v>171</v>
      </c>
      <c r="P85" s="95" t="s">
        <v>171</v>
      </c>
      <c r="Q85" s="95" t="s">
        <v>354</v>
      </c>
      <c r="T85" s="97"/>
      <c r="U85" s="97"/>
    </row>
    <row r="86" spans="2:21" s="93" customFormat="1" ht="228" x14ac:dyDescent="0.3">
      <c r="B86" s="94" t="s">
        <v>355</v>
      </c>
      <c r="C86" s="95" t="s">
        <v>356</v>
      </c>
      <c r="D86" s="96">
        <v>12000000</v>
      </c>
      <c r="E86" s="96">
        <v>12631578.947368423</v>
      </c>
      <c r="F86" s="96">
        <v>12000000</v>
      </c>
      <c r="G86" s="96">
        <v>12631578.947368423</v>
      </c>
      <c r="H86" s="95" t="s">
        <v>39</v>
      </c>
      <c r="I86" s="94" t="s">
        <v>40</v>
      </c>
      <c r="J86" s="94" t="s">
        <v>41</v>
      </c>
      <c r="K86" s="94" t="s">
        <v>42</v>
      </c>
      <c r="L86" s="94" t="s">
        <v>62</v>
      </c>
      <c r="M86" s="95" t="s">
        <v>50</v>
      </c>
      <c r="N86" s="94" t="s">
        <v>82</v>
      </c>
      <c r="O86" s="95" t="s">
        <v>171</v>
      </c>
      <c r="P86" s="95" t="s">
        <v>171</v>
      </c>
      <c r="Q86" s="95" t="s">
        <v>357</v>
      </c>
      <c r="T86" s="97"/>
      <c r="U86" s="97"/>
    </row>
    <row r="87" spans="2:21" s="93" customFormat="1" ht="156" x14ac:dyDescent="0.3">
      <c r="B87" s="94" t="s">
        <v>227</v>
      </c>
      <c r="C87" s="95" t="s">
        <v>358</v>
      </c>
      <c r="D87" s="96">
        <v>12000000</v>
      </c>
      <c r="E87" s="96">
        <v>12631578.947368423</v>
      </c>
      <c r="F87" s="96">
        <v>12000000</v>
      </c>
      <c r="G87" s="96">
        <v>12631578.947368423</v>
      </c>
      <c r="H87" s="95" t="s">
        <v>39</v>
      </c>
      <c r="I87" s="94" t="s">
        <v>40</v>
      </c>
      <c r="J87" s="94" t="s">
        <v>41</v>
      </c>
      <c r="K87" s="94" t="s">
        <v>42</v>
      </c>
      <c r="L87" s="94" t="s">
        <v>62</v>
      </c>
      <c r="M87" s="95" t="s">
        <v>44</v>
      </c>
      <c r="N87" s="94" t="s">
        <v>45</v>
      </c>
      <c r="O87" s="95" t="s">
        <v>171</v>
      </c>
      <c r="P87" s="95" t="s">
        <v>171</v>
      </c>
      <c r="Q87" s="95" t="s">
        <v>359</v>
      </c>
      <c r="T87" s="97"/>
      <c r="U87" s="97"/>
    </row>
    <row r="88" spans="2:21" s="93" customFormat="1" ht="228" x14ac:dyDescent="0.3">
      <c r="B88" s="94" t="s">
        <v>237</v>
      </c>
      <c r="C88" s="95" t="s">
        <v>360</v>
      </c>
      <c r="D88" s="96">
        <v>12000000</v>
      </c>
      <c r="E88" s="96">
        <v>12631578.947368423</v>
      </c>
      <c r="F88" s="96">
        <v>12000000</v>
      </c>
      <c r="G88" s="96">
        <v>12631578.947368423</v>
      </c>
      <c r="H88" s="95" t="s">
        <v>39</v>
      </c>
      <c r="I88" s="94" t="s">
        <v>40</v>
      </c>
      <c r="J88" s="94" t="s">
        <v>41</v>
      </c>
      <c r="K88" s="94" t="s">
        <v>42</v>
      </c>
      <c r="L88" s="94" t="s">
        <v>49</v>
      </c>
      <c r="M88" s="95" t="s">
        <v>193</v>
      </c>
      <c r="N88" s="94" t="s">
        <v>194</v>
      </c>
      <c r="O88" s="95" t="s">
        <v>171</v>
      </c>
      <c r="P88" s="95" t="s">
        <v>171</v>
      </c>
      <c r="Q88" s="95" t="s">
        <v>361</v>
      </c>
      <c r="T88" s="97"/>
      <c r="U88" s="97"/>
    </row>
    <row r="89" spans="2:21" s="93" customFormat="1" ht="192" x14ac:dyDescent="0.3">
      <c r="B89" s="94" t="s">
        <v>237</v>
      </c>
      <c r="C89" s="95" t="s">
        <v>362</v>
      </c>
      <c r="D89" s="96">
        <v>11480000</v>
      </c>
      <c r="E89" s="96">
        <v>12084210.52631579</v>
      </c>
      <c r="F89" s="96">
        <v>11480000</v>
      </c>
      <c r="G89" s="96">
        <v>12084210.52631579</v>
      </c>
      <c r="H89" s="95" t="s">
        <v>39</v>
      </c>
      <c r="I89" s="94" t="s">
        <v>40</v>
      </c>
      <c r="J89" s="94" t="s">
        <v>41</v>
      </c>
      <c r="K89" s="94" t="s">
        <v>42</v>
      </c>
      <c r="L89" s="94" t="s">
        <v>49</v>
      </c>
      <c r="M89" s="95" t="s">
        <v>234</v>
      </c>
      <c r="N89" s="94" t="s">
        <v>235</v>
      </c>
      <c r="O89" s="95" t="s">
        <v>171</v>
      </c>
      <c r="P89" s="95" t="s">
        <v>171</v>
      </c>
      <c r="Q89" s="95" t="s">
        <v>363</v>
      </c>
      <c r="T89" s="97"/>
      <c r="U89" s="97"/>
    </row>
    <row r="90" spans="2:21" s="93" customFormat="1" ht="204" x14ac:dyDescent="0.3">
      <c r="B90" s="94" t="s">
        <v>180</v>
      </c>
      <c r="C90" s="95" t="s">
        <v>364</v>
      </c>
      <c r="D90" s="96">
        <v>11200000</v>
      </c>
      <c r="E90" s="96">
        <v>11789473.684210528</v>
      </c>
      <c r="F90" s="96">
        <v>11200000</v>
      </c>
      <c r="G90" s="96">
        <v>11789473.684210528</v>
      </c>
      <c r="H90" s="95" t="s">
        <v>39</v>
      </c>
      <c r="I90" s="94" t="s">
        <v>40</v>
      </c>
      <c r="J90" s="94" t="s">
        <v>41</v>
      </c>
      <c r="K90" s="94" t="s">
        <v>42</v>
      </c>
      <c r="L90" s="94" t="s">
        <v>49</v>
      </c>
      <c r="M90" s="95" t="s">
        <v>50</v>
      </c>
      <c r="N90" s="94" t="s">
        <v>92</v>
      </c>
      <c r="O90" s="95" t="s">
        <v>171</v>
      </c>
      <c r="P90" s="95" t="s">
        <v>171</v>
      </c>
      <c r="Q90" s="95" t="s">
        <v>365</v>
      </c>
      <c r="T90" s="97"/>
      <c r="U90" s="97"/>
    </row>
    <row r="91" spans="2:21" s="93" customFormat="1" ht="216" x14ac:dyDescent="0.3">
      <c r="B91" s="94" t="s">
        <v>366</v>
      </c>
      <c r="C91" s="95" t="s">
        <v>367</v>
      </c>
      <c r="D91" s="96">
        <v>10800000</v>
      </c>
      <c r="E91" s="96">
        <v>11368421.052631579</v>
      </c>
      <c r="F91" s="96">
        <v>10800000</v>
      </c>
      <c r="G91" s="96">
        <v>11368421.052631579</v>
      </c>
      <c r="H91" s="95" t="s">
        <v>39</v>
      </c>
      <c r="I91" s="94" t="s">
        <v>40</v>
      </c>
      <c r="J91" s="94" t="s">
        <v>41</v>
      </c>
      <c r="K91" s="94" t="s">
        <v>42</v>
      </c>
      <c r="L91" s="94" t="s">
        <v>62</v>
      </c>
      <c r="M91" s="95" t="s">
        <v>63</v>
      </c>
      <c r="N91" s="94" t="s">
        <v>64</v>
      </c>
      <c r="O91" s="95" t="s">
        <v>171</v>
      </c>
      <c r="P91" s="95" t="s">
        <v>171</v>
      </c>
      <c r="Q91" s="95" t="s">
        <v>368</v>
      </c>
      <c r="T91" s="97"/>
      <c r="U91" s="97"/>
    </row>
    <row r="92" spans="2:21" s="93" customFormat="1" ht="204" x14ac:dyDescent="0.3">
      <c r="B92" s="94" t="s">
        <v>340</v>
      </c>
      <c r="C92" s="95" t="s">
        <v>369</v>
      </c>
      <c r="D92" s="96">
        <v>10800000</v>
      </c>
      <c r="E92" s="96">
        <v>11368421.052631579</v>
      </c>
      <c r="F92" s="96">
        <v>10800000</v>
      </c>
      <c r="G92" s="96">
        <v>11368421.052631579</v>
      </c>
      <c r="H92" s="95" t="s">
        <v>39</v>
      </c>
      <c r="I92" s="94" t="s">
        <v>40</v>
      </c>
      <c r="J92" s="94" t="s">
        <v>41</v>
      </c>
      <c r="K92" s="94" t="s">
        <v>42</v>
      </c>
      <c r="L92" s="94" t="s">
        <v>49</v>
      </c>
      <c r="M92" s="95" t="s">
        <v>63</v>
      </c>
      <c r="N92" s="94" t="s">
        <v>64</v>
      </c>
      <c r="O92" s="95" t="s">
        <v>171</v>
      </c>
      <c r="P92" s="95" t="s">
        <v>171</v>
      </c>
      <c r="Q92" s="95" t="s">
        <v>370</v>
      </c>
      <c r="T92" s="97"/>
      <c r="U92" s="97"/>
    </row>
    <row r="93" spans="2:21" s="93" customFormat="1" ht="228" x14ac:dyDescent="0.3">
      <c r="B93" s="94" t="s">
        <v>371</v>
      </c>
      <c r="C93" s="95" t="s">
        <v>372</v>
      </c>
      <c r="D93" s="96">
        <v>10600000</v>
      </c>
      <c r="E93" s="96">
        <v>11157894.736842105</v>
      </c>
      <c r="F93" s="96">
        <v>10600000</v>
      </c>
      <c r="G93" s="96">
        <v>11157894.736842105</v>
      </c>
      <c r="H93" s="95" t="s">
        <v>39</v>
      </c>
      <c r="I93" s="94" t="s">
        <v>40</v>
      </c>
      <c r="J93" s="94" t="s">
        <v>41</v>
      </c>
      <c r="K93" s="94" t="s">
        <v>42</v>
      </c>
      <c r="L93" s="94" t="s">
        <v>43</v>
      </c>
      <c r="M93" s="95" t="s">
        <v>44</v>
      </c>
      <c r="N93" s="94" t="s">
        <v>45</v>
      </c>
      <c r="O93" s="95" t="s">
        <v>171</v>
      </c>
      <c r="P93" s="95" t="s">
        <v>171</v>
      </c>
      <c r="Q93" s="95" t="s">
        <v>373</v>
      </c>
      <c r="T93" s="97"/>
      <c r="U93" s="97"/>
    </row>
    <row r="94" spans="2:21" s="93" customFormat="1" ht="192" x14ac:dyDescent="0.3">
      <c r="B94" s="94" t="s">
        <v>374</v>
      </c>
      <c r="C94" s="95" t="s">
        <v>375</v>
      </c>
      <c r="D94" s="96">
        <v>10500000</v>
      </c>
      <c r="E94" s="96">
        <v>11052631.578947369</v>
      </c>
      <c r="F94" s="96">
        <v>10500000</v>
      </c>
      <c r="G94" s="96">
        <v>11052631.578947369</v>
      </c>
      <c r="H94" s="95" t="s">
        <v>39</v>
      </c>
      <c r="I94" s="94" t="s">
        <v>40</v>
      </c>
      <c r="J94" s="94" t="s">
        <v>41</v>
      </c>
      <c r="K94" s="94" t="s">
        <v>42</v>
      </c>
      <c r="L94" s="94" t="s">
        <v>49</v>
      </c>
      <c r="M94" s="95" t="s">
        <v>85</v>
      </c>
      <c r="N94" s="94" t="s">
        <v>86</v>
      </c>
      <c r="O94" s="95" t="s">
        <v>171</v>
      </c>
      <c r="P94" s="95" t="s">
        <v>171</v>
      </c>
      <c r="Q94" s="95" t="s">
        <v>376</v>
      </c>
      <c r="T94" s="97"/>
      <c r="U94" s="97"/>
    </row>
    <row r="95" spans="2:21" s="93" customFormat="1" ht="228" x14ac:dyDescent="0.3">
      <c r="B95" s="94" t="s">
        <v>265</v>
      </c>
      <c r="C95" s="95" t="s">
        <v>377</v>
      </c>
      <c r="D95" s="96">
        <v>10500000</v>
      </c>
      <c r="E95" s="96">
        <v>11052631.578947369</v>
      </c>
      <c r="F95" s="96">
        <v>10500000</v>
      </c>
      <c r="G95" s="96">
        <v>11052631.578947369</v>
      </c>
      <c r="H95" s="95" t="s">
        <v>39</v>
      </c>
      <c r="I95" s="94" t="s">
        <v>40</v>
      </c>
      <c r="J95" s="94" t="s">
        <v>41</v>
      </c>
      <c r="K95" s="94" t="s">
        <v>42</v>
      </c>
      <c r="L95" s="94" t="s">
        <v>43</v>
      </c>
      <c r="M95" s="95" t="s">
        <v>193</v>
      </c>
      <c r="N95" s="94" t="s">
        <v>194</v>
      </c>
      <c r="O95" s="95" t="s">
        <v>171</v>
      </c>
      <c r="P95" s="95" t="s">
        <v>171</v>
      </c>
      <c r="Q95" s="95" t="s">
        <v>378</v>
      </c>
      <c r="T95" s="97"/>
      <c r="U95" s="97"/>
    </row>
    <row r="96" spans="2:21" s="93" customFormat="1" ht="228" x14ac:dyDescent="0.3">
      <c r="B96" s="94" t="s">
        <v>169</v>
      </c>
      <c r="C96" s="95" t="s">
        <v>379</v>
      </c>
      <c r="D96" s="96">
        <v>10000000</v>
      </c>
      <c r="E96" s="96">
        <v>10526315.789473685</v>
      </c>
      <c r="F96" s="96">
        <v>10000000</v>
      </c>
      <c r="G96" s="96">
        <v>10526315.789473685</v>
      </c>
      <c r="H96" s="95" t="s">
        <v>39</v>
      </c>
      <c r="I96" s="94" t="s">
        <v>40</v>
      </c>
      <c r="J96" s="94" t="s">
        <v>41</v>
      </c>
      <c r="K96" s="94" t="s">
        <v>42</v>
      </c>
      <c r="L96" s="94" t="s">
        <v>43</v>
      </c>
      <c r="M96" s="95" t="s">
        <v>54</v>
      </c>
      <c r="N96" s="94" t="s">
        <v>55</v>
      </c>
      <c r="O96" s="95" t="s">
        <v>171</v>
      </c>
      <c r="P96" s="95" t="s">
        <v>171</v>
      </c>
      <c r="Q96" s="95" t="s">
        <v>380</v>
      </c>
      <c r="T96" s="97"/>
      <c r="U96" s="97"/>
    </row>
    <row r="97" spans="2:21" s="93" customFormat="1" ht="192" x14ac:dyDescent="0.3">
      <c r="B97" s="94" t="s">
        <v>381</v>
      </c>
      <c r="C97" s="95" t="s">
        <v>382</v>
      </c>
      <c r="D97" s="96">
        <v>10000000</v>
      </c>
      <c r="E97" s="96">
        <v>10526315.789473685</v>
      </c>
      <c r="F97" s="96">
        <v>10000000</v>
      </c>
      <c r="G97" s="96">
        <v>10526315.789473685</v>
      </c>
      <c r="H97" s="95" t="s">
        <v>39</v>
      </c>
      <c r="I97" s="94" t="s">
        <v>40</v>
      </c>
      <c r="J97" s="94" t="s">
        <v>41</v>
      </c>
      <c r="K97" s="94" t="s">
        <v>42</v>
      </c>
      <c r="L97" s="94" t="s">
        <v>43</v>
      </c>
      <c r="M97" s="95" t="s">
        <v>193</v>
      </c>
      <c r="N97" s="94" t="s">
        <v>194</v>
      </c>
      <c r="O97" s="95" t="s">
        <v>171</v>
      </c>
      <c r="P97" s="95" t="s">
        <v>171</v>
      </c>
      <c r="Q97" s="95" t="s">
        <v>383</v>
      </c>
      <c r="T97" s="97"/>
      <c r="U97" s="97"/>
    </row>
    <row r="98" spans="2:21" s="93" customFormat="1" ht="180" x14ac:dyDescent="0.3">
      <c r="B98" s="94" t="s">
        <v>169</v>
      </c>
      <c r="C98" s="95" t="s">
        <v>384</v>
      </c>
      <c r="D98" s="96">
        <v>10000000</v>
      </c>
      <c r="E98" s="96">
        <v>10526315.789473685</v>
      </c>
      <c r="F98" s="96">
        <v>10000000</v>
      </c>
      <c r="G98" s="96">
        <v>10526315.789473685</v>
      </c>
      <c r="H98" s="95" t="s">
        <v>39</v>
      </c>
      <c r="I98" s="94" t="s">
        <v>40</v>
      </c>
      <c r="J98" s="94" t="s">
        <v>41</v>
      </c>
      <c r="K98" s="94" t="s">
        <v>42</v>
      </c>
      <c r="L98" s="94" t="s">
        <v>43</v>
      </c>
      <c r="M98" s="95" t="s">
        <v>193</v>
      </c>
      <c r="N98" s="94" t="s">
        <v>194</v>
      </c>
      <c r="O98" s="95" t="s">
        <v>171</v>
      </c>
      <c r="P98" s="95" t="s">
        <v>171</v>
      </c>
      <c r="Q98" s="95" t="s">
        <v>385</v>
      </c>
      <c r="T98" s="97"/>
      <c r="U98" s="97"/>
    </row>
    <row r="99" spans="2:21" s="93" customFormat="1" ht="216" x14ac:dyDescent="0.3">
      <c r="B99" s="94" t="s">
        <v>169</v>
      </c>
      <c r="C99" s="95" t="s">
        <v>386</v>
      </c>
      <c r="D99" s="96">
        <v>10000000</v>
      </c>
      <c r="E99" s="96">
        <v>10526315.789473685</v>
      </c>
      <c r="F99" s="96">
        <v>10000000</v>
      </c>
      <c r="G99" s="96">
        <v>10526315.789473685</v>
      </c>
      <c r="H99" s="95" t="s">
        <v>39</v>
      </c>
      <c r="I99" s="94" t="s">
        <v>40</v>
      </c>
      <c r="J99" s="94" t="s">
        <v>41</v>
      </c>
      <c r="K99" s="94" t="s">
        <v>42</v>
      </c>
      <c r="L99" s="94" t="s">
        <v>49</v>
      </c>
      <c r="M99" s="95" t="s">
        <v>50</v>
      </c>
      <c r="N99" s="94" t="s">
        <v>90</v>
      </c>
      <c r="O99" s="95" t="s">
        <v>171</v>
      </c>
      <c r="P99" s="95" t="s">
        <v>171</v>
      </c>
      <c r="Q99" s="95" t="s">
        <v>387</v>
      </c>
      <c r="T99" s="97"/>
      <c r="U99" s="97"/>
    </row>
    <row r="100" spans="2:21" s="93" customFormat="1" ht="204" x14ac:dyDescent="0.3">
      <c r="B100" s="94" t="s">
        <v>388</v>
      </c>
      <c r="C100" s="95" t="s">
        <v>389</v>
      </c>
      <c r="D100" s="96">
        <v>10000000</v>
      </c>
      <c r="E100" s="96">
        <v>10526315.789473685</v>
      </c>
      <c r="F100" s="96">
        <v>10000000</v>
      </c>
      <c r="G100" s="96">
        <v>10526315.789473685</v>
      </c>
      <c r="H100" s="95" t="s">
        <v>39</v>
      </c>
      <c r="I100" s="94" t="s">
        <v>40</v>
      </c>
      <c r="J100" s="94" t="s">
        <v>41</v>
      </c>
      <c r="K100" s="94" t="s">
        <v>42</v>
      </c>
      <c r="L100" s="94" t="s">
        <v>62</v>
      </c>
      <c r="M100" s="95" t="s">
        <v>63</v>
      </c>
      <c r="N100" s="94" t="s">
        <v>64</v>
      </c>
      <c r="O100" s="95" t="s">
        <v>171</v>
      </c>
      <c r="P100" s="95" t="s">
        <v>171</v>
      </c>
      <c r="Q100" s="95" t="s">
        <v>390</v>
      </c>
      <c r="T100" s="97"/>
      <c r="U100" s="97"/>
    </row>
    <row r="101" spans="2:21" s="93" customFormat="1" ht="180" x14ac:dyDescent="0.3">
      <c r="B101" s="94" t="s">
        <v>391</v>
      </c>
      <c r="C101" s="95" t="s">
        <v>392</v>
      </c>
      <c r="D101" s="96">
        <v>10000000</v>
      </c>
      <c r="E101" s="96">
        <v>10526315.789473685</v>
      </c>
      <c r="F101" s="96">
        <v>10000000</v>
      </c>
      <c r="G101" s="96">
        <v>10526315.789473685</v>
      </c>
      <c r="H101" s="95" t="s">
        <v>39</v>
      </c>
      <c r="I101" s="94" t="s">
        <v>40</v>
      </c>
      <c r="J101" s="94" t="s">
        <v>41</v>
      </c>
      <c r="K101" s="94" t="s">
        <v>42</v>
      </c>
      <c r="L101" s="94" t="s">
        <v>62</v>
      </c>
      <c r="M101" s="95" t="s">
        <v>49</v>
      </c>
      <c r="N101" s="94" t="s">
        <v>82</v>
      </c>
      <c r="O101" s="95" t="s">
        <v>171</v>
      </c>
      <c r="P101" s="95" t="s">
        <v>171</v>
      </c>
      <c r="Q101" s="95" t="s">
        <v>393</v>
      </c>
      <c r="T101" s="97"/>
      <c r="U101" s="97"/>
    </row>
    <row r="102" spans="2:21" s="93" customFormat="1" ht="240" x14ac:dyDescent="0.3">
      <c r="B102" s="94" t="s">
        <v>169</v>
      </c>
      <c r="C102" s="95" t="s">
        <v>394</v>
      </c>
      <c r="D102" s="96">
        <v>10000000</v>
      </c>
      <c r="E102" s="96">
        <v>10526315.789473685</v>
      </c>
      <c r="F102" s="96">
        <v>10000000</v>
      </c>
      <c r="G102" s="96">
        <v>10526315.789473685</v>
      </c>
      <c r="H102" s="95" t="s">
        <v>39</v>
      </c>
      <c r="I102" s="94" t="s">
        <v>40</v>
      </c>
      <c r="J102" s="94" t="s">
        <v>41</v>
      </c>
      <c r="K102" s="94" t="s">
        <v>42</v>
      </c>
      <c r="L102" s="94" t="s">
        <v>62</v>
      </c>
      <c r="M102" s="95" t="s">
        <v>50</v>
      </c>
      <c r="N102" s="94" t="s">
        <v>221</v>
      </c>
      <c r="O102" s="95" t="s">
        <v>171</v>
      </c>
      <c r="P102" s="95" t="s">
        <v>171</v>
      </c>
      <c r="Q102" s="95" t="s">
        <v>395</v>
      </c>
      <c r="T102" s="97"/>
      <c r="U102" s="97"/>
    </row>
    <row r="103" spans="2:21" s="93" customFormat="1" ht="84" x14ac:dyDescent="0.3">
      <c r="B103" s="94" t="s">
        <v>201</v>
      </c>
      <c r="C103" s="95" t="s">
        <v>396</v>
      </c>
      <c r="D103" s="96">
        <v>10000000</v>
      </c>
      <c r="E103" s="96">
        <v>10526315.789473685</v>
      </c>
      <c r="F103" s="96">
        <v>10000000</v>
      </c>
      <c r="G103" s="96">
        <v>10526315.789473685</v>
      </c>
      <c r="H103" s="95" t="s">
        <v>39</v>
      </c>
      <c r="I103" s="94" t="s">
        <v>40</v>
      </c>
      <c r="J103" s="94" t="s">
        <v>41</v>
      </c>
      <c r="K103" s="94" t="s">
        <v>42</v>
      </c>
      <c r="L103" s="94" t="s">
        <v>62</v>
      </c>
      <c r="M103" s="95" t="s">
        <v>63</v>
      </c>
      <c r="N103" s="94" t="s">
        <v>64</v>
      </c>
      <c r="O103" s="95" t="s">
        <v>171</v>
      </c>
      <c r="P103" s="95" t="s">
        <v>171</v>
      </c>
      <c r="Q103" s="95" t="s">
        <v>397</v>
      </c>
      <c r="T103" s="97"/>
      <c r="U103" s="97"/>
    </row>
    <row r="104" spans="2:21" s="93" customFormat="1" ht="204" x14ac:dyDescent="0.3">
      <c r="B104" s="94" t="s">
        <v>398</v>
      </c>
      <c r="C104" s="95" t="s">
        <v>399</v>
      </c>
      <c r="D104" s="96">
        <v>10000000</v>
      </c>
      <c r="E104" s="96">
        <v>10526315.789473685</v>
      </c>
      <c r="F104" s="96">
        <v>10000000</v>
      </c>
      <c r="G104" s="96">
        <v>10526315.789473685</v>
      </c>
      <c r="H104" s="95" t="s">
        <v>39</v>
      </c>
      <c r="I104" s="94" t="s">
        <v>40</v>
      </c>
      <c r="J104" s="94" t="s">
        <v>41</v>
      </c>
      <c r="K104" s="94" t="s">
        <v>42</v>
      </c>
      <c r="L104" s="94" t="s">
        <v>49</v>
      </c>
      <c r="M104" s="95" t="s">
        <v>50</v>
      </c>
      <c r="N104" s="94" t="s">
        <v>90</v>
      </c>
      <c r="O104" s="95" t="s">
        <v>171</v>
      </c>
      <c r="P104" s="95" t="s">
        <v>171</v>
      </c>
      <c r="Q104" s="95" t="s">
        <v>400</v>
      </c>
      <c r="T104" s="97"/>
      <c r="U104" s="97"/>
    </row>
    <row r="105" spans="2:21" s="93" customFormat="1" ht="108" x14ac:dyDescent="0.3">
      <c r="B105" s="94" t="s">
        <v>246</v>
      </c>
      <c r="C105" s="95" t="s">
        <v>310</v>
      </c>
      <c r="D105" s="96">
        <v>10000000</v>
      </c>
      <c r="E105" s="96">
        <v>10526315.789473685</v>
      </c>
      <c r="F105" s="96">
        <v>10000000</v>
      </c>
      <c r="G105" s="96">
        <v>10526315.789473685</v>
      </c>
      <c r="H105" s="95" t="s">
        <v>39</v>
      </c>
      <c r="I105" s="94" t="s">
        <v>40</v>
      </c>
      <c r="J105" s="94" t="s">
        <v>41</v>
      </c>
      <c r="K105" s="94" t="s">
        <v>42</v>
      </c>
      <c r="L105" s="94" t="s">
        <v>49</v>
      </c>
      <c r="M105" s="95" t="s">
        <v>63</v>
      </c>
      <c r="N105" s="94" t="s">
        <v>64</v>
      </c>
      <c r="O105" s="95" t="s">
        <v>171</v>
      </c>
      <c r="P105" s="95" t="s">
        <v>171</v>
      </c>
      <c r="Q105" s="95" t="s">
        <v>311</v>
      </c>
      <c r="T105" s="97"/>
      <c r="U105" s="97"/>
    </row>
    <row r="106" spans="2:21" s="93" customFormat="1" ht="216" x14ac:dyDescent="0.3">
      <c r="B106" s="94" t="s">
        <v>344</v>
      </c>
      <c r="C106" s="95" t="s">
        <v>401</v>
      </c>
      <c r="D106" s="96">
        <v>9600000</v>
      </c>
      <c r="E106" s="96">
        <v>10105263.157894738</v>
      </c>
      <c r="F106" s="96">
        <v>9600000</v>
      </c>
      <c r="G106" s="96">
        <v>10105263.157894738</v>
      </c>
      <c r="H106" s="95" t="s">
        <v>39</v>
      </c>
      <c r="I106" s="94" t="s">
        <v>40</v>
      </c>
      <c r="J106" s="94" t="s">
        <v>41</v>
      </c>
      <c r="K106" s="94" t="s">
        <v>42</v>
      </c>
      <c r="L106" s="94" t="s">
        <v>49</v>
      </c>
      <c r="M106" s="95" t="s">
        <v>50</v>
      </c>
      <c r="N106" s="94" t="s">
        <v>221</v>
      </c>
      <c r="O106" s="95" t="s">
        <v>171</v>
      </c>
      <c r="P106" s="95" t="s">
        <v>171</v>
      </c>
      <c r="Q106" s="95" t="s">
        <v>402</v>
      </c>
      <c r="T106" s="97"/>
      <c r="U106" s="97"/>
    </row>
    <row r="107" spans="2:21" s="93" customFormat="1" ht="228" x14ac:dyDescent="0.3">
      <c r="B107" s="94" t="s">
        <v>169</v>
      </c>
      <c r="C107" s="95" t="s">
        <v>403</v>
      </c>
      <c r="D107" s="96">
        <v>9230300</v>
      </c>
      <c r="E107" s="96">
        <v>9716105.2631578948</v>
      </c>
      <c r="F107" s="96">
        <v>9230300</v>
      </c>
      <c r="G107" s="96">
        <v>9716105.2631578948</v>
      </c>
      <c r="H107" s="95" t="s">
        <v>39</v>
      </c>
      <c r="I107" s="94" t="s">
        <v>40</v>
      </c>
      <c r="J107" s="94" t="s">
        <v>41</v>
      </c>
      <c r="K107" s="94" t="s">
        <v>42</v>
      </c>
      <c r="L107" s="94" t="s">
        <v>49</v>
      </c>
      <c r="M107" s="95" t="s">
        <v>50</v>
      </c>
      <c r="N107" s="94" t="s">
        <v>90</v>
      </c>
      <c r="O107" s="95" t="s">
        <v>171</v>
      </c>
      <c r="P107" s="95" t="s">
        <v>171</v>
      </c>
      <c r="Q107" s="95" t="s">
        <v>404</v>
      </c>
      <c r="T107" s="97"/>
      <c r="U107" s="97"/>
    </row>
    <row r="108" spans="2:21" s="93" customFormat="1" ht="216" x14ac:dyDescent="0.3">
      <c r="B108" s="94" t="s">
        <v>405</v>
      </c>
      <c r="C108" s="95" t="s">
        <v>406</v>
      </c>
      <c r="D108" s="96">
        <v>9000000</v>
      </c>
      <c r="E108" s="96">
        <v>9473684.2105263155</v>
      </c>
      <c r="F108" s="96">
        <v>9000000</v>
      </c>
      <c r="G108" s="96">
        <v>9473684.2105263155</v>
      </c>
      <c r="H108" s="95" t="s">
        <v>39</v>
      </c>
      <c r="I108" s="94" t="s">
        <v>40</v>
      </c>
      <c r="J108" s="94" t="s">
        <v>41</v>
      </c>
      <c r="K108" s="94" t="s">
        <v>42</v>
      </c>
      <c r="L108" s="94" t="s">
        <v>43</v>
      </c>
      <c r="M108" s="95" t="s">
        <v>193</v>
      </c>
      <c r="N108" s="94" t="s">
        <v>194</v>
      </c>
      <c r="O108" s="95" t="s">
        <v>171</v>
      </c>
      <c r="P108" s="95" t="s">
        <v>171</v>
      </c>
      <c r="Q108" s="95" t="s">
        <v>407</v>
      </c>
      <c r="T108" s="97"/>
      <c r="U108" s="97"/>
    </row>
    <row r="109" spans="2:21" s="93" customFormat="1" ht="228" x14ac:dyDescent="0.3">
      <c r="B109" s="94" t="s">
        <v>169</v>
      </c>
      <c r="C109" s="95" t="s">
        <v>408</v>
      </c>
      <c r="D109" s="96">
        <v>8800000</v>
      </c>
      <c r="E109" s="96">
        <v>9263157.8947368432</v>
      </c>
      <c r="F109" s="96">
        <v>8800000</v>
      </c>
      <c r="G109" s="96">
        <v>9263157.8947368432</v>
      </c>
      <c r="H109" s="95" t="s">
        <v>39</v>
      </c>
      <c r="I109" s="94" t="s">
        <v>40</v>
      </c>
      <c r="J109" s="94" t="s">
        <v>41</v>
      </c>
      <c r="K109" s="94" t="s">
        <v>42</v>
      </c>
      <c r="L109" s="94" t="s">
        <v>43</v>
      </c>
      <c r="M109" s="95" t="s">
        <v>50</v>
      </c>
      <c r="N109" s="94" t="s">
        <v>88</v>
      </c>
      <c r="O109" s="95" t="s">
        <v>171</v>
      </c>
      <c r="P109" s="95" t="s">
        <v>171</v>
      </c>
      <c r="Q109" s="95" t="s">
        <v>409</v>
      </c>
      <c r="T109" s="97"/>
      <c r="U109" s="97"/>
    </row>
    <row r="110" spans="2:21" s="93" customFormat="1" ht="216" x14ac:dyDescent="0.3">
      <c r="B110" s="94" t="s">
        <v>410</v>
      </c>
      <c r="C110" s="95" t="s">
        <v>411</v>
      </c>
      <c r="D110" s="96">
        <v>8400000</v>
      </c>
      <c r="E110" s="96">
        <v>8842105.2631578948</v>
      </c>
      <c r="F110" s="96">
        <v>8400000</v>
      </c>
      <c r="G110" s="96">
        <v>8842105.2631578948</v>
      </c>
      <c r="H110" s="95" t="s">
        <v>39</v>
      </c>
      <c r="I110" s="94" t="s">
        <v>40</v>
      </c>
      <c r="J110" s="94" t="s">
        <v>41</v>
      </c>
      <c r="K110" s="94" t="s">
        <v>42</v>
      </c>
      <c r="L110" s="94" t="s">
        <v>49</v>
      </c>
      <c r="M110" s="95" t="s">
        <v>44</v>
      </c>
      <c r="N110" s="94" t="s">
        <v>45</v>
      </c>
      <c r="O110" s="95" t="s">
        <v>171</v>
      </c>
      <c r="P110" s="95" t="s">
        <v>171</v>
      </c>
      <c r="Q110" s="95" t="s">
        <v>412</v>
      </c>
      <c r="T110" s="97"/>
      <c r="U110" s="97"/>
    </row>
    <row r="111" spans="2:21" s="93" customFormat="1" ht="96" x14ac:dyDescent="0.3">
      <c r="B111" s="94" t="s">
        <v>237</v>
      </c>
      <c r="C111" s="95" t="s">
        <v>413</v>
      </c>
      <c r="D111" s="96">
        <v>8000000</v>
      </c>
      <c r="E111" s="96">
        <v>8421052.6315789483</v>
      </c>
      <c r="F111" s="96">
        <v>8000000</v>
      </c>
      <c r="G111" s="96">
        <v>8421052.6315789483</v>
      </c>
      <c r="H111" s="95" t="s">
        <v>39</v>
      </c>
      <c r="I111" s="94" t="s">
        <v>40</v>
      </c>
      <c r="J111" s="94" t="s">
        <v>41</v>
      </c>
      <c r="K111" s="94" t="s">
        <v>42</v>
      </c>
      <c r="L111" s="94" t="s">
        <v>62</v>
      </c>
      <c r="M111" s="95" t="s">
        <v>63</v>
      </c>
      <c r="N111" s="94" t="s">
        <v>64</v>
      </c>
      <c r="O111" s="95" t="s">
        <v>171</v>
      </c>
      <c r="P111" s="95" t="s">
        <v>171</v>
      </c>
      <c r="Q111" s="95" t="s">
        <v>414</v>
      </c>
      <c r="T111" s="97"/>
      <c r="U111" s="97"/>
    </row>
    <row r="112" spans="2:21" s="93" customFormat="1" ht="228" x14ac:dyDescent="0.3">
      <c r="B112" s="94" t="s">
        <v>415</v>
      </c>
      <c r="C112" s="95" t="s">
        <v>416</v>
      </c>
      <c r="D112" s="96">
        <v>8000000</v>
      </c>
      <c r="E112" s="96">
        <v>8421052.6315789483</v>
      </c>
      <c r="F112" s="96">
        <v>8000000</v>
      </c>
      <c r="G112" s="96">
        <v>8421052.6315789483</v>
      </c>
      <c r="H112" s="95" t="s">
        <v>39</v>
      </c>
      <c r="I112" s="94" t="s">
        <v>40</v>
      </c>
      <c r="J112" s="94" t="s">
        <v>41</v>
      </c>
      <c r="K112" s="94" t="s">
        <v>42</v>
      </c>
      <c r="L112" s="94" t="s">
        <v>62</v>
      </c>
      <c r="M112" s="95" t="s">
        <v>50</v>
      </c>
      <c r="N112" s="94" t="s">
        <v>88</v>
      </c>
      <c r="O112" s="95" t="s">
        <v>171</v>
      </c>
      <c r="P112" s="95" t="s">
        <v>171</v>
      </c>
      <c r="Q112" s="95" t="s">
        <v>417</v>
      </c>
      <c r="T112" s="97"/>
      <c r="U112" s="97"/>
    </row>
    <row r="113" spans="2:21" s="93" customFormat="1" ht="108" x14ac:dyDescent="0.3">
      <c r="B113" s="94" t="s">
        <v>246</v>
      </c>
      <c r="C113" s="95" t="s">
        <v>310</v>
      </c>
      <c r="D113" s="96">
        <v>8000000</v>
      </c>
      <c r="E113" s="96">
        <v>8421052.6315789483</v>
      </c>
      <c r="F113" s="96">
        <v>8000000</v>
      </c>
      <c r="G113" s="96">
        <v>8421052.6315789483</v>
      </c>
      <c r="H113" s="95" t="s">
        <v>39</v>
      </c>
      <c r="I113" s="94" t="s">
        <v>40</v>
      </c>
      <c r="J113" s="94" t="s">
        <v>41</v>
      </c>
      <c r="K113" s="94" t="s">
        <v>42</v>
      </c>
      <c r="L113" s="94" t="s">
        <v>49</v>
      </c>
      <c r="M113" s="95" t="s">
        <v>63</v>
      </c>
      <c r="N113" s="94" t="s">
        <v>64</v>
      </c>
      <c r="O113" s="95" t="s">
        <v>171</v>
      </c>
      <c r="P113" s="95" t="s">
        <v>171</v>
      </c>
      <c r="Q113" s="95" t="s">
        <v>311</v>
      </c>
      <c r="T113" s="97"/>
      <c r="U113" s="97"/>
    </row>
    <row r="114" spans="2:21" s="93" customFormat="1" ht="228" x14ac:dyDescent="0.3">
      <c r="B114" s="94" t="s">
        <v>169</v>
      </c>
      <c r="C114" s="95" t="s">
        <v>418</v>
      </c>
      <c r="D114" s="96">
        <v>8000000</v>
      </c>
      <c r="E114" s="96">
        <v>8421052.6315789483</v>
      </c>
      <c r="F114" s="96">
        <v>8000000</v>
      </c>
      <c r="G114" s="96">
        <v>8421052.6315789483</v>
      </c>
      <c r="H114" s="95" t="s">
        <v>39</v>
      </c>
      <c r="I114" s="94" t="s">
        <v>40</v>
      </c>
      <c r="J114" s="94" t="s">
        <v>41</v>
      </c>
      <c r="K114" s="94" t="s">
        <v>42</v>
      </c>
      <c r="L114" s="94" t="s">
        <v>43</v>
      </c>
      <c r="M114" s="95" t="s">
        <v>50</v>
      </c>
      <c r="N114" s="94" t="s">
        <v>88</v>
      </c>
      <c r="O114" s="95" t="s">
        <v>171</v>
      </c>
      <c r="P114" s="95" t="s">
        <v>171</v>
      </c>
      <c r="Q114" s="95" t="s">
        <v>419</v>
      </c>
      <c r="T114" s="97"/>
      <c r="U114" s="97"/>
    </row>
    <row r="115" spans="2:21" s="93" customFormat="1" ht="96" x14ac:dyDescent="0.3">
      <c r="B115" s="94" t="s">
        <v>219</v>
      </c>
      <c r="C115" s="95" t="s">
        <v>413</v>
      </c>
      <c r="D115" s="96">
        <v>8000000</v>
      </c>
      <c r="E115" s="96">
        <v>8421052.6315789483</v>
      </c>
      <c r="F115" s="96">
        <v>8000000</v>
      </c>
      <c r="G115" s="96">
        <v>8421052.6315789483</v>
      </c>
      <c r="H115" s="95" t="s">
        <v>39</v>
      </c>
      <c r="I115" s="94" t="s">
        <v>40</v>
      </c>
      <c r="J115" s="94" t="s">
        <v>41</v>
      </c>
      <c r="K115" s="94" t="s">
        <v>42</v>
      </c>
      <c r="L115" s="94" t="s">
        <v>62</v>
      </c>
      <c r="M115" s="95" t="s">
        <v>63</v>
      </c>
      <c r="N115" s="94" t="s">
        <v>64</v>
      </c>
      <c r="O115" s="95" t="s">
        <v>171</v>
      </c>
      <c r="P115" s="95" t="s">
        <v>171</v>
      </c>
      <c r="Q115" s="95" t="s">
        <v>420</v>
      </c>
      <c r="T115" s="97"/>
      <c r="U115" s="97"/>
    </row>
    <row r="116" spans="2:21" s="93" customFormat="1" ht="108" x14ac:dyDescent="0.3">
      <c r="B116" s="94" t="s">
        <v>291</v>
      </c>
      <c r="C116" s="95" t="s">
        <v>421</v>
      </c>
      <c r="D116" s="96">
        <v>8000000</v>
      </c>
      <c r="E116" s="96">
        <v>8421052.6315789483</v>
      </c>
      <c r="F116" s="96">
        <v>8000000</v>
      </c>
      <c r="G116" s="96">
        <v>8421052.6315789483</v>
      </c>
      <c r="H116" s="95" t="s">
        <v>39</v>
      </c>
      <c r="I116" s="94" t="s">
        <v>40</v>
      </c>
      <c r="J116" s="94" t="s">
        <v>41</v>
      </c>
      <c r="K116" s="94" t="s">
        <v>42</v>
      </c>
      <c r="L116" s="94" t="s">
        <v>62</v>
      </c>
      <c r="M116" s="95" t="s">
        <v>63</v>
      </c>
      <c r="N116" s="94" t="s">
        <v>64</v>
      </c>
      <c r="O116" s="95" t="s">
        <v>171</v>
      </c>
      <c r="P116" s="95" t="s">
        <v>171</v>
      </c>
      <c r="Q116" s="95" t="s">
        <v>422</v>
      </c>
      <c r="T116" s="97"/>
      <c r="U116" s="97"/>
    </row>
    <row r="117" spans="2:21" s="93" customFormat="1" ht="228" x14ac:dyDescent="0.3">
      <c r="B117" s="94" t="s">
        <v>294</v>
      </c>
      <c r="C117" s="95" t="s">
        <v>423</v>
      </c>
      <c r="D117" s="96">
        <v>8000000</v>
      </c>
      <c r="E117" s="96">
        <v>8421052.6315789483</v>
      </c>
      <c r="F117" s="96">
        <v>8000000</v>
      </c>
      <c r="G117" s="96">
        <v>8421052.6315789483</v>
      </c>
      <c r="H117" s="95" t="s">
        <v>39</v>
      </c>
      <c r="I117" s="94" t="s">
        <v>40</v>
      </c>
      <c r="J117" s="94" t="s">
        <v>41</v>
      </c>
      <c r="K117" s="94" t="s">
        <v>42</v>
      </c>
      <c r="L117" s="94" t="s">
        <v>62</v>
      </c>
      <c r="M117" s="95" t="s">
        <v>193</v>
      </c>
      <c r="N117" s="94" t="s">
        <v>194</v>
      </c>
      <c r="O117" s="95" t="s">
        <v>171</v>
      </c>
      <c r="P117" s="95" t="s">
        <v>171</v>
      </c>
      <c r="Q117" s="95" t="s">
        <v>424</v>
      </c>
      <c r="T117" s="97"/>
      <c r="U117" s="97"/>
    </row>
    <row r="118" spans="2:21" s="93" customFormat="1" ht="216" x14ac:dyDescent="0.3">
      <c r="B118" s="94" t="s">
        <v>425</v>
      </c>
      <c r="C118" s="95" t="s">
        <v>426</v>
      </c>
      <c r="D118" s="96">
        <v>8000000</v>
      </c>
      <c r="E118" s="96">
        <v>8421052.6315789483</v>
      </c>
      <c r="F118" s="96">
        <v>8000000</v>
      </c>
      <c r="G118" s="96">
        <v>8421052.6315789483</v>
      </c>
      <c r="H118" s="95" t="s">
        <v>39</v>
      </c>
      <c r="I118" s="94" t="s">
        <v>40</v>
      </c>
      <c r="J118" s="94" t="s">
        <v>41</v>
      </c>
      <c r="K118" s="94" t="s">
        <v>42</v>
      </c>
      <c r="L118" s="94" t="s">
        <v>43</v>
      </c>
      <c r="M118" s="95" t="s">
        <v>54</v>
      </c>
      <c r="N118" s="94" t="s">
        <v>55</v>
      </c>
      <c r="O118" s="95" t="s">
        <v>171</v>
      </c>
      <c r="P118" s="95" t="s">
        <v>171</v>
      </c>
      <c r="Q118" s="95" t="s">
        <v>427</v>
      </c>
      <c r="T118" s="97"/>
      <c r="U118" s="97"/>
    </row>
    <row r="119" spans="2:21" s="93" customFormat="1" ht="216" x14ac:dyDescent="0.3">
      <c r="B119" s="94" t="s">
        <v>428</v>
      </c>
      <c r="C119" s="95" t="s">
        <v>429</v>
      </c>
      <c r="D119" s="96">
        <v>8000000</v>
      </c>
      <c r="E119" s="96">
        <v>8421052.6315789483</v>
      </c>
      <c r="F119" s="96">
        <v>8000000</v>
      </c>
      <c r="G119" s="96">
        <v>8421052.6315789483</v>
      </c>
      <c r="H119" s="95" t="s">
        <v>39</v>
      </c>
      <c r="I119" s="94" t="s">
        <v>40</v>
      </c>
      <c r="J119" s="94" t="s">
        <v>41</v>
      </c>
      <c r="K119" s="94" t="s">
        <v>42</v>
      </c>
      <c r="L119" s="94" t="s">
        <v>62</v>
      </c>
      <c r="M119" s="95" t="s">
        <v>63</v>
      </c>
      <c r="N119" s="94" t="s">
        <v>64</v>
      </c>
      <c r="O119" s="95" t="s">
        <v>171</v>
      </c>
      <c r="P119" s="95" t="s">
        <v>171</v>
      </c>
      <c r="Q119" s="95" t="s">
        <v>430</v>
      </c>
      <c r="T119" s="97"/>
      <c r="U119" s="97"/>
    </row>
    <row r="120" spans="2:21" s="93" customFormat="1" ht="228" x14ac:dyDescent="0.3">
      <c r="B120" s="94" t="s">
        <v>431</v>
      </c>
      <c r="C120" s="95" t="s">
        <v>432</v>
      </c>
      <c r="D120" s="96">
        <v>8000000</v>
      </c>
      <c r="E120" s="96">
        <v>8421052.6315789483</v>
      </c>
      <c r="F120" s="96">
        <v>8000000</v>
      </c>
      <c r="G120" s="96">
        <v>8421052.6315789483</v>
      </c>
      <c r="H120" s="95" t="s">
        <v>39</v>
      </c>
      <c r="I120" s="94" t="s">
        <v>40</v>
      </c>
      <c r="J120" s="94" t="s">
        <v>41</v>
      </c>
      <c r="K120" s="94" t="s">
        <v>42</v>
      </c>
      <c r="L120" s="94" t="s">
        <v>49</v>
      </c>
      <c r="M120" s="95" t="s">
        <v>50</v>
      </c>
      <c r="N120" s="94" t="s">
        <v>92</v>
      </c>
      <c r="O120" s="95" t="s">
        <v>171</v>
      </c>
      <c r="P120" s="95" t="s">
        <v>171</v>
      </c>
      <c r="Q120" s="95" t="s">
        <v>433</v>
      </c>
      <c r="T120" s="97"/>
      <c r="U120" s="97"/>
    </row>
    <row r="121" spans="2:21" s="93" customFormat="1" ht="204" x14ac:dyDescent="0.3">
      <c r="B121" s="94" t="s">
        <v>177</v>
      </c>
      <c r="C121" s="95" t="s">
        <v>434</v>
      </c>
      <c r="D121" s="96">
        <v>8000000</v>
      </c>
      <c r="E121" s="96">
        <v>8421052.6315789483</v>
      </c>
      <c r="F121" s="96">
        <v>8000000</v>
      </c>
      <c r="G121" s="96">
        <v>8421052.6315789483</v>
      </c>
      <c r="H121" s="95" t="s">
        <v>39</v>
      </c>
      <c r="I121" s="94" t="s">
        <v>40</v>
      </c>
      <c r="J121" s="94" t="s">
        <v>41</v>
      </c>
      <c r="K121" s="94" t="s">
        <v>42</v>
      </c>
      <c r="L121" s="94" t="s">
        <v>62</v>
      </c>
      <c r="M121" s="95" t="s">
        <v>54</v>
      </c>
      <c r="N121" s="94" t="s">
        <v>55</v>
      </c>
      <c r="O121" s="95" t="s">
        <v>171</v>
      </c>
      <c r="P121" s="95" t="s">
        <v>171</v>
      </c>
      <c r="Q121" s="95" t="s">
        <v>435</v>
      </c>
      <c r="T121" s="97"/>
      <c r="U121" s="97"/>
    </row>
    <row r="122" spans="2:21" s="93" customFormat="1" ht="228" x14ac:dyDescent="0.3">
      <c r="B122" s="94" t="s">
        <v>344</v>
      </c>
      <c r="C122" s="95" t="s">
        <v>436</v>
      </c>
      <c r="D122" s="96">
        <v>7800000</v>
      </c>
      <c r="E122" s="96">
        <v>8210526.3157894742</v>
      </c>
      <c r="F122" s="96">
        <v>7800000</v>
      </c>
      <c r="G122" s="96">
        <v>8210526.3157894742</v>
      </c>
      <c r="H122" s="95" t="s">
        <v>39</v>
      </c>
      <c r="I122" s="94" t="s">
        <v>40</v>
      </c>
      <c r="J122" s="94" t="s">
        <v>41</v>
      </c>
      <c r="K122" s="94" t="s">
        <v>42</v>
      </c>
      <c r="L122" s="94" t="s">
        <v>43</v>
      </c>
      <c r="M122" s="95" t="s">
        <v>50</v>
      </c>
      <c r="N122" s="94" t="s">
        <v>90</v>
      </c>
      <c r="O122" s="95" t="s">
        <v>171</v>
      </c>
      <c r="P122" s="95" t="s">
        <v>171</v>
      </c>
      <c r="Q122" s="95" t="s">
        <v>437</v>
      </c>
      <c r="T122" s="97"/>
      <c r="U122" s="97"/>
    </row>
    <row r="123" spans="2:21" s="93" customFormat="1" ht="216" x14ac:dyDescent="0.3">
      <c r="B123" s="94" t="s">
        <v>438</v>
      </c>
      <c r="C123" s="95" t="s">
        <v>439</v>
      </c>
      <c r="D123" s="96">
        <v>7600000</v>
      </c>
      <c r="E123" s="96">
        <v>8000000</v>
      </c>
      <c r="F123" s="96">
        <v>7600000</v>
      </c>
      <c r="G123" s="96">
        <v>8000000</v>
      </c>
      <c r="H123" s="95" t="s">
        <v>39</v>
      </c>
      <c r="I123" s="94" t="s">
        <v>40</v>
      </c>
      <c r="J123" s="94" t="s">
        <v>41</v>
      </c>
      <c r="K123" s="94" t="s">
        <v>42</v>
      </c>
      <c r="L123" s="94" t="s">
        <v>43</v>
      </c>
      <c r="M123" s="95" t="s">
        <v>50</v>
      </c>
      <c r="N123" s="94" t="s">
        <v>221</v>
      </c>
      <c r="O123" s="95" t="s">
        <v>171</v>
      </c>
      <c r="P123" s="95" t="s">
        <v>171</v>
      </c>
      <c r="Q123" s="95" t="s">
        <v>440</v>
      </c>
      <c r="T123" s="97"/>
      <c r="U123" s="97"/>
    </row>
    <row r="124" spans="2:21" s="93" customFormat="1" ht="192" x14ac:dyDescent="0.3">
      <c r="B124" s="94" t="s">
        <v>316</v>
      </c>
      <c r="C124" s="95" t="s">
        <v>441</v>
      </c>
      <c r="D124" s="96">
        <v>7600000</v>
      </c>
      <c r="E124" s="96">
        <v>8000000</v>
      </c>
      <c r="F124" s="96">
        <v>7600000</v>
      </c>
      <c r="G124" s="96">
        <v>8000000</v>
      </c>
      <c r="H124" s="95" t="s">
        <v>39</v>
      </c>
      <c r="I124" s="94" t="s">
        <v>40</v>
      </c>
      <c r="J124" s="94" t="s">
        <v>41</v>
      </c>
      <c r="K124" s="94" t="s">
        <v>42</v>
      </c>
      <c r="L124" s="94" t="s">
        <v>62</v>
      </c>
      <c r="M124" s="95" t="s">
        <v>49</v>
      </c>
      <c r="N124" s="94" t="s">
        <v>82</v>
      </c>
      <c r="O124" s="95" t="s">
        <v>171</v>
      </c>
      <c r="P124" s="95" t="s">
        <v>171</v>
      </c>
      <c r="Q124" s="95" t="s">
        <v>442</v>
      </c>
      <c r="T124" s="97"/>
      <c r="U124" s="97"/>
    </row>
    <row r="125" spans="2:21" s="93" customFormat="1" ht="228" x14ac:dyDescent="0.3">
      <c r="B125" s="94" t="s">
        <v>443</v>
      </c>
      <c r="C125" s="95" t="s">
        <v>444</v>
      </c>
      <c r="D125" s="96">
        <v>7337000</v>
      </c>
      <c r="E125" s="96">
        <v>7723157.8947368423</v>
      </c>
      <c r="F125" s="96">
        <v>7337000</v>
      </c>
      <c r="G125" s="96">
        <v>7723157.8947368423</v>
      </c>
      <c r="H125" s="95" t="s">
        <v>39</v>
      </c>
      <c r="I125" s="94" t="s">
        <v>40</v>
      </c>
      <c r="J125" s="94" t="s">
        <v>41</v>
      </c>
      <c r="K125" s="94" t="s">
        <v>42</v>
      </c>
      <c r="L125" s="94" t="s">
        <v>43</v>
      </c>
      <c r="M125" s="95" t="s">
        <v>193</v>
      </c>
      <c r="N125" s="94" t="s">
        <v>194</v>
      </c>
      <c r="O125" s="95" t="s">
        <v>171</v>
      </c>
      <c r="P125" s="95" t="s">
        <v>171</v>
      </c>
      <c r="Q125" s="95" t="s">
        <v>445</v>
      </c>
      <c r="T125" s="97"/>
      <c r="U125" s="97"/>
    </row>
    <row r="126" spans="2:21" s="93" customFormat="1" ht="96" x14ac:dyDescent="0.3">
      <c r="B126" s="94" t="s">
        <v>169</v>
      </c>
      <c r="C126" s="95" t="s">
        <v>446</v>
      </c>
      <c r="D126" s="96">
        <v>7279000</v>
      </c>
      <c r="E126" s="96">
        <v>7662105.2631578948</v>
      </c>
      <c r="F126" s="96">
        <v>7279000</v>
      </c>
      <c r="G126" s="96">
        <v>7662105.2631578948</v>
      </c>
      <c r="H126" s="95" t="s">
        <v>39</v>
      </c>
      <c r="I126" s="94" t="s">
        <v>40</v>
      </c>
      <c r="J126" s="94" t="s">
        <v>41</v>
      </c>
      <c r="K126" s="94" t="s">
        <v>42</v>
      </c>
      <c r="L126" s="94" t="s">
        <v>49</v>
      </c>
      <c r="M126" s="95" t="s">
        <v>49</v>
      </c>
      <c r="N126" s="94" t="s">
        <v>82</v>
      </c>
      <c r="O126" s="95" t="s">
        <v>171</v>
      </c>
      <c r="P126" s="95" t="s">
        <v>171</v>
      </c>
      <c r="Q126" s="95" t="s">
        <v>447</v>
      </c>
      <c r="T126" s="97"/>
      <c r="U126" s="97"/>
    </row>
    <row r="127" spans="2:21" s="93" customFormat="1" ht="108" x14ac:dyDescent="0.3">
      <c r="B127" s="94" t="s">
        <v>208</v>
      </c>
      <c r="C127" s="95" t="s">
        <v>310</v>
      </c>
      <c r="D127" s="96">
        <v>7054264</v>
      </c>
      <c r="E127" s="96">
        <v>7425541.0526315793</v>
      </c>
      <c r="F127" s="96">
        <v>7054264</v>
      </c>
      <c r="G127" s="96">
        <v>7425541.0526315793</v>
      </c>
      <c r="H127" s="95" t="s">
        <v>39</v>
      </c>
      <c r="I127" s="94" t="s">
        <v>40</v>
      </c>
      <c r="J127" s="94" t="s">
        <v>41</v>
      </c>
      <c r="K127" s="94" t="s">
        <v>42</v>
      </c>
      <c r="L127" s="94" t="s">
        <v>49</v>
      </c>
      <c r="M127" s="95" t="s">
        <v>63</v>
      </c>
      <c r="N127" s="94" t="s">
        <v>64</v>
      </c>
      <c r="O127" s="95" t="s">
        <v>171</v>
      </c>
      <c r="P127" s="95" t="s">
        <v>171</v>
      </c>
      <c r="Q127" s="95" t="s">
        <v>311</v>
      </c>
      <c r="T127" s="97"/>
      <c r="U127" s="97"/>
    </row>
    <row r="128" spans="2:21" s="93" customFormat="1" ht="240" x14ac:dyDescent="0.3">
      <c r="B128" s="94" t="s">
        <v>443</v>
      </c>
      <c r="C128" s="95" t="s">
        <v>448</v>
      </c>
      <c r="D128" s="96">
        <v>6800000</v>
      </c>
      <c r="E128" s="96">
        <v>7157894.7368421052</v>
      </c>
      <c r="F128" s="96">
        <v>6800000</v>
      </c>
      <c r="G128" s="96">
        <v>7157894.7368421052</v>
      </c>
      <c r="H128" s="95" t="s">
        <v>39</v>
      </c>
      <c r="I128" s="94" t="s">
        <v>40</v>
      </c>
      <c r="J128" s="94" t="s">
        <v>41</v>
      </c>
      <c r="K128" s="94" t="s">
        <v>42</v>
      </c>
      <c r="L128" s="94" t="s">
        <v>49</v>
      </c>
      <c r="M128" s="95" t="s">
        <v>50</v>
      </c>
      <c r="N128" s="94" t="s">
        <v>92</v>
      </c>
      <c r="O128" s="95" t="s">
        <v>171</v>
      </c>
      <c r="P128" s="95" t="s">
        <v>171</v>
      </c>
      <c r="Q128" s="95" t="s">
        <v>449</v>
      </c>
      <c r="T128" s="97"/>
      <c r="U128" s="97"/>
    </row>
    <row r="129" spans="2:21" s="93" customFormat="1" ht="228" x14ac:dyDescent="0.3">
      <c r="B129" s="94" t="s">
        <v>243</v>
      </c>
      <c r="C129" s="95" t="s">
        <v>450</v>
      </c>
      <c r="D129" s="96">
        <v>6800000</v>
      </c>
      <c r="E129" s="96">
        <v>7157894.7368421052</v>
      </c>
      <c r="F129" s="96">
        <v>6800000</v>
      </c>
      <c r="G129" s="96">
        <v>7157894.7368421052</v>
      </c>
      <c r="H129" s="95" t="s">
        <v>39</v>
      </c>
      <c r="I129" s="94" t="s">
        <v>40</v>
      </c>
      <c r="J129" s="94" t="s">
        <v>41</v>
      </c>
      <c r="K129" s="94" t="s">
        <v>42</v>
      </c>
      <c r="L129" s="94" t="s">
        <v>62</v>
      </c>
      <c r="M129" s="95" t="s">
        <v>234</v>
      </c>
      <c r="N129" s="94" t="s">
        <v>235</v>
      </c>
      <c r="O129" s="95" t="s">
        <v>171</v>
      </c>
      <c r="P129" s="95" t="s">
        <v>171</v>
      </c>
      <c r="Q129" s="95" t="s">
        <v>451</v>
      </c>
      <c r="T129" s="97"/>
      <c r="U129" s="97"/>
    </row>
    <row r="130" spans="2:21" s="93" customFormat="1" ht="228" x14ac:dyDescent="0.3">
      <c r="B130" s="94" t="s">
        <v>431</v>
      </c>
      <c r="C130" s="95" t="s">
        <v>452</v>
      </c>
      <c r="D130" s="96">
        <v>6500000</v>
      </c>
      <c r="E130" s="96">
        <v>6842105.2631578948</v>
      </c>
      <c r="F130" s="96">
        <v>6500000</v>
      </c>
      <c r="G130" s="96">
        <v>6842105.2631578948</v>
      </c>
      <c r="H130" s="95" t="s">
        <v>39</v>
      </c>
      <c r="I130" s="94" t="s">
        <v>40</v>
      </c>
      <c r="J130" s="94" t="s">
        <v>41</v>
      </c>
      <c r="K130" s="94" t="s">
        <v>42</v>
      </c>
      <c r="L130" s="94" t="s">
        <v>43</v>
      </c>
      <c r="M130" s="95" t="s">
        <v>50</v>
      </c>
      <c r="N130" s="94" t="s">
        <v>90</v>
      </c>
      <c r="O130" s="95" t="s">
        <v>171</v>
      </c>
      <c r="P130" s="95" t="s">
        <v>171</v>
      </c>
      <c r="Q130" s="95" t="s">
        <v>453</v>
      </c>
      <c r="T130" s="97"/>
      <c r="U130" s="97"/>
    </row>
    <row r="131" spans="2:21" s="93" customFormat="1" ht="240" x14ac:dyDescent="0.3">
      <c r="B131" s="94" t="s">
        <v>237</v>
      </c>
      <c r="C131" s="95" t="s">
        <v>454</v>
      </c>
      <c r="D131" s="96">
        <v>6360000</v>
      </c>
      <c r="E131" s="96">
        <v>6694736.8421052638</v>
      </c>
      <c r="F131" s="96">
        <v>6360000</v>
      </c>
      <c r="G131" s="96">
        <v>6694736.8421052638</v>
      </c>
      <c r="H131" s="95" t="s">
        <v>39</v>
      </c>
      <c r="I131" s="94" t="s">
        <v>40</v>
      </c>
      <c r="J131" s="94" t="s">
        <v>41</v>
      </c>
      <c r="K131" s="94" t="s">
        <v>42</v>
      </c>
      <c r="L131" s="94" t="s">
        <v>62</v>
      </c>
      <c r="M131" s="95" t="s">
        <v>50</v>
      </c>
      <c r="N131" s="94" t="s">
        <v>221</v>
      </c>
      <c r="O131" s="95" t="s">
        <v>171</v>
      </c>
      <c r="P131" s="95" t="s">
        <v>171</v>
      </c>
      <c r="Q131" s="95" t="s">
        <v>455</v>
      </c>
      <c r="T131" s="97"/>
      <c r="U131" s="97"/>
    </row>
    <row r="132" spans="2:21" s="93" customFormat="1" ht="228" x14ac:dyDescent="0.3">
      <c r="B132" s="94" t="s">
        <v>230</v>
      </c>
      <c r="C132" s="95" t="s">
        <v>456</v>
      </c>
      <c r="D132" s="96">
        <v>6000000</v>
      </c>
      <c r="E132" s="96">
        <v>6315789.4736842113</v>
      </c>
      <c r="F132" s="96">
        <v>6000000</v>
      </c>
      <c r="G132" s="96">
        <v>6315789.4736842113</v>
      </c>
      <c r="H132" s="95" t="s">
        <v>39</v>
      </c>
      <c r="I132" s="94" t="s">
        <v>40</v>
      </c>
      <c r="J132" s="94" t="s">
        <v>41</v>
      </c>
      <c r="K132" s="94" t="s">
        <v>42</v>
      </c>
      <c r="L132" s="94" t="s">
        <v>62</v>
      </c>
      <c r="M132" s="95" t="s">
        <v>50</v>
      </c>
      <c r="N132" s="94" t="s">
        <v>90</v>
      </c>
      <c r="O132" s="95" t="s">
        <v>171</v>
      </c>
      <c r="P132" s="95" t="s">
        <v>171</v>
      </c>
      <c r="Q132" s="95" t="s">
        <v>457</v>
      </c>
      <c r="T132" s="97"/>
      <c r="U132" s="97"/>
    </row>
    <row r="133" spans="2:21" s="93" customFormat="1" ht="180" x14ac:dyDescent="0.3">
      <c r="B133" s="94" t="s">
        <v>458</v>
      </c>
      <c r="C133" s="95" t="s">
        <v>459</v>
      </c>
      <c r="D133" s="96">
        <v>6000000</v>
      </c>
      <c r="E133" s="96">
        <v>6315789.4736842113</v>
      </c>
      <c r="F133" s="96">
        <v>6000000</v>
      </c>
      <c r="G133" s="96">
        <v>6315789.4736842113</v>
      </c>
      <c r="H133" s="95" t="s">
        <v>39</v>
      </c>
      <c r="I133" s="94" t="s">
        <v>40</v>
      </c>
      <c r="J133" s="94" t="s">
        <v>41</v>
      </c>
      <c r="K133" s="94" t="s">
        <v>42</v>
      </c>
      <c r="L133" s="94" t="s">
        <v>62</v>
      </c>
      <c r="M133" s="95" t="s">
        <v>50</v>
      </c>
      <c r="N133" s="94" t="s">
        <v>90</v>
      </c>
      <c r="O133" s="95" t="s">
        <v>171</v>
      </c>
      <c r="P133" s="95" t="s">
        <v>171</v>
      </c>
      <c r="Q133" s="95" t="s">
        <v>460</v>
      </c>
      <c r="T133" s="97"/>
      <c r="U133" s="97"/>
    </row>
    <row r="134" spans="2:21" s="93" customFormat="1" ht="96" x14ac:dyDescent="0.3">
      <c r="B134" s="94" t="s">
        <v>265</v>
      </c>
      <c r="C134" s="95" t="s">
        <v>461</v>
      </c>
      <c r="D134" s="96">
        <v>6000000</v>
      </c>
      <c r="E134" s="96">
        <v>6315789.4736842113</v>
      </c>
      <c r="F134" s="96">
        <v>6000000</v>
      </c>
      <c r="G134" s="96">
        <v>6315789.4736842113</v>
      </c>
      <c r="H134" s="95" t="s">
        <v>39</v>
      </c>
      <c r="I134" s="94" t="s">
        <v>40</v>
      </c>
      <c r="J134" s="94" t="s">
        <v>41</v>
      </c>
      <c r="K134" s="94" t="s">
        <v>42</v>
      </c>
      <c r="L134" s="94" t="s">
        <v>62</v>
      </c>
      <c r="M134" s="95" t="s">
        <v>63</v>
      </c>
      <c r="N134" s="94" t="s">
        <v>64</v>
      </c>
      <c r="O134" s="95" t="s">
        <v>171</v>
      </c>
      <c r="P134" s="95" t="s">
        <v>171</v>
      </c>
      <c r="Q134" s="95" t="s">
        <v>462</v>
      </c>
      <c r="T134" s="97"/>
      <c r="U134" s="97"/>
    </row>
    <row r="135" spans="2:21" s="93" customFormat="1" ht="228" x14ac:dyDescent="0.3">
      <c r="B135" s="94" t="s">
        <v>177</v>
      </c>
      <c r="C135" s="95" t="s">
        <v>463</v>
      </c>
      <c r="D135" s="96">
        <v>6000000</v>
      </c>
      <c r="E135" s="96">
        <v>6315789.4736842113</v>
      </c>
      <c r="F135" s="96">
        <v>6000000</v>
      </c>
      <c r="G135" s="96">
        <v>6315789.4736842113</v>
      </c>
      <c r="H135" s="95" t="s">
        <v>39</v>
      </c>
      <c r="I135" s="94" t="s">
        <v>40</v>
      </c>
      <c r="J135" s="94" t="s">
        <v>41</v>
      </c>
      <c r="K135" s="94" t="s">
        <v>42</v>
      </c>
      <c r="L135" s="94" t="s">
        <v>49</v>
      </c>
      <c r="M135" s="95" t="s">
        <v>50</v>
      </c>
      <c r="N135" s="94" t="s">
        <v>88</v>
      </c>
      <c r="O135" s="95" t="s">
        <v>171</v>
      </c>
      <c r="P135" s="95" t="s">
        <v>171</v>
      </c>
      <c r="Q135" s="95" t="s">
        <v>464</v>
      </c>
      <c r="T135" s="97"/>
      <c r="U135" s="97"/>
    </row>
    <row r="136" spans="2:21" s="93" customFormat="1" ht="72" x14ac:dyDescent="0.3">
      <c r="B136" s="94" t="s">
        <v>294</v>
      </c>
      <c r="C136" s="95" t="s">
        <v>465</v>
      </c>
      <c r="D136" s="96">
        <v>6000000</v>
      </c>
      <c r="E136" s="96">
        <v>6315789.4736842113</v>
      </c>
      <c r="F136" s="96">
        <v>6000000</v>
      </c>
      <c r="G136" s="96">
        <v>6315789.4736842113</v>
      </c>
      <c r="H136" s="95" t="s">
        <v>39</v>
      </c>
      <c r="I136" s="94" t="s">
        <v>40</v>
      </c>
      <c r="J136" s="94" t="s">
        <v>41</v>
      </c>
      <c r="K136" s="94" t="s">
        <v>42</v>
      </c>
      <c r="L136" s="94" t="s">
        <v>62</v>
      </c>
      <c r="M136" s="95" t="s">
        <v>63</v>
      </c>
      <c r="N136" s="94" t="s">
        <v>64</v>
      </c>
      <c r="O136" s="95" t="s">
        <v>171</v>
      </c>
      <c r="P136" s="95" t="s">
        <v>171</v>
      </c>
      <c r="Q136" s="95" t="s">
        <v>466</v>
      </c>
      <c r="T136" s="97"/>
      <c r="U136" s="97"/>
    </row>
    <row r="137" spans="2:21" s="93" customFormat="1" ht="132" x14ac:dyDescent="0.3">
      <c r="B137" s="94" t="s">
        <v>425</v>
      </c>
      <c r="C137" s="99" t="s">
        <v>467</v>
      </c>
      <c r="D137" s="96">
        <v>6000000</v>
      </c>
      <c r="E137" s="96">
        <v>6315789.4736842113</v>
      </c>
      <c r="F137" s="96">
        <v>6000000</v>
      </c>
      <c r="G137" s="96">
        <v>6315789.4736842113</v>
      </c>
      <c r="H137" s="95" t="s">
        <v>39</v>
      </c>
      <c r="I137" s="94" t="s">
        <v>40</v>
      </c>
      <c r="J137" s="94" t="s">
        <v>41</v>
      </c>
      <c r="K137" s="94" t="s">
        <v>42</v>
      </c>
      <c r="L137" s="94" t="s">
        <v>62</v>
      </c>
      <c r="M137" s="95" t="s">
        <v>50</v>
      </c>
      <c r="N137" s="94" t="s">
        <v>64</v>
      </c>
      <c r="O137" s="95" t="s">
        <v>171</v>
      </c>
      <c r="P137" s="95" t="s">
        <v>171</v>
      </c>
      <c r="Q137" s="95" t="s">
        <v>468</v>
      </c>
      <c r="T137" s="97"/>
      <c r="U137" s="97"/>
    </row>
    <row r="138" spans="2:21" s="93" customFormat="1" ht="204" x14ac:dyDescent="0.3">
      <c r="B138" s="94" t="s">
        <v>443</v>
      </c>
      <c r="C138" s="95" t="s">
        <v>469</v>
      </c>
      <c r="D138" s="96">
        <v>6000000</v>
      </c>
      <c r="E138" s="96">
        <v>6315789.4736842113</v>
      </c>
      <c r="F138" s="96">
        <v>6000000</v>
      </c>
      <c r="G138" s="96">
        <v>6315789.4736842113</v>
      </c>
      <c r="H138" s="95" t="s">
        <v>39</v>
      </c>
      <c r="I138" s="94" t="s">
        <v>40</v>
      </c>
      <c r="J138" s="94" t="s">
        <v>41</v>
      </c>
      <c r="K138" s="94" t="s">
        <v>42</v>
      </c>
      <c r="L138" s="94" t="s">
        <v>49</v>
      </c>
      <c r="M138" s="95" t="s">
        <v>49</v>
      </c>
      <c r="N138" s="94" t="s">
        <v>82</v>
      </c>
      <c r="O138" s="95" t="s">
        <v>171</v>
      </c>
      <c r="P138" s="95" t="s">
        <v>171</v>
      </c>
      <c r="Q138" s="95" t="s">
        <v>470</v>
      </c>
      <c r="T138" s="97"/>
      <c r="U138" s="97"/>
    </row>
    <row r="139" spans="2:21" s="93" customFormat="1" ht="228" x14ac:dyDescent="0.3">
      <c r="B139" s="94" t="s">
        <v>471</v>
      </c>
      <c r="C139" s="95" t="s">
        <v>472</v>
      </c>
      <c r="D139" s="96">
        <v>6000000</v>
      </c>
      <c r="E139" s="96">
        <v>6315789.4736842113</v>
      </c>
      <c r="F139" s="96">
        <v>6000000</v>
      </c>
      <c r="G139" s="96">
        <v>6315789.4736842113</v>
      </c>
      <c r="H139" s="95" t="s">
        <v>39</v>
      </c>
      <c r="I139" s="94" t="s">
        <v>40</v>
      </c>
      <c r="J139" s="94" t="s">
        <v>41</v>
      </c>
      <c r="K139" s="94" t="s">
        <v>42</v>
      </c>
      <c r="L139" s="94" t="s">
        <v>43</v>
      </c>
      <c r="M139" s="95" t="s">
        <v>50</v>
      </c>
      <c r="N139" s="94" t="s">
        <v>88</v>
      </c>
      <c r="O139" s="95" t="s">
        <v>171</v>
      </c>
      <c r="P139" s="95" t="s">
        <v>171</v>
      </c>
      <c r="Q139" s="95" t="s">
        <v>473</v>
      </c>
      <c r="T139" s="97"/>
      <c r="U139" s="97"/>
    </row>
    <row r="140" spans="2:21" s="93" customFormat="1" ht="228" x14ac:dyDescent="0.3">
      <c r="B140" s="94" t="s">
        <v>180</v>
      </c>
      <c r="C140" s="95" t="s">
        <v>474</v>
      </c>
      <c r="D140" s="96">
        <v>6000000</v>
      </c>
      <c r="E140" s="96">
        <v>6315789.4736842113</v>
      </c>
      <c r="F140" s="96">
        <v>6000000</v>
      </c>
      <c r="G140" s="96">
        <v>6315789.4736842113</v>
      </c>
      <c r="H140" s="95" t="s">
        <v>39</v>
      </c>
      <c r="I140" s="94" t="s">
        <v>40</v>
      </c>
      <c r="J140" s="94" t="s">
        <v>41</v>
      </c>
      <c r="K140" s="94" t="s">
        <v>42</v>
      </c>
      <c r="L140" s="94" t="s">
        <v>43</v>
      </c>
      <c r="M140" s="95" t="s">
        <v>193</v>
      </c>
      <c r="N140" s="94" t="s">
        <v>194</v>
      </c>
      <c r="O140" s="95" t="s">
        <v>171</v>
      </c>
      <c r="P140" s="95" t="s">
        <v>171</v>
      </c>
      <c r="Q140" s="95" t="s">
        <v>475</v>
      </c>
      <c r="T140" s="97"/>
      <c r="U140" s="97"/>
    </row>
    <row r="141" spans="2:21" s="93" customFormat="1" ht="216" x14ac:dyDescent="0.3">
      <c r="B141" s="94" t="s">
        <v>476</v>
      </c>
      <c r="C141" s="95" t="s">
        <v>477</v>
      </c>
      <c r="D141" s="96">
        <v>6000000</v>
      </c>
      <c r="E141" s="96">
        <v>6315789.4736842113</v>
      </c>
      <c r="F141" s="96">
        <v>6000000</v>
      </c>
      <c r="G141" s="96">
        <v>6315789.4736842113</v>
      </c>
      <c r="H141" s="95" t="s">
        <v>39</v>
      </c>
      <c r="I141" s="94" t="s">
        <v>40</v>
      </c>
      <c r="J141" s="94" t="s">
        <v>41</v>
      </c>
      <c r="K141" s="94" t="s">
        <v>42</v>
      </c>
      <c r="L141" s="94" t="s">
        <v>49</v>
      </c>
      <c r="M141" s="95" t="s">
        <v>50</v>
      </c>
      <c r="N141" s="94" t="s">
        <v>221</v>
      </c>
      <c r="O141" s="95" t="s">
        <v>171</v>
      </c>
      <c r="P141" s="95" t="s">
        <v>171</v>
      </c>
      <c r="Q141" s="95" t="s">
        <v>478</v>
      </c>
      <c r="T141" s="97"/>
      <c r="U141" s="97"/>
    </row>
    <row r="142" spans="2:21" s="93" customFormat="1" ht="240" x14ac:dyDescent="0.3">
      <c r="B142" s="94" t="s">
        <v>177</v>
      </c>
      <c r="C142" s="95" t="s">
        <v>479</v>
      </c>
      <c r="D142" s="96">
        <v>6000000</v>
      </c>
      <c r="E142" s="96">
        <v>6315789.4736842113</v>
      </c>
      <c r="F142" s="96">
        <v>6000000</v>
      </c>
      <c r="G142" s="96">
        <v>6315789.4736842113</v>
      </c>
      <c r="H142" s="95" t="s">
        <v>39</v>
      </c>
      <c r="I142" s="94" t="s">
        <v>40</v>
      </c>
      <c r="J142" s="94" t="s">
        <v>41</v>
      </c>
      <c r="K142" s="94" t="s">
        <v>42</v>
      </c>
      <c r="L142" s="94" t="s">
        <v>43</v>
      </c>
      <c r="M142" s="95" t="s">
        <v>50</v>
      </c>
      <c r="N142" s="94" t="s">
        <v>88</v>
      </c>
      <c r="O142" s="95" t="s">
        <v>171</v>
      </c>
      <c r="P142" s="95" t="s">
        <v>171</v>
      </c>
      <c r="Q142" s="95" t="s">
        <v>480</v>
      </c>
      <c r="T142" s="97"/>
      <c r="U142" s="97"/>
    </row>
    <row r="143" spans="2:21" s="93" customFormat="1" ht="216" x14ac:dyDescent="0.3">
      <c r="B143" s="94" t="s">
        <v>476</v>
      </c>
      <c r="C143" s="95" t="s">
        <v>481</v>
      </c>
      <c r="D143" s="96">
        <v>6000000</v>
      </c>
      <c r="E143" s="96">
        <v>6315789.4736842113</v>
      </c>
      <c r="F143" s="96">
        <v>6000000</v>
      </c>
      <c r="G143" s="96">
        <v>6315789.4736842113</v>
      </c>
      <c r="H143" s="95" t="s">
        <v>39</v>
      </c>
      <c r="I143" s="94" t="s">
        <v>40</v>
      </c>
      <c r="J143" s="94" t="s">
        <v>41</v>
      </c>
      <c r="K143" s="94" t="s">
        <v>42</v>
      </c>
      <c r="L143" s="94" t="s">
        <v>49</v>
      </c>
      <c r="M143" s="95" t="s">
        <v>50</v>
      </c>
      <c r="N143" s="94" t="s">
        <v>221</v>
      </c>
      <c r="O143" s="95" t="s">
        <v>171</v>
      </c>
      <c r="P143" s="95" t="s">
        <v>171</v>
      </c>
      <c r="Q143" s="95" t="s">
        <v>482</v>
      </c>
      <c r="T143" s="97"/>
      <c r="U143" s="97"/>
    </row>
    <row r="144" spans="2:21" s="93" customFormat="1" ht="228" x14ac:dyDescent="0.3">
      <c r="B144" s="94" t="s">
        <v>172</v>
      </c>
      <c r="C144" s="95" t="s">
        <v>483</v>
      </c>
      <c r="D144" s="96">
        <v>5901964</v>
      </c>
      <c r="E144" s="96">
        <v>6212593.6842105268</v>
      </c>
      <c r="F144" s="96">
        <v>5901964</v>
      </c>
      <c r="G144" s="96">
        <v>6212593.6842105268</v>
      </c>
      <c r="H144" s="95" t="s">
        <v>39</v>
      </c>
      <c r="I144" s="94" t="s">
        <v>40</v>
      </c>
      <c r="J144" s="94" t="s">
        <v>41</v>
      </c>
      <c r="K144" s="94" t="s">
        <v>42</v>
      </c>
      <c r="L144" s="94" t="s">
        <v>49</v>
      </c>
      <c r="M144" s="95" t="s">
        <v>49</v>
      </c>
      <c r="N144" s="94" t="s">
        <v>82</v>
      </c>
      <c r="O144" s="95" t="s">
        <v>171</v>
      </c>
      <c r="P144" s="95" t="s">
        <v>171</v>
      </c>
      <c r="Q144" s="95" t="s">
        <v>484</v>
      </c>
      <c r="T144" s="97"/>
      <c r="U144" s="97"/>
    </row>
    <row r="145" spans="2:21" s="93" customFormat="1" ht="216" x14ac:dyDescent="0.3">
      <c r="B145" s="94" t="s">
        <v>485</v>
      </c>
      <c r="C145" s="95" t="s">
        <v>486</v>
      </c>
      <c r="D145" s="96">
        <v>5600000</v>
      </c>
      <c r="E145" s="96">
        <v>5894736.8421052638</v>
      </c>
      <c r="F145" s="96">
        <v>5600000</v>
      </c>
      <c r="G145" s="96">
        <v>5894736.8421052638</v>
      </c>
      <c r="H145" s="95" t="s">
        <v>39</v>
      </c>
      <c r="I145" s="94" t="s">
        <v>40</v>
      </c>
      <c r="J145" s="94" t="s">
        <v>41</v>
      </c>
      <c r="K145" s="94" t="s">
        <v>42</v>
      </c>
      <c r="L145" s="94" t="s">
        <v>62</v>
      </c>
      <c r="M145" s="95" t="s">
        <v>44</v>
      </c>
      <c r="N145" s="94" t="s">
        <v>45</v>
      </c>
      <c r="O145" s="95" t="s">
        <v>171</v>
      </c>
      <c r="P145" s="95" t="s">
        <v>171</v>
      </c>
      <c r="Q145" s="95" t="s">
        <v>487</v>
      </c>
      <c r="T145" s="97"/>
      <c r="U145" s="97"/>
    </row>
    <row r="146" spans="2:21" s="93" customFormat="1" ht="228" x14ac:dyDescent="0.3">
      <c r="B146" s="94" t="s">
        <v>488</v>
      </c>
      <c r="C146" s="95" t="s">
        <v>489</v>
      </c>
      <c r="D146" s="96">
        <v>5500000</v>
      </c>
      <c r="E146" s="96">
        <v>5789473.6842105268</v>
      </c>
      <c r="F146" s="96">
        <v>5500000</v>
      </c>
      <c r="G146" s="96">
        <v>5789473.6842105268</v>
      </c>
      <c r="H146" s="95" t="s">
        <v>39</v>
      </c>
      <c r="I146" s="94" t="s">
        <v>40</v>
      </c>
      <c r="J146" s="94" t="s">
        <v>41</v>
      </c>
      <c r="K146" s="94" t="s">
        <v>42</v>
      </c>
      <c r="L146" s="94" t="s">
        <v>43</v>
      </c>
      <c r="M146" s="95" t="s">
        <v>193</v>
      </c>
      <c r="N146" s="94" t="s">
        <v>194</v>
      </c>
      <c r="O146" s="95" t="s">
        <v>171</v>
      </c>
      <c r="P146" s="95" t="s">
        <v>171</v>
      </c>
      <c r="Q146" s="95" t="s">
        <v>490</v>
      </c>
      <c r="T146" s="97"/>
      <c r="U146" s="97"/>
    </row>
    <row r="147" spans="2:21" s="93" customFormat="1" ht="240" x14ac:dyDescent="0.3">
      <c r="B147" s="94" t="s">
        <v>491</v>
      </c>
      <c r="C147" s="95" t="s">
        <v>492</v>
      </c>
      <c r="D147" s="96">
        <v>5200000</v>
      </c>
      <c r="E147" s="96">
        <v>5473684.2105263164</v>
      </c>
      <c r="F147" s="96">
        <v>5200000</v>
      </c>
      <c r="G147" s="96">
        <v>5473684.2105263164</v>
      </c>
      <c r="H147" s="95" t="s">
        <v>39</v>
      </c>
      <c r="I147" s="94" t="s">
        <v>40</v>
      </c>
      <c r="J147" s="94" t="s">
        <v>41</v>
      </c>
      <c r="K147" s="94" t="s">
        <v>42</v>
      </c>
      <c r="L147" s="94" t="s">
        <v>43</v>
      </c>
      <c r="M147" s="95" t="s">
        <v>50</v>
      </c>
      <c r="N147" s="94" t="s">
        <v>221</v>
      </c>
      <c r="O147" s="95" t="s">
        <v>171</v>
      </c>
      <c r="P147" s="95" t="s">
        <v>171</v>
      </c>
      <c r="Q147" s="95" t="s">
        <v>493</v>
      </c>
      <c r="T147" s="97"/>
      <c r="U147" s="97"/>
    </row>
    <row r="148" spans="2:21" s="93" customFormat="1" ht="192" x14ac:dyDescent="0.3">
      <c r="B148" s="94" t="s">
        <v>307</v>
      </c>
      <c r="C148" s="95" t="s">
        <v>494</v>
      </c>
      <c r="D148" s="96">
        <v>5200000</v>
      </c>
      <c r="E148" s="96">
        <v>5473684.2105263164</v>
      </c>
      <c r="F148" s="96">
        <v>5200000</v>
      </c>
      <c r="G148" s="96">
        <v>5473684.2105263164</v>
      </c>
      <c r="H148" s="95" t="s">
        <v>39</v>
      </c>
      <c r="I148" s="94" t="s">
        <v>40</v>
      </c>
      <c r="J148" s="94" t="s">
        <v>41</v>
      </c>
      <c r="K148" s="94" t="s">
        <v>42</v>
      </c>
      <c r="L148" s="94" t="s">
        <v>49</v>
      </c>
      <c r="M148" s="95" t="s">
        <v>63</v>
      </c>
      <c r="N148" s="94" t="s">
        <v>64</v>
      </c>
      <c r="O148" s="95" t="s">
        <v>171</v>
      </c>
      <c r="P148" s="95" t="s">
        <v>171</v>
      </c>
      <c r="Q148" s="95" t="s">
        <v>495</v>
      </c>
      <c r="T148" s="97"/>
      <c r="U148" s="97"/>
    </row>
    <row r="149" spans="2:21" s="93" customFormat="1" ht="204" x14ac:dyDescent="0.3">
      <c r="B149" s="94" t="s">
        <v>496</v>
      </c>
      <c r="C149" s="95" t="s">
        <v>497</v>
      </c>
      <c r="D149" s="96">
        <v>5000000</v>
      </c>
      <c r="E149" s="96">
        <v>5263157.8947368423</v>
      </c>
      <c r="F149" s="96">
        <v>5000000</v>
      </c>
      <c r="G149" s="96">
        <v>5263157.8947368423</v>
      </c>
      <c r="H149" s="95" t="s">
        <v>39</v>
      </c>
      <c r="I149" s="94" t="s">
        <v>40</v>
      </c>
      <c r="J149" s="94" t="s">
        <v>41</v>
      </c>
      <c r="K149" s="94" t="s">
        <v>42</v>
      </c>
      <c r="L149" s="94" t="s">
        <v>43</v>
      </c>
      <c r="M149" s="95" t="s">
        <v>193</v>
      </c>
      <c r="N149" s="94" t="s">
        <v>194</v>
      </c>
      <c r="O149" s="95" t="s">
        <v>171</v>
      </c>
      <c r="P149" s="95" t="s">
        <v>171</v>
      </c>
      <c r="Q149" s="95" t="s">
        <v>498</v>
      </c>
      <c r="T149" s="97"/>
      <c r="U149" s="97"/>
    </row>
    <row r="150" spans="2:21" s="93" customFormat="1" ht="228" x14ac:dyDescent="0.3">
      <c r="B150" s="94" t="s">
        <v>499</v>
      </c>
      <c r="C150" s="95" t="s">
        <v>500</v>
      </c>
      <c r="D150" s="96">
        <v>5000000</v>
      </c>
      <c r="E150" s="96">
        <v>5263157.8947368423</v>
      </c>
      <c r="F150" s="96">
        <v>5000000</v>
      </c>
      <c r="G150" s="96">
        <v>5263157.8947368423</v>
      </c>
      <c r="H150" s="95" t="s">
        <v>39</v>
      </c>
      <c r="I150" s="94" t="s">
        <v>40</v>
      </c>
      <c r="J150" s="94" t="s">
        <v>41</v>
      </c>
      <c r="K150" s="94" t="s">
        <v>42</v>
      </c>
      <c r="L150" s="94" t="s">
        <v>43</v>
      </c>
      <c r="M150" s="95" t="s">
        <v>193</v>
      </c>
      <c r="N150" s="94" t="s">
        <v>194</v>
      </c>
      <c r="O150" s="95" t="s">
        <v>171</v>
      </c>
      <c r="P150" s="95" t="s">
        <v>171</v>
      </c>
      <c r="Q150" s="95" t="s">
        <v>501</v>
      </c>
      <c r="T150" s="97"/>
      <c r="U150" s="97"/>
    </row>
    <row r="151" spans="2:21" s="93" customFormat="1" ht="204" x14ac:dyDescent="0.3">
      <c r="B151" s="94" t="s">
        <v>177</v>
      </c>
      <c r="C151" s="95" t="s">
        <v>502</v>
      </c>
      <c r="D151" s="96">
        <v>5000000</v>
      </c>
      <c r="E151" s="96">
        <v>5263157.8947368423</v>
      </c>
      <c r="F151" s="96">
        <v>5000000</v>
      </c>
      <c r="G151" s="96">
        <v>5263157.8947368423</v>
      </c>
      <c r="H151" s="95" t="s">
        <v>39</v>
      </c>
      <c r="I151" s="94" t="s">
        <v>40</v>
      </c>
      <c r="J151" s="94" t="s">
        <v>41</v>
      </c>
      <c r="K151" s="94" t="s">
        <v>42</v>
      </c>
      <c r="L151" s="94" t="s">
        <v>43</v>
      </c>
      <c r="M151" s="95" t="s">
        <v>193</v>
      </c>
      <c r="N151" s="94" t="s">
        <v>194</v>
      </c>
      <c r="O151" s="95" t="s">
        <v>171</v>
      </c>
      <c r="P151" s="95" t="s">
        <v>171</v>
      </c>
      <c r="Q151" s="95" t="s">
        <v>503</v>
      </c>
      <c r="T151" s="97"/>
      <c r="U151" s="97"/>
    </row>
    <row r="152" spans="2:21" s="93" customFormat="1" ht="240" x14ac:dyDescent="0.3">
      <c r="B152" s="94" t="s">
        <v>81</v>
      </c>
      <c r="C152" s="95" t="s">
        <v>504</v>
      </c>
      <c r="D152" s="96">
        <v>4800000</v>
      </c>
      <c r="E152" s="96">
        <v>5052631.578947369</v>
      </c>
      <c r="F152" s="96">
        <v>4800000</v>
      </c>
      <c r="G152" s="96">
        <v>5052631.578947369</v>
      </c>
      <c r="H152" s="95" t="s">
        <v>39</v>
      </c>
      <c r="I152" s="94" t="s">
        <v>40</v>
      </c>
      <c r="J152" s="94" t="s">
        <v>41</v>
      </c>
      <c r="K152" s="94" t="s">
        <v>42</v>
      </c>
      <c r="L152" s="94" t="s">
        <v>62</v>
      </c>
      <c r="M152" s="95" t="s">
        <v>50</v>
      </c>
      <c r="N152" s="94" t="s">
        <v>221</v>
      </c>
      <c r="O152" s="95" t="s">
        <v>171</v>
      </c>
      <c r="P152" s="95" t="s">
        <v>171</v>
      </c>
      <c r="Q152" s="95" t="s">
        <v>505</v>
      </c>
      <c r="T152" s="97"/>
      <c r="U152" s="97"/>
    </row>
    <row r="153" spans="2:21" s="93" customFormat="1" ht="216" x14ac:dyDescent="0.3">
      <c r="B153" s="94" t="s">
        <v>169</v>
      </c>
      <c r="C153" s="95" t="s">
        <v>506</v>
      </c>
      <c r="D153" s="96">
        <v>4800000</v>
      </c>
      <c r="E153" s="96">
        <v>5052631.578947369</v>
      </c>
      <c r="F153" s="96">
        <v>4800000</v>
      </c>
      <c r="G153" s="96">
        <v>5052631.578947369</v>
      </c>
      <c r="H153" s="95" t="s">
        <v>39</v>
      </c>
      <c r="I153" s="94" t="s">
        <v>40</v>
      </c>
      <c r="J153" s="94" t="s">
        <v>41</v>
      </c>
      <c r="K153" s="94" t="s">
        <v>42</v>
      </c>
      <c r="L153" s="94" t="s">
        <v>49</v>
      </c>
      <c r="M153" s="95" t="s">
        <v>50</v>
      </c>
      <c r="N153" s="94" t="s">
        <v>51</v>
      </c>
      <c r="O153" s="95" t="s">
        <v>171</v>
      </c>
      <c r="P153" s="95" t="s">
        <v>171</v>
      </c>
      <c r="Q153" s="95" t="s">
        <v>507</v>
      </c>
      <c r="T153" s="97"/>
      <c r="U153" s="97"/>
    </row>
    <row r="154" spans="2:21" s="93" customFormat="1" ht="60" x14ac:dyDescent="0.3">
      <c r="B154" s="94" t="s">
        <v>334</v>
      </c>
      <c r="C154" s="95" t="s">
        <v>508</v>
      </c>
      <c r="D154" s="96">
        <v>4800000</v>
      </c>
      <c r="E154" s="96">
        <v>5052631.578947369</v>
      </c>
      <c r="F154" s="96">
        <v>4800000</v>
      </c>
      <c r="G154" s="96">
        <v>5052631.578947369</v>
      </c>
      <c r="H154" s="95" t="s">
        <v>39</v>
      </c>
      <c r="I154" s="94" t="s">
        <v>40</v>
      </c>
      <c r="J154" s="94" t="s">
        <v>41</v>
      </c>
      <c r="K154" s="94" t="s">
        <v>42</v>
      </c>
      <c r="L154" s="94" t="s">
        <v>62</v>
      </c>
      <c r="M154" s="95" t="s">
        <v>49</v>
      </c>
      <c r="N154" s="94" t="s">
        <v>82</v>
      </c>
      <c r="O154" s="95" t="s">
        <v>171</v>
      </c>
      <c r="P154" s="95" t="s">
        <v>171</v>
      </c>
      <c r="Q154" s="95" t="s">
        <v>509</v>
      </c>
      <c r="T154" s="97"/>
      <c r="U154" s="97"/>
    </row>
    <row r="155" spans="2:21" s="93" customFormat="1" ht="204" x14ac:dyDescent="0.3">
      <c r="B155" s="94" t="s">
        <v>510</v>
      </c>
      <c r="C155" s="95" t="s">
        <v>511</v>
      </c>
      <c r="D155" s="96">
        <v>4800000</v>
      </c>
      <c r="E155" s="96">
        <v>5052631.578947369</v>
      </c>
      <c r="F155" s="96">
        <v>4800000</v>
      </c>
      <c r="G155" s="96">
        <v>5052631.578947369</v>
      </c>
      <c r="H155" s="95" t="s">
        <v>39</v>
      </c>
      <c r="I155" s="94" t="s">
        <v>40</v>
      </c>
      <c r="J155" s="94" t="s">
        <v>41</v>
      </c>
      <c r="K155" s="94" t="s">
        <v>42</v>
      </c>
      <c r="L155" s="94" t="s">
        <v>49</v>
      </c>
      <c r="M155" s="95" t="s">
        <v>50</v>
      </c>
      <c r="N155" s="94" t="s">
        <v>90</v>
      </c>
      <c r="O155" s="95" t="s">
        <v>171</v>
      </c>
      <c r="P155" s="95" t="s">
        <v>171</v>
      </c>
      <c r="Q155" s="95" t="s">
        <v>512</v>
      </c>
      <c r="T155" s="97"/>
      <c r="U155" s="97"/>
    </row>
    <row r="156" spans="2:21" s="93" customFormat="1" ht="216" x14ac:dyDescent="0.3">
      <c r="B156" s="94" t="s">
        <v>513</v>
      </c>
      <c r="C156" s="95" t="s">
        <v>514</v>
      </c>
      <c r="D156" s="96">
        <v>4800000</v>
      </c>
      <c r="E156" s="96">
        <v>5052631.578947369</v>
      </c>
      <c r="F156" s="96">
        <v>4800000</v>
      </c>
      <c r="G156" s="96">
        <v>5052631.578947369</v>
      </c>
      <c r="H156" s="95" t="s">
        <v>39</v>
      </c>
      <c r="I156" s="94" t="s">
        <v>40</v>
      </c>
      <c r="J156" s="94" t="s">
        <v>41</v>
      </c>
      <c r="K156" s="94" t="s">
        <v>42</v>
      </c>
      <c r="L156" s="94" t="s">
        <v>49</v>
      </c>
      <c r="M156" s="95" t="s">
        <v>85</v>
      </c>
      <c r="N156" s="94" t="s">
        <v>86</v>
      </c>
      <c r="O156" s="95" t="s">
        <v>171</v>
      </c>
      <c r="P156" s="95" t="s">
        <v>171</v>
      </c>
      <c r="Q156" s="95" t="s">
        <v>515</v>
      </c>
      <c r="T156" s="97"/>
      <c r="U156" s="97"/>
    </row>
    <row r="157" spans="2:21" s="93" customFormat="1" ht="240" x14ac:dyDescent="0.3">
      <c r="B157" s="94" t="s">
        <v>180</v>
      </c>
      <c r="C157" s="95" t="s">
        <v>516</v>
      </c>
      <c r="D157" s="96">
        <v>4760000</v>
      </c>
      <c r="E157" s="96">
        <v>5010526.3157894742</v>
      </c>
      <c r="F157" s="96">
        <v>4760000</v>
      </c>
      <c r="G157" s="96">
        <v>5010526.3157894742</v>
      </c>
      <c r="H157" s="95" t="s">
        <v>39</v>
      </c>
      <c r="I157" s="94" t="s">
        <v>40</v>
      </c>
      <c r="J157" s="94" t="s">
        <v>41</v>
      </c>
      <c r="K157" s="94" t="s">
        <v>42</v>
      </c>
      <c r="L157" s="94" t="s">
        <v>49</v>
      </c>
      <c r="M157" s="95" t="s">
        <v>50</v>
      </c>
      <c r="N157" s="94" t="s">
        <v>221</v>
      </c>
      <c r="O157" s="95" t="s">
        <v>171</v>
      </c>
      <c r="P157" s="95" t="s">
        <v>171</v>
      </c>
      <c r="Q157" s="95" t="s">
        <v>517</v>
      </c>
      <c r="T157" s="97"/>
      <c r="U157" s="97"/>
    </row>
    <row r="158" spans="2:21" s="93" customFormat="1" ht="132" x14ac:dyDescent="0.3">
      <c r="B158" s="94" t="s">
        <v>172</v>
      </c>
      <c r="C158" s="95" t="s">
        <v>518</v>
      </c>
      <c r="D158" s="96">
        <v>4700000</v>
      </c>
      <c r="E158" s="96">
        <v>4947368.4210526319</v>
      </c>
      <c r="F158" s="96">
        <v>4700000</v>
      </c>
      <c r="G158" s="96">
        <v>4947368.4210526319</v>
      </c>
      <c r="H158" s="95" t="s">
        <v>39</v>
      </c>
      <c r="I158" s="94" t="s">
        <v>40</v>
      </c>
      <c r="J158" s="94" t="s">
        <v>41</v>
      </c>
      <c r="K158" s="94" t="s">
        <v>42</v>
      </c>
      <c r="L158" s="94" t="s">
        <v>43</v>
      </c>
      <c r="M158" s="95" t="s">
        <v>193</v>
      </c>
      <c r="N158" s="94" t="s">
        <v>194</v>
      </c>
      <c r="O158" s="95" t="s">
        <v>171</v>
      </c>
      <c r="P158" s="95" t="s">
        <v>171</v>
      </c>
      <c r="Q158" s="95" t="s">
        <v>519</v>
      </c>
      <c r="T158" s="97"/>
      <c r="U158" s="97"/>
    </row>
    <row r="159" spans="2:21" s="93" customFormat="1" ht="228" x14ac:dyDescent="0.3">
      <c r="B159" s="94" t="s">
        <v>520</v>
      </c>
      <c r="C159" s="95" t="s">
        <v>521</v>
      </c>
      <c r="D159" s="96">
        <v>4620000</v>
      </c>
      <c r="E159" s="96">
        <v>4863157.8947368423</v>
      </c>
      <c r="F159" s="96">
        <v>4620000</v>
      </c>
      <c r="G159" s="96">
        <v>4863157.8947368423</v>
      </c>
      <c r="H159" s="95" t="s">
        <v>39</v>
      </c>
      <c r="I159" s="94" t="s">
        <v>40</v>
      </c>
      <c r="J159" s="94" t="s">
        <v>41</v>
      </c>
      <c r="K159" s="94" t="s">
        <v>42</v>
      </c>
      <c r="L159" s="94" t="s">
        <v>62</v>
      </c>
      <c r="M159" s="95" t="s">
        <v>85</v>
      </c>
      <c r="N159" s="94" t="s">
        <v>86</v>
      </c>
      <c r="O159" s="95" t="s">
        <v>171</v>
      </c>
      <c r="P159" s="95" t="s">
        <v>171</v>
      </c>
      <c r="Q159" s="95" t="s">
        <v>522</v>
      </c>
      <c r="T159" s="97"/>
      <c r="U159" s="97"/>
    </row>
    <row r="160" spans="2:21" s="93" customFormat="1" ht="168" x14ac:dyDescent="0.3">
      <c r="B160" s="94" t="s">
        <v>523</v>
      </c>
      <c r="C160" s="95" t="s">
        <v>524</v>
      </c>
      <c r="D160" s="96">
        <v>4600000</v>
      </c>
      <c r="E160" s="96">
        <v>4842105.2631578948</v>
      </c>
      <c r="F160" s="96">
        <v>4600000</v>
      </c>
      <c r="G160" s="96">
        <v>4842105.2631578948</v>
      </c>
      <c r="H160" s="95" t="s">
        <v>39</v>
      </c>
      <c r="I160" s="94" t="s">
        <v>40</v>
      </c>
      <c r="J160" s="94" t="s">
        <v>41</v>
      </c>
      <c r="K160" s="94" t="s">
        <v>42</v>
      </c>
      <c r="L160" s="94" t="s">
        <v>49</v>
      </c>
      <c r="M160" s="95" t="s">
        <v>193</v>
      </c>
      <c r="N160" s="94" t="s">
        <v>194</v>
      </c>
      <c r="O160" s="95" t="s">
        <v>171</v>
      </c>
      <c r="P160" s="95" t="s">
        <v>171</v>
      </c>
      <c r="Q160" s="95" t="s">
        <v>525</v>
      </c>
      <c r="T160" s="97"/>
      <c r="U160" s="97"/>
    </row>
    <row r="161" spans="2:21" s="93" customFormat="1" ht="228" x14ac:dyDescent="0.3">
      <c r="B161" s="94" t="s">
        <v>177</v>
      </c>
      <c r="C161" s="95" t="s">
        <v>526</v>
      </c>
      <c r="D161" s="96">
        <v>4400000</v>
      </c>
      <c r="E161" s="96">
        <v>4631578.9473684216</v>
      </c>
      <c r="F161" s="96">
        <v>4400000</v>
      </c>
      <c r="G161" s="96">
        <v>4631578.9473684216</v>
      </c>
      <c r="H161" s="95" t="s">
        <v>39</v>
      </c>
      <c r="I161" s="94" t="s">
        <v>40</v>
      </c>
      <c r="J161" s="94" t="s">
        <v>41</v>
      </c>
      <c r="K161" s="94" t="s">
        <v>42</v>
      </c>
      <c r="L161" s="94" t="s">
        <v>62</v>
      </c>
      <c r="M161" s="95" t="s">
        <v>44</v>
      </c>
      <c r="N161" s="94" t="s">
        <v>45</v>
      </c>
      <c r="O161" s="95" t="s">
        <v>171</v>
      </c>
      <c r="P161" s="95" t="s">
        <v>171</v>
      </c>
      <c r="Q161" s="95" t="s">
        <v>527</v>
      </c>
      <c r="T161" s="97"/>
      <c r="U161" s="97"/>
    </row>
    <row r="162" spans="2:21" s="93" customFormat="1" ht="216" x14ac:dyDescent="0.3">
      <c r="B162" s="94" t="s">
        <v>528</v>
      </c>
      <c r="C162" s="95" t="s">
        <v>529</v>
      </c>
      <c r="D162" s="96">
        <v>4376000</v>
      </c>
      <c r="E162" s="96">
        <v>4606315.7894736845</v>
      </c>
      <c r="F162" s="96">
        <v>4376000</v>
      </c>
      <c r="G162" s="96">
        <v>4606315.7894736845</v>
      </c>
      <c r="H162" s="95" t="s">
        <v>39</v>
      </c>
      <c r="I162" s="94" t="s">
        <v>40</v>
      </c>
      <c r="J162" s="94" t="s">
        <v>41</v>
      </c>
      <c r="K162" s="94" t="s">
        <v>42</v>
      </c>
      <c r="L162" s="94" t="s">
        <v>43</v>
      </c>
      <c r="M162" s="95" t="s">
        <v>193</v>
      </c>
      <c r="N162" s="94" t="s">
        <v>194</v>
      </c>
      <c r="O162" s="95" t="s">
        <v>171</v>
      </c>
      <c r="P162" s="95" t="s">
        <v>171</v>
      </c>
      <c r="Q162" s="95" t="s">
        <v>530</v>
      </c>
      <c r="T162" s="97"/>
      <c r="U162" s="97"/>
    </row>
    <row r="163" spans="2:21" s="93" customFormat="1" ht="216" x14ac:dyDescent="0.3">
      <c r="B163" s="94" t="s">
        <v>528</v>
      </c>
      <c r="C163" s="95" t="s">
        <v>531</v>
      </c>
      <c r="D163" s="96">
        <v>4160000</v>
      </c>
      <c r="E163" s="96">
        <v>4378947.3684210526</v>
      </c>
      <c r="F163" s="96">
        <v>4160000</v>
      </c>
      <c r="G163" s="96">
        <v>4378947.3684210526</v>
      </c>
      <c r="H163" s="95" t="s">
        <v>39</v>
      </c>
      <c r="I163" s="94" t="s">
        <v>40</v>
      </c>
      <c r="J163" s="94" t="s">
        <v>41</v>
      </c>
      <c r="K163" s="94" t="s">
        <v>42</v>
      </c>
      <c r="L163" s="94" t="s">
        <v>62</v>
      </c>
      <c r="M163" s="95" t="s">
        <v>44</v>
      </c>
      <c r="N163" s="94" t="s">
        <v>45</v>
      </c>
      <c r="O163" s="95" t="s">
        <v>171</v>
      </c>
      <c r="P163" s="95" t="s">
        <v>171</v>
      </c>
      <c r="Q163" s="95" t="s">
        <v>532</v>
      </c>
      <c r="T163" s="97"/>
      <c r="U163" s="97"/>
    </row>
    <row r="164" spans="2:21" s="93" customFormat="1" ht="108" x14ac:dyDescent="0.3">
      <c r="B164" s="94" t="s">
        <v>208</v>
      </c>
      <c r="C164" s="95" t="s">
        <v>310</v>
      </c>
      <c r="D164" s="96">
        <v>4113404.0000000009</v>
      </c>
      <c r="E164" s="96">
        <v>4329898.9473684225</v>
      </c>
      <c r="F164" s="96">
        <v>4113404.0000000009</v>
      </c>
      <c r="G164" s="96">
        <v>4329898.9473684225</v>
      </c>
      <c r="H164" s="95" t="s">
        <v>39</v>
      </c>
      <c r="I164" s="94" t="s">
        <v>40</v>
      </c>
      <c r="J164" s="94" t="s">
        <v>41</v>
      </c>
      <c r="K164" s="94" t="s">
        <v>42</v>
      </c>
      <c r="L164" s="94" t="s">
        <v>49</v>
      </c>
      <c r="M164" s="95" t="s">
        <v>63</v>
      </c>
      <c r="N164" s="94" t="s">
        <v>64</v>
      </c>
      <c r="O164" s="95" t="s">
        <v>171</v>
      </c>
      <c r="P164" s="95" t="s">
        <v>171</v>
      </c>
      <c r="Q164" s="95" t="s">
        <v>311</v>
      </c>
      <c r="T164" s="97"/>
      <c r="U164" s="97"/>
    </row>
    <row r="165" spans="2:21" s="93" customFormat="1" ht="216" x14ac:dyDescent="0.3">
      <c r="B165" s="94" t="s">
        <v>366</v>
      </c>
      <c r="C165" s="95" t="s">
        <v>533</v>
      </c>
      <c r="D165" s="96">
        <v>4080000</v>
      </c>
      <c r="E165" s="96">
        <v>4294736.8421052629</v>
      </c>
      <c r="F165" s="96">
        <v>4080000</v>
      </c>
      <c r="G165" s="96">
        <v>4294736.8421052629</v>
      </c>
      <c r="H165" s="95" t="s">
        <v>39</v>
      </c>
      <c r="I165" s="94" t="s">
        <v>40</v>
      </c>
      <c r="J165" s="94" t="s">
        <v>41</v>
      </c>
      <c r="K165" s="94" t="s">
        <v>42</v>
      </c>
      <c r="L165" s="94" t="s">
        <v>49</v>
      </c>
      <c r="M165" s="95" t="s">
        <v>50</v>
      </c>
      <c r="N165" s="94" t="s">
        <v>221</v>
      </c>
      <c r="O165" s="95" t="s">
        <v>171</v>
      </c>
      <c r="P165" s="95" t="s">
        <v>171</v>
      </c>
      <c r="Q165" s="95" t="s">
        <v>534</v>
      </c>
      <c r="T165" s="97"/>
      <c r="U165" s="97"/>
    </row>
    <row r="166" spans="2:21" s="93" customFormat="1" ht="120" x14ac:dyDescent="0.3">
      <c r="B166" s="94" t="s">
        <v>301</v>
      </c>
      <c r="C166" s="95" t="s">
        <v>535</v>
      </c>
      <c r="D166" s="96">
        <v>4000000</v>
      </c>
      <c r="E166" s="96">
        <v>4210526.3157894742</v>
      </c>
      <c r="F166" s="96">
        <v>4000000</v>
      </c>
      <c r="G166" s="96">
        <v>4210526.3157894742</v>
      </c>
      <c r="H166" s="95" t="s">
        <v>39</v>
      </c>
      <c r="I166" s="94" t="s">
        <v>40</v>
      </c>
      <c r="J166" s="94" t="s">
        <v>41</v>
      </c>
      <c r="K166" s="94" t="s">
        <v>42</v>
      </c>
      <c r="L166" s="94" t="s">
        <v>62</v>
      </c>
      <c r="M166" s="95" t="s">
        <v>50</v>
      </c>
      <c r="N166" s="94" t="s">
        <v>536</v>
      </c>
      <c r="O166" s="95" t="s">
        <v>171</v>
      </c>
      <c r="P166" s="95" t="s">
        <v>171</v>
      </c>
      <c r="Q166" s="95" t="s">
        <v>537</v>
      </c>
      <c r="T166" s="97"/>
      <c r="U166" s="97"/>
    </row>
    <row r="167" spans="2:21" s="93" customFormat="1" ht="84" x14ac:dyDescent="0.3">
      <c r="B167" s="94" t="s">
        <v>352</v>
      </c>
      <c r="C167" s="95" t="s">
        <v>538</v>
      </c>
      <c r="D167" s="96">
        <v>4000000</v>
      </c>
      <c r="E167" s="96">
        <v>4210526.3157894742</v>
      </c>
      <c r="F167" s="96">
        <v>4000000</v>
      </c>
      <c r="G167" s="96">
        <v>4210526.3157894742</v>
      </c>
      <c r="H167" s="95" t="s">
        <v>39</v>
      </c>
      <c r="I167" s="94" t="s">
        <v>40</v>
      </c>
      <c r="J167" s="94" t="s">
        <v>41</v>
      </c>
      <c r="K167" s="94" t="s">
        <v>42</v>
      </c>
      <c r="L167" s="94" t="s">
        <v>62</v>
      </c>
      <c r="M167" s="95" t="s">
        <v>63</v>
      </c>
      <c r="N167" s="94" t="s">
        <v>64</v>
      </c>
      <c r="O167" s="95" t="s">
        <v>171</v>
      </c>
      <c r="P167" s="95" t="s">
        <v>171</v>
      </c>
      <c r="Q167" s="95" t="s">
        <v>539</v>
      </c>
      <c r="T167" s="97"/>
      <c r="U167" s="97"/>
    </row>
    <row r="168" spans="2:21" s="93" customFormat="1" ht="180" x14ac:dyDescent="0.3">
      <c r="B168" s="94" t="s">
        <v>540</v>
      </c>
      <c r="C168" s="95" t="s">
        <v>541</v>
      </c>
      <c r="D168" s="96">
        <v>4000000</v>
      </c>
      <c r="E168" s="96">
        <v>4210526.3157894742</v>
      </c>
      <c r="F168" s="96">
        <v>4000000</v>
      </c>
      <c r="G168" s="96">
        <v>4210526.3157894742</v>
      </c>
      <c r="H168" s="95" t="s">
        <v>39</v>
      </c>
      <c r="I168" s="94" t="s">
        <v>40</v>
      </c>
      <c r="J168" s="94" t="s">
        <v>41</v>
      </c>
      <c r="K168" s="94" t="s">
        <v>42</v>
      </c>
      <c r="L168" s="94" t="s">
        <v>62</v>
      </c>
      <c r="M168" s="95" t="s">
        <v>63</v>
      </c>
      <c r="N168" s="94" t="s">
        <v>64</v>
      </c>
      <c r="O168" s="95" t="s">
        <v>171</v>
      </c>
      <c r="P168" s="95" t="s">
        <v>171</v>
      </c>
      <c r="Q168" s="95" t="s">
        <v>542</v>
      </c>
      <c r="T168" s="97"/>
      <c r="U168" s="97"/>
    </row>
    <row r="169" spans="2:21" s="93" customFormat="1" ht="72" x14ac:dyDescent="0.3">
      <c r="B169" s="94" t="s">
        <v>198</v>
      </c>
      <c r="C169" s="95" t="s">
        <v>543</v>
      </c>
      <c r="D169" s="96">
        <v>4000000</v>
      </c>
      <c r="E169" s="96">
        <v>4210526.3157894742</v>
      </c>
      <c r="F169" s="96">
        <v>4000000</v>
      </c>
      <c r="G169" s="96">
        <v>4210526.3157894742</v>
      </c>
      <c r="H169" s="95" t="s">
        <v>39</v>
      </c>
      <c r="I169" s="94" t="s">
        <v>40</v>
      </c>
      <c r="J169" s="94" t="s">
        <v>41</v>
      </c>
      <c r="K169" s="94" t="s">
        <v>42</v>
      </c>
      <c r="L169" s="94" t="s">
        <v>62</v>
      </c>
      <c r="M169" s="95" t="s">
        <v>63</v>
      </c>
      <c r="N169" s="94" t="s">
        <v>64</v>
      </c>
      <c r="O169" s="95" t="s">
        <v>171</v>
      </c>
      <c r="P169" s="95" t="s">
        <v>171</v>
      </c>
      <c r="Q169" s="95" t="s">
        <v>544</v>
      </c>
      <c r="T169" s="97"/>
      <c r="U169" s="97"/>
    </row>
    <row r="170" spans="2:21" s="93" customFormat="1" ht="228" x14ac:dyDescent="0.3">
      <c r="B170" s="94" t="s">
        <v>81</v>
      </c>
      <c r="C170" s="95" t="s">
        <v>545</v>
      </c>
      <c r="D170" s="96">
        <v>4000000</v>
      </c>
      <c r="E170" s="96">
        <v>4210526.3157894742</v>
      </c>
      <c r="F170" s="96">
        <v>4000000</v>
      </c>
      <c r="G170" s="96">
        <v>4210526.3157894742</v>
      </c>
      <c r="H170" s="95" t="s">
        <v>39</v>
      </c>
      <c r="I170" s="94" t="s">
        <v>40</v>
      </c>
      <c r="J170" s="94" t="s">
        <v>41</v>
      </c>
      <c r="K170" s="94" t="s">
        <v>42</v>
      </c>
      <c r="L170" s="94" t="s">
        <v>62</v>
      </c>
      <c r="M170" s="95" t="s">
        <v>63</v>
      </c>
      <c r="N170" s="94" t="s">
        <v>64</v>
      </c>
      <c r="O170" s="95" t="s">
        <v>171</v>
      </c>
      <c r="P170" s="95" t="s">
        <v>171</v>
      </c>
      <c r="Q170" s="95" t="s">
        <v>546</v>
      </c>
      <c r="T170" s="97"/>
      <c r="U170" s="97"/>
    </row>
    <row r="171" spans="2:21" s="93" customFormat="1" ht="120" x14ac:dyDescent="0.3">
      <c r="B171" s="94" t="s">
        <v>443</v>
      </c>
      <c r="C171" s="95" t="s">
        <v>547</v>
      </c>
      <c r="D171" s="96">
        <v>4000000</v>
      </c>
      <c r="E171" s="96">
        <v>4210526.3157894742</v>
      </c>
      <c r="F171" s="96">
        <v>4000000</v>
      </c>
      <c r="G171" s="96">
        <v>4210526.3157894742</v>
      </c>
      <c r="H171" s="95" t="s">
        <v>39</v>
      </c>
      <c r="I171" s="94" t="s">
        <v>40</v>
      </c>
      <c r="J171" s="94" t="s">
        <v>41</v>
      </c>
      <c r="K171" s="94" t="s">
        <v>42</v>
      </c>
      <c r="L171" s="94" t="s">
        <v>62</v>
      </c>
      <c r="M171" s="95" t="s">
        <v>63</v>
      </c>
      <c r="N171" s="94" t="s">
        <v>64</v>
      </c>
      <c r="O171" s="95" t="s">
        <v>171</v>
      </c>
      <c r="P171" s="95" t="s">
        <v>171</v>
      </c>
      <c r="Q171" s="95" t="s">
        <v>548</v>
      </c>
      <c r="T171" s="97"/>
      <c r="U171" s="97"/>
    </row>
    <row r="172" spans="2:21" s="93" customFormat="1" ht="216" x14ac:dyDescent="0.3">
      <c r="B172" s="94" t="s">
        <v>381</v>
      </c>
      <c r="C172" s="95" t="s">
        <v>549</v>
      </c>
      <c r="D172" s="96">
        <v>4000000</v>
      </c>
      <c r="E172" s="96">
        <v>4210526.3157894742</v>
      </c>
      <c r="F172" s="96">
        <v>4000000</v>
      </c>
      <c r="G172" s="96">
        <v>4210526.3157894742</v>
      </c>
      <c r="H172" s="95" t="s">
        <v>39</v>
      </c>
      <c r="I172" s="94" t="s">
        <v>40</v>
      </c>
      <c r="J172" s="94" t="s">
        <v>41</v>
      </c>
      <c r="K172" s="94" t="s">
        <v>42</v>
      </c>
      <c r="L172" s="94" t="s">
        <v>49</v>
      </c>
      <c r="M172" s="95" t="s">
        <v>50</v>
      </c>
      <c r="N172" s="94" t="s">
        <v>296</v>
      </c>
      <c r="O172" s="95" t="s">
        <v>171</v>
      </c>
      <c r="P172" s="95" t="s">
        <v>171</v>
      </c>
      <c r="Q172" s="95" t="s">
        <v>550</v>
      </c>
      <c r="T172" s="97"/>
      <c r="U172" s="97"/>
    </row>
    <row r="173" spans="2:21" s="93" customFormat="1" ht="192" x14ac:dyDescent="0.3">
      <c r="B173" s="94" t="s">
        <v>551</v>
      </c>
      <c r="C173" s="95" t="s">
        <v>552</v>
      </c>
      <c r="D173" s="96">
        <v>4000000</v>
      </c>
      <c r="E173" s="96">
        <v>4210526.3157894742</v>
      </c>
      <c r="F173" s="96">
        <v>4000000</v>
      </c>
      <c r="G173" s="96">
        <v>4210526.3157894742</v>
      </c>
      <c r="H173" s="95" t="s">
        <v>39</v>
      </c>
      <c r="I173" s="94" t="s">
        <v>40</v>
      </c>
      <c r="J173" s="94" t="s">
        <v>41</v>
      </c>
      <c r="K173" s="94" t="s">
        <v>42</v>
      </c>
      <c r="L173" s="94" t="s">
        <v>62</v>
      </c>
      <c r="M173" s="95" t="s">
        <v>50</v>
      </c>
      <c r="N173" s="94" t="s">
        <v>90</v>
      </c>
      <c r="O173" s="95" t="s">
        <v>171</v>
      </c>
      <c r="P173" s="95" t="s">
        <v>171</v>
      </c>
      <c r="Q173" s="95" t="s">
        <v>553</v>
      </c>
      <c r="T173" s="97"/>
      <c r="U173" s="97"/>
    </row>
    <row r="174" spans="2:21" s="93" customFormat="1" ht="108" x14ac:dyDescent="0.3">
      <c r="B174" s="94" t="s">
        <v>391</v>
      </c>
      <c r="C174" s="95" t="s">
        <v>554</v>
      </c>
      <c r="D174" s="96">
        <v>4000000</v>
      </c>
      <c r="E174" s="96">
        <v>4210526.3157894742</v>
      </c>
      <c r="F174" s="96">
        <v>4000000</v>
      </c>
      <c r="G174" s="96">
        <v>4210526.3157894742</v>
      </c>
      <c r="H174" s="95" t="s">
        <v>39</v>
      </c>
      <c r="I174" s="94" t="s">
        <v>40</v>
      </c>
      <c r="J174" s="94" t="s">
        <v>41</v>
      </c>
      <c r="K174" s="94" t="s">
        <v>42</v>
      </c>
      <c r="L174" s="94" t="s">
        <v>62</v>
      </c>
      <c r="M174" s="95" t="s">
        <v>63</v>
      </c>
      <c r="N174" s="94" t="s">
        <v>64</v>
      </c>
      <c r="O174" s="95" t="s">
        <v>171</v>
      </c>
      <c r="P174" s="95" t="s">
        <v>171</v>
      </c>
      <c r="Q174" s="95" t="s">
        <v>555</v>
      </c>
      <c r="T174" s="97"/>
      <c r="U174" s="97"/>
    </row>
    <row r="175" spans="2:21" s="93" customFormat="1" ht="96" x14ac:dyDescent="0.3">
      <c r="B175" s="94" t="s">
        <v>381</v>
      </c>
      <c r="C175" s="95" t="s">
        <v>556</v>
      </c>
      <c r="D175" s="96">
        <v>4000000</v>
      </c>
      <c r="E175" s="96">
        <v>4210526.3157894742</v>
      </c>
      <c r="F175" s="96">
        <v>4000000</v>
      </c>
      <c r="G175" s="96">
        <v>4210526.3157894742</v>
      </c>
      <c r="H175" s="95" t="s">
        <v>39</v>
      </c>
      <c r="I175" s="94" t="s">
        <v>40</v>
      </c>
      <c r="J175" s="94" t="s">
        <v>41</v>
      </c>
      <c r="K175" s="94" t="s">
        <v>42</v>
      </c>
      <c r="L175" s="94" t="s">
        <v>62</v>
      </c>
      <c r="M175" s="95" t="s">
        <v>63</v>
      </c>
      <c r="N175" s="94" t="s">
        <v>64</v>
      </c>
      <c r="O175" s="95" t="s">
        <v>171</v>
      </c>
      <c r="P175" s="95" t="s">
        <v>171</v>
      </c>
      <c r="Q175" s="95" t="s">
        <v>557</v>
      </c>
      <c r="T175" s="97"/>
      <c r="U175" s="97"/>
    </row>
    <row r="176" spans="2:21" s="93" customFormat="1" ht="216" x14ac:dyDescent="0.3">
      <c r="B176" s="94" t="s">
        <v>169</v>
      </c>
      <c r="C176" s="95" t="s">
        <v>558</v>
      </c>
      <c r="D176" s="96">
        <v>4000000</v>
      </c>
      <c r="E176" s="96">
        <v>4210526.3157894742</v>
      </c>
      <c r="F176" s="96">
        <v>4000000</v>
      </c>
      <c r="G176" s="96">
        <v>4210526.3157894742</v>
      </c>
      <c r="H176" s="95" t="s">
        <v>39</v>
      </c>
      <c r="I176" s="94" t="s">
        <v>40</v>
      </c>
      <c r="J176" s="94" t="s">
        <v>41</v>
      </c>
      <c r="K176" s="94" t="s">
        <v>42</v>
      </c>
      <c r="L176" s="94" t="s">
        <v>43</v>
      </c>
      <c r="M176" s="95" t="s">
        <v>54</v>
      </c>
      <c r="N176" s="94" t="s">
        <v>55</v>
      </c>
      <c r="O176" s="95" t="s">
        <v>171</v>
      </c>
      <c r="P176" s="95" t="s">
        <v>171</v>
      </c>
      <c r="Q176" s="95" t="s">
        <v>559</v>
      </c>
      <c r="T176" s="97"/>
      <c r="U176" s="97"/>
    </row>
    <row r="177" spans="2:21" s="93" customFormat="1" ht="216" x14ac:dyDescent="0.3">
      <c r="B177" s="94" t="s">
        <v>398</v>
      </c>
      <c r="C177" s="95" t="s">
        <v>560</v>
      </c>
      <c r="D177" s="96">
        <v>4000000</v>
      </c>
      <c r="E177" s="96">
        <v>4210526.3157894742</v>
      </c>
      <c r="F177" s="96">
        <v>4000000</v>
      </c>
      <c r="G177" s="96">
        <v>4210526.3157894742</v>
      </c>
      <c r="H177" s="95" t="s">
        <v>39</v>
      </c>
      <c r="I177" s="94" t="s">
        <v>40</v>
      </c>
      <c r="J177" s="94" t="s">
        <v>41</v>
      </c>
      <c r="K177" s="94" t="s">
        <v>42</v>
      </c>
      <c r="L177" s="94" t="s">
        <v>62</v>
      </c>
      <c r="M177" s="95" t="s">
        <v>234</v>
      </c>
      <c r="N177" s="94" t="s">
        <v>235</v>
      </c>
      <c r="O177" s="95" t="s">
        <v>171</v>
      </c>
      <c r="P177" s="95" t="s">
        <v>171</v>
      </c>
      <c r="Q177" s="95" t="s">
        <v>561</v>
      </c>
      <c r="T177" s="97"/>
      <c r="U177" s="97"/>
    </row>
    <row r="178" spans="2:21" s="93" customFormat="1" ht="228" x14ac:dyDescent="0.3">
      <c r="B178" s="94" t="s">
        <v>169</v>
      </c>
      <c r="C178" s="95" t="s">
        <v>562</v>
      </c>
      <c r="D178" s="96">
        <v>3790556</v>
      </c>
      <c r="E178" s="96">
        <v>3990058.9473684211</v>
      </c>
      <c r="F178" s="96">
        <v>3790556</v>
      </c>
      <c r="G178" s="96">
        <v>3990058.9473684211</v>
      </c>
      <c r="H178" s="95" t="s">
        <v>39</v>
      </c>
      <c r="I178" s="94" t="s">
        <v>40</v>
      </c>
      <c r="J178" s="94" t="s">
        <v>41</v>
      </c>
      <c r="K178" s="94" t="s">
        <v>42</v>
      </c>
      <c r="L178" s="94" t="s">
        <v>62</v>
      </c>
      <c r="M178" s="95" t="s">
        <v>44</v>
      </c>
      <c r="N178" s="94" t="s">
        <v>45</v>
      </c>
      <c r="O178" s="95" t="s">
        <v>171</v>
      </c>
      <c r="P178" s="95" t="s">
        <v>171</v>
      </c>
      <c r="Q178" s="95" t="s">
        <v>563</v>
      </c>
      <c r="T178" s="97"/>
      <c r="U178" s="97"/>
    </row>
    <row r="179" spans="2:21" s="93" customFormat="1" ht="108" x14ac:dyDescent="0.3">
      <c r="B179" s="94" t="s">
        <v>438</v>
      </c>
      <c r="C179" s="95" t="s">
        <v>310</v>
      </c>
      <c r="D179" s="96">
        <v>3686780.0000000009</v>
      </c>
      <c r="E179" s="96">
        <v>3880821.0526315803</v>
      </c>
      <c r="F179" s="96">
        <v>3686780.0000000009</v>
      </c>
      <c r="G179" s="96">
        <v>3880821.0526315803</v>
      </c>
      <c r="H179" s="95" t="s">
        <v>39</v>
      </c>
      <c r="I179" s="94" t="s">
        <v>40</v>
      </c>
      <c r="J179" s="94" t="s">
        <v>41</v>
      </c>
      <c r="K179" s="94" t="s">
        <v>42</v>
      </c>
      <c r="L179" s="94" t="s">
        <v>49</v>
      </c>
      <c r="M179" s="95" t="s">
        <v>63</v>
      </c>
      <c r="N179" s="94" t="s">
        <v>64</v>
      </c>
      <c r="O179" s="95" t="s">
        <v>171</v>
      </c>
      <c r="P179" s="95" t="s">
        <v>171</v>
      </c>
      <c r="Q179" s="95" t="s">
        <v>311</v>
      </c>
      <c r="T179" s="97"/>
      <c r="U179" s="97"/>
    </row>
    <row r="180" spans="2:21" s="93" customFormat="1" ht="96" x14ac:dyDescent="0.3">
      <c r="B180" s="94" t="s">
        <v>510</v>
      </c>
      <c r="C180" s="95" t="s">
        <v>564</v>
      </c>
      <c r="D180" s="96">
        <v>3600000</v>
      </c>
      <c r="E180" s="96">
        <v>3789473.6842105263</v>
      </c>
      <c r="F180" s="96">
        <v>3600000</v>
      </c>
      <c r="G180" s="96">
        <v>3789473.6842105263</v>
      </c>
      <c r="H180" s="95" t="s">
        <v>39</v>
      </c>
      <c r="I180" s="94" t="s">
        <v>40</v>
      </c>
      <c r="J180" s="94" t="s">
        <v>41</v>
      </c>
      <c r="K180" s="94" t="s">
        <v>42</v>
      </c>
      <c r="L180" s="94" t="s">
        <v>62</v>
      </c>
      <c r="M180" s="95" t="s">
        <v>49</v>
      </c>
      <c r="N180" s="94" t="s">
        <v>82</v>
      </c>
      <c r="O180" s="95" t="s">
        <v>171</v>
      </c>
      <c r="P180" s="95" t="s">
        <v>171</v>
      </c>
      <c r="Q180" s="95" t="s">
        <v>565</v>
      </c>
      <c r="T180" s="97"/>
      <c r="U180" s="97"/>
    </row>
    <row r="181" spans="2:21" s="93" customFormat="1" ht="216" x14ac:dyDescent="0.3">
      <c r="B181" s="94" t="s">
        <v>172</v>
      </c>
      <c r="C181" s="95" t="s">
        <v>566</v>
      </c>
      <c r="D181" s="96">
        <v>3400000</v>
      </c>
      <c r="E181" s="96">
        <v>3578947.3684210526</v>
      </c>
      <c r="F181" s="96">
        <v>3400000</v>
      </c>
      <c r="G181" s="96">
        <v>3578947.3684210526</v>
      </c>
      <c r="H181" s="95" t="s">
        <v>39</v>
      </c>
      <c r="I181" s="94" t="s">
        <v>40</v>
      </c>
      <c r="J181" s="94" t="s">
        <v>41</v>
      </c>
      <c r="K181" s="94" t="s">
        <v>42</v>
      </c>
      <c r="L181" s="94" t="s">
        <v>62</v>
      </c>
      <c r="M181" s="95" t="s">
        <v>50</v>
      </c>
      <c r="N181" s="94" t="s">
        <v>567</v>
      </c>
      <c r="O181" s="95" t="s">
        <v>171</v>
      </c>
      <c r="P181" s="95" t="s">
        <v>171</v>
      </c>
      <c r="Q181" s="95" t="s">
        <v>568</v>
      </c>
      <c r="T181" s="97"/>
      <c r="U181" s="97"/>
    </row>
    <row r="182" spans="2:21" s="93" customFormat="1" ht="120" x14ac:dyDescent="0.3">
      <c r="B182" s="94" t="s">
        <v>169</v>
      </c>
      <c r="C182" s="95" t="s">
        <v>569</v>
      </c>
      <c r="D182" s="96">
        <v>3250000</v>
      </c>
      <c r="E182" s="96">
        <v>3421052.6315789474</v>
      </c>
      <c r="F182" s="96">
        <v>3250000</v>
      </c>
      <c r="G182" s="96">
        <v>3421052.6315789474</v>
      </c>
      <c r="H182" s="95" t="s">
        <v>39</v>
      </c>
      <c r="I182" s="94" t="s">
        <v>40</v>
      </c>
      <c r="J182" s="94" t="s">
        <v>41</v>
      </c>
      <c r="K182" s="94" t="s">
        <v>42</v>
      </c>
      <c r="L182" s="94" t="s">
        <v>49</v>
      </c>
      <c r="M182" s="95" t="s">
        <v>50</v>
      </c>
      <c r="N182" s="94" t="s">
        <v>90</v>
      </c>
      <c r="O182" s="95" t="s">
        <v>171</v>
      </c>
      <c r="P182" s="95" t="s">
        <v>171</v>
      </c>
      <c r="Q182" s="95" t="s">
        <v>569</v>
      </c>
      <c r="T182" s="97"/>
      <c r="U182" s="97"/>
    </row>
    <row r="183" spans="2:21" s="93" customFormat="1" ht="192" x14ac:dyDescent="0.3">
      <c r="B183" s="94" t="s">
        <v>172</v>
      </c>
      <c r="C183" s="95" t="s">
        <v>570</v>
      </c>
      <c r="D183" s="96">
        <v>3200000</v>
      </c>
      <c r="E183" s="96">
        <v>3368421.0526315789</v>
      </c>
      <c r="F183" s="96">
        <v>3200000</v>
      </c>
      <c r="G183" s="96">
        <v>3368421.0526315789</v>
      </c>
      <c r="H183" s="95" t="s">
        <v>39</v>
      </c>
      <c r="I183" s="94" t="s">
        <v>40</v>
      </c>
      <c r="J183" s="94" t="s">
        <v>41</v>
      </c>
      <c r="K183" s="94" t="s">
        <v>42</v>
      </c>
      <c r="L183" s="94" t="s">
        <v>62</v>
      </c>
      <c r="M183" s="95" t="s">
        <v>50</v>
      </c>
      <c r="N183" s="94" t="s">
        <v>221</v>
      </c>
      <c r="O183" s="95" t="s">
        <v>171</v>
      </c>
      <c r="P183" s="95" t="s">
        <v>171</v>
      </c>
      <c r="Q183" s="95" t="s">
        <v>571</v>
      </c>
      <c r="T183" s="97"/>
      <c r="U183" s="97"/>
    </row>
    <row r="184" spans="2:21" s="93" customFormat="1" ht="204" x14ac:dyDescent="0.3">
      <c r="B184" s="94" t="s">
        <v>340</v>
      </c>
      <c r="C184" s="95" t="s">
        <v>572</v>
      </c>
      <c r="D184" s="96">
        <v>3200000</v>
      </c>
      <c r="E184" s="96">
        <v>3368421.0526315789</v>
      </c>
      <c r="F184" s="96">
        <v>3200000</v>
      </c>
      <c r="G184" s="96">
        <v>3368421.0526315789</v>
      </c>
      <c r="H184" s="95" t="s">
        <v>39</v>
      </c>
      <c r="I184" s="94" t="s">
        <v>40</v>
      </c>
      <c r="J184" s="94" t="s">
        <v>41</v>
      </c>
      <c r="K184" s="94" t="s">
        <v>42</v>
      </c>
      <c r="L184" s="94" t="s">
        <v>62</v>
      </c>
      <c r="M184" s="95" t="s">
        <v>50</v>
      </c>
      <c r="N184" s="94" t="s">
        <v>573</v>
      </c>
      <c r="O184" s="95" t="s">
        <v>171</v>
      </c>
      <c r="P184" s="95" t="s">
        <v>171</v>
      </c>
      <c r="Q184" s="95" t="s">
        <v>574</v>
      </c>
      <c r="T184" s="97"/>
      <c r="U184" s="97"/>
    </row>
    <row r="185" spans="2:21" s="93" customFormat="1" ht="108" x14ac:dyDescent="0.3">
      <c r="B185" s="94" t="s">
        <v>371</v>
      </c>
      <c r="C185" s="95" t="s">
        <v>310</v>
      </c>
      <c r="D185" s="96">
        <v>3200000</v>
      </c>
      <c r="E185" s="96">
        <v>3368421.0526315789</v>
      </c>
      <c r="F185" s="96">
        <v>3200000</v>
      </c>
      <c r="G185" s="96">
        <v>3368421.0526315789</v>
      </c>
      <c r="H185" s="95" t="s">
        <v>39</v>
      </c>
      <c r="I185" s="94" t="s">
        <v>40</v>
      </c>
      <c r="J185" s="94" t="s">
        <v>41</v>
      </c>
      <c r="K185" s="94" t="s">
        <v>42</v>
      </c>
      <c r="L185" s="94" t="s">
        <v>49</v>
      </c>
      <c r="M185" s="95" t="s">
        <v>63</v>
      </c>
      <c r="N185" s="94" t="s">
        <v>64</v>
      </c>
      <c r="O185" s="95" t="s">
        <v>171</v>
      </c>
      <c r="P185" s="95" t="s">
        <v>171</v>
      </c>
      <c r="Q185" s="95" t="s">
        <v>311</v>
      </c>
      <c r="T185" s="97"/>
      <c r="U185" s="97"/>
    </row>
    <row r="186" spans="2:21" s="93" customFormat="1" ht="204" x14ac:dyDescent="0.3">
      <c r="B186" s="94" t="s">
        <v>319</v>
      </c>
      <c r="C186" s="95" t="s">
        <v>575</v>
      </c>
      <c r="D186" s="96">
        <v>3200000</v>
      </c>
      <c r="E186" s="96">
        <v>3368421.0526315789</v>
      </c>
      <c r="F186" s="96">
        <v>3200000</v>
      </c>
      <c r="G186" s="96">
        <v>3368421.0526315789</v>
      </c>
      <c r="H186" s="95" t="s">
        <v>39</v>
      </c>
      <c r="I186" s="94" t="s">
        <v>40</v>
      </c>
      <c r="J186" s="94" t="s">
        <v>41</v>
      </c>
      <c r="K186" s="94" t="s">
        <v>42</v>
      </c>
      <c r="L186" s="94" t="s">
        <v>43</v>
      </c>
      <c r="M186" s="95" t="s">
        <v>50</v>
      </c>
      <c r="N186" s="94" t="s">
        <v>573</v>
      </c>
      <c r="O186" s="95" t="s">
        <v>171</v>
      </c>
      <c r="P186" s="95" t="s">
        <v>171</v>
      </c>
      <c r="Q186" s="95" t="s">
        <v>576</v>
      </c>
      <c r="T186" s="97"/>
      <c r="U186" s="97"/>
    </row>
    <row r="187" spans="2:21" s="93" customFormat="1" ht="108" x14ac:dyDescent="0.3">
      <c r="B187" s="94" t="s">
        <v>438</v>
      </c>
      <c r="C187" s="95" t="s">
        <v>310</v>
      </c>
      <c r="D187" s="96">
        <v>3200000</v>
      </c>
      <c r="E187" s="96">
        <v>3368421.0526315789</v>
      </c>
      <c r="F187" s="96">
        <v>3200000</v>
      </c>
      <c r="G187" s="96">
        <v>3368421.0526315789</v>
      </c>
      <c r="H187" s="95" t="s">
        <v>39</v>
      </c>
      <c r="I187" s="94" t="s">
        <v>40</v>
      </c>
      <c r="J187" s="94" t="s">
        <v>41</v>
      </c>
      <c r="K187" s="94" t="s">
        <v>42</v>
      </c>
      <c r="L187" s="94" t="s">
        <v>49</v>
      </c>
      <c r="M187" s="95" t="s">
        <v>63</v>
      </c>
      <c r="N187" s="94" t="s">
        <v>64</v>
      </c>
      <c r="O187" s="95" t="s">
        <v>171</v>
      </c>
      <c r="P187" s="95" t="s">
        <v>171</v>
      </c>
      <c r="Q187" s="95" t="s">
        <v>311</v>
      </c>
      <c r="T187" s="97"/>
      <c r="U187" s="97"/>
    </row>
    <row r="188" spans="2:21" s="93" customFormat="1" ht="192" x14ac:dyDescent="0.3">
      <c r="B188" s="94" t="s">
        <v>172</v>
      </c>
      <c r="C188" s="95" t="s">
        <v>577</v>
      </c>
      <c r="D188" s="96">
        <v>3037552</v>
      </c>
      <c r="E188" s="96">
        <v>3197423.1578947371</v>
      </c>
      <c r="F188" s="96">
        <v>3037552</v>
      </c>
      <c r="G188" s="96">
        <v>3197423.1578947371</v>
      </c>
      <c r="H188" s="95" t="s">
        <v>39</v>
      </c>
      <c r="I188" s="94" t="s">
        <v>40</v>
      </c>
      <c r="J188" s="94" t="s">
        <v>41</v>
      </c>
      <c r="K188" s="94" t="s">
        <v>42</v>
      </c>
      <c r="L188" s="94" t="s">
        <v>62</v>
      </c>
      <c r="M188" s="95" t="s">
        <v>50</v>
      </c>
      <c r="N188" s="94" t="s">
        <v>221</v>
      </c>
      <c r="O188" s="95" t="s">
        <v>171</v>
      </c>
      <c r="P188" s="95" t="s">
        <v>171</v>
      </c>
      <c r="Q188" s="95" t="s">
        <v>578</v>
      </c>
      <c r="T188" s="97"/>
      <c r="U188" s="97"/>
    </row>
    <row r="189" spans="2:21" s="93" customFormat="1" ht="216" x14ac:dyDescent="0.3">
      <c r="B189" s="94" t="s">
        <v>169</v>
      </c>
      <c r="C189" s="95" t="s">
        <v>579</v>
      </c>
      <c r="D189" s="96">
        <v>3000000</v>
      </c>
      <c r="E189" s="96">
        <v>3157894.7368421056</v>
      </c>
      <c r="F189" s="96">
        <v>3000000</v>
      </c>
      <c r="G189" s="96">
        <v>3157894.7368421056</v>
      </c>
      <c r="H189" s="95" t="s">
        <v>39</v>
      </c>
      <c r="I189" s="94" t="s">
        <v>40</v>
      </c>
      <c r="J189" s="94" t="s">
        <v>41</v>
      </c>
      <c r="K189" s="94" t="s">
        <v>42</v>
      </c>
      <c r="L189" s="94" t="s">
        <v>62</v>
      </c>
      <c r="M189" s="95" t="s">
        <v>50</v>
      </c>
      <c r="N189" s="94" t="s">
        <v>221</v>
      </c>
      <c r="O189" s="95" t="s">
        <v>171</v>
      </c>
      <c r="P189" s="95" t="s">
        <v>171</v>
      </c>
      <c r="Q189" s="95" t="s">
        <v>580</v>
      </c>
      <c r="T189" s="97"/>
      <c r="U189" s="97"/>
    </row>
    <row r="190" spans="2:21" s="93" customFormat="1" ht="168" x14ac:dyDescent="0.3">
      <c r="B190" s="94" t="s">
        <v>230</v>
      </c>
      <c r="C190" s="95" t="s">
        <v>581</v>
      </c>
      <c r="D190" s="96">
        <v>3000000</v>
      </c>
      <c r="E190" s="96">
        <v>3157894.7368421056</v>
      </c>
      <c r="F190" s="96">
        <v>3000000</v>
      </c>
      <c r="G190" s="96">
        <v>3157894.7368421056</v>
      </c>
      <c r="H190" s="95" t="s">
        <v>39</v>
      </c>
      <c r="I190" s="94" t="s">
        <v>40</v>
      </c>
      <c r="J190" s="94" t="s">
        <v>41</v>
      </c>
      <c r="K190" s="94" t="s">
        <v>42</v>
      </c>
      <c r="L190" s="94" t="s">
        <v>49</v>
      </c>
      <c r="M190" s="95" t="s">
        <v>50</v>
      </c>
      <c r="N190" s="94" t="s">
        <v>90</v>
      </c>
      <c r="O190" s="95" t="s">
        <v>171</v>
      </c>
      <c r="P190" s="95" t="s">
        <v>171</v>
      </c>
      <c r="Q190" s="95" t="s">
        <v>582</v>
      </c>
      <c r="T190" s="97"/>
      <c r="U190" s="97"/>
    </row>
    <row r="191" spans="2:21" s="93" customFormat="1" ht="132" x14ac:dyDescent="0.3">
      <c r="B191" s="94" t="s">
        <v>428</v>
      </c>
      <c r="C191" s="95" t="s">
        <v>583</v>
      </c>
      <c r="D191" s="96">
        <v>2800000</v>
      </c>
      <c r="E191" s="96">
        <v>2947368.4210526319</v>
      </c>
      <c r="F191" s="96">
        <v>2800000</v>
      </c>
      <c r="G191" s="96">
        <v>2947368.4210526319</v>
      </c>
      <c r="H191" s="95" t="s">
        <v>39</v>
      </c>
      <c r="I191" s="94" t="s">
        <v>40</v>
      </c>
      <c r="J191" s="94" t="s">
        <v>41</v>
      </c>
      <c r="K191" s="94" t="s">
        <v>42</v>
      </c>
      <c r="L191" s="94" t="s">
        <v>62</v>
      </c>
      <c r="M191" s="95" t="s">
        <v>54</v>
      </c>
      <c r="N191" s="94" t="s">
        <v>55</v>
      </c>
      <c r="O191" s="95" t="s">
        <v>171</v>
      </c>
      <c r="P191" s="95" t="s">
        <v>171</v>
      </c>
      <c r="Q191" s="95" t="s">
        <v>584</v>
      </c>
      <c r="T191" s="97"/>
      <c r="U191" s="97"/>
    </row>
    <row r="192" spans="2:21" s="93" customFormat="1" ht="108" x14ac:dyDescent="0.3">
      <c r="B192" s="94" t="s">
        <v>371</v>
      </c>
      <c r="C192" s="95" t="s">
        <v>310</v>
      </c>
      <c r="D192" s="96">
        <v>2800000</v>
      </c>
      <c r="E192" s="96">
        <v>2947368.4210526319</v>
      </c>
      <c r="F192" s="96">
        <v>2800000</v>
      </c>
      <c r="G192" s="96">
        <v>2947368.4210526319</v>
      </c>
      <c r="H192" s="95" t="s">
        <v>39</v>
      </c>
      <c r="I192" s="94" t="s">
        <v>40</v>
      </c>
      <c r="J192" s="94" t="s">
        <v>41</v>
      </c>
      <c r="K192" s="94" t="s">
        <v>42</v>
      </c>
      <c r="L192" s="94" t="s">
        <v>49</v>
      </c>
      <c r="M192" s="95" t="s">
        <v>63</v>
      </c>
      <c r="N192" s="94" t="s">
        <v>64</v>
      </c>
      <c r="O192" s="95" t="s">
        <v>171</v>
      </c>
      <c r="P192" s="95" t="s">
        <v>171</v>
      </c>
      <c r="Q192" s="95" t="s">
        <v>311</v>
      </c>
      <c r="T192" s="97"/>
      <c r="U192" s="97"/>
    </row>
    <row r="193" spans="2:21" s="93" customFormat="1" ht="204" x14ac:dyDescent="0.3">
      <c r="B193" s="94" t="s">
        <v>585</v>
      </c>
      <c r="C193" s="95" t="s">
        <v>586</v>
      </c>
      <c r="D193" s="96">
        <v>2520000</v>
      </c>
      <c r="E193" s="96">
        <v>2652631.5789473685</v>
      </c>
      <c r="F193" s="96">
        <v>2520000</v>
      </c>
      <c r="G193" s="96">
        <v>2652631.5789473685</v>
      </c>
      <c r="H193" s="95" t="s">
        <v>39</v>
      </c>
      <c r="I193" s="94" t="s">
        <v>40</v>
      </c>
      <c r="J193" s="94" t="s">
        <v>41</v>
      </c>
      <c r="K193" s="94" t="s">
        <v>42</v>
      </c>
      <c r="L193" s="94" t="s">
        <v>62</v>
      </c>
      <c r="M193" s="95" t="s">
        <v>44</v>
      </c>
      <c r="N193" s="94" t="s">
        <v>45</v>
      </c>
      <c r="O193" s="95" t="s">
        <v>171</v>
      </c>
      <c r="P193" s="95" t="s">
        <v>171</v>
      </c>
      <c r="Q193" s="95" t="s">
        <v>587</v>
      </c>
      <c r="T193" s="97"/>
      <c r="U193" s="97"/>
    </row>
    <row r="194" spans="2:21" s="93" customFormat="1" ht="108" x14ac:dyDescent="0.3">
      <c r="B194" s="94" t="s">
        <v>588</v>
      </c>
      <c r="C194" s="95" t="s">
        <v>589</v>
      </c>
      <c r="D194" s="96">
        <v>2500000</v>
      </c>
      <c r="E194" s="96">
        <v>2631578.9473684211</v>
      </c>
      <c r="F194" s="96">
        <v>2500000</v>
      </c>
      <c r="G194" s="96">
        <v>2631578.9473684211</v>
      </c>
      <c r="H194" s="95" t="s">
        <v>39</v>
      </c>
      <c r="I194" s="94" t="s">
        <v>40</v>
      </c>
      <c r="J194" s="94" t="s">
        <v>41</v>
      </c>
      <c r="K194" s="94" t="s">
        <v>42</v>
      </c>
      <c r="L194" s="94" t="s">
        <v>43</v>
      </c>
      <c r="M194" s="95" t="s">
        <v>63</v>
      </c>
      <c r="N194" s="94" t="s">
        <v>64</v>
      </c>
      <c r="O194" s="95" t="s">
        <v>171</v>
      </c>
      <c r="P194" s="95" t="s">
        <v>171</v>
      </c>
      <c r="Q194" s="95" t="s">
        <v>590</v>
      </c>
      <c r="T194" s="97"/>
      <c r="U194" s="97"/>
    </row>
    <row r="195" spans="2:21" s="93" customFormat="1" ht="228" x14ac:dyDescent="0.3">
      <c r="B195" s="94" t="s">
        <v>172</v>
      </c>
      <c r="C195" s="95" t="s">
        <v>591</v>
      </c>
      <c r="D195" s="96">
        <v>2430044</v>
      </c>
      <c r="E195" s="96">
        <v>2557941.0526315789</v>
      </c>
      <c r="F195" s="96">
        <v>2430044</v>
      </c>
      <c r="G195" s="96">
        <v>2557941.0526315789</v>
      </c>
      <c r="H195" s="95" t="s">
        <v>39</v>
      </c>
      <c r="I195" s="94" t="s">
        <v>40</v>
      </c>
      <c r="J195" s="94" t="s">
        <v>41</v>
      </c>
      <c r="K195" s="94" t="s">
        <v>42</v>
      </c>
      <c r="L195" s="94" t="s">
        <v>62</v>
      </c>
      <c r="M195" s="95" t="s">
        <v>50</v>
      </c>
      <c r="N195" s="94" t="s">
        <v>221</v>
      </c>
      <c r="O195" s="95" t="s">
        <v>171</v>
      </c>
      <c r="P195" s="95" t="s">
        <v>171</v>
      </c>
      <c r="Q195" s="95" t="s">
        <v>592</v>
      </c>
      <c r="T195" s="97"/>
      <c r="U195" s="97"/>
    </row>
    <row r="196" spans="2:21" s="93" customFormat="1" ht="216" x14ac:dyDescent="0.3">
      <c r="B196" s="94" t="s">
        <v>208</v>
      </c>
      <c r="C196" s="95" t="s">
        <v>593</v>
      </c>
      <c r="D196" s="96">
        <v>2400004.0000000005</v>
      </c>
      <c r="E196" s="96">
        <v>2526320.0000000005</v>
      </c>
      <c r="F196" s="96">
        <v>2400004.0000000005</v>
      </c>
      <c r="G196" s="96">
        <v>2526320.0000000005</v>
      </c>
      <c r="H196" s="95" t="s">
        <v>39</v>
      </c>
      <c r="I196" s="94" t="s">
        <v>40</v>
      </c>
      <c r="J196" s="94" t="s">
        <v>41</v>
      </c>
      <c r="K196" s="94" t="s">
        <v>42</v>
      </c>
      <c r="L196" s="94" t="s">
        <v>43</v>
      </c>
      <c r="M196" s="95" t="s">
        <v>50</v>
      </c>
      <c r="N196" s="94" t="s">
        <v>221</v>
      </c>
      <c r="O196" s="95" t="s">
        <v>171</v>
      </c>
      <c r="P196" s="95" t="s">
        <v>171</v>
      </c>
      <c r="Q196" s="95" t="s">
        <v>594</v>
      </c>
      <c r="T196" s="97"/>
      <c r="U196" s="97"/>
    </row>
    <row r="197" spans="2:21" s="93" customFormat="1" ht="180" x14ac:dyDescent="0.3">
      <c r="B197" s="94" t="s">
        <v>172</v>
      </c>
      <c r="C197" s="95" t="s">
        <v>595</v>
      </c>
      <c r="D197" s="96">
        <v>2400000</v>
      </c>
      <c r="E197" s="96">
        <v>2526315.7894736845</v>
      </c>
      <c r="F197" s="96">
        <v>2400000</v>
      </c>
      <c r="G197" s="96">
        <v>2526315.7894736845</v>
      </c>
      <c r="H197" s="95" t="s">
        <v>39</v>
      </c>
      <c r="I197" s="94" t="s">
        <v>40</v>
      </c>
      <c r="J197" s="94" t="s">
        <v>41</v>
      </c>
      <c r="K197" s="94" t="s">
        <v>42</v>
      </c>
      <c r="L197" s="94" t="s">
        <v>62</v>
      </c>
      <c r="M197" s="95" t="s">
        <v>50</v>
      </c>
      <c r="N197" s="94" t="s">
        <v>567</v>
      </c>
      <c r="O197" s="95" t="s">
        <v>171</v>
      </c>
      <c r="P197" s="95" t="s">
        <v>171</v>
      </c>
      <c r="Q197" s="95" t="s">
        <v>596</v>
      </c>
      <c r="T197" s="97"/>
      <c r="U197" s="97"/>
    </row>
    <row r="198" spans="2:21" s="93" customFormat="1" ht="108" x14ac:dyDescent="0.3">
      <c r="B198" s="94" t="s">
        <v>597</v>
      </c>
      <c r="C198" s="95" t="s">
        <v>310</v>
      </c>
      <c r="D198" s="96">
        <v>2400000</v>
      </c>
      <c r="E198" s="96">
        <v>2526315.7894736845</v>
      </c>
      <c r="F198" s="96">
        <v>2400000</v>
      </c>
      <c r="G198" s="96">
        <v>2526315.7894736845</v>
      </c>
      <c r="H198" s="95" t="s">
        <v>39</v>
      </c>
      <c r="I198" s="94" t="s">
        <v>40</v>
      </c>
      <c r="J198" s="94" t="s">
        <v>41</v>
      </c>
      <c r="K198" s="94" t="s">
        <v>42</v>
      </c>
      <c r="L198" s="94" t="s">
        <v>49</v>
      </c>
      <c r="M198" s="95" t="s">
        <v>63</v>
      </c>
      <c r="N198" s="94" t="s">
        <v>64</v>
      </c>
      <c r="O198" s="95" t="s">
        <v>171</v>
      </c>
      <c r="P198" s="95" t="s">
        <v>171</v>
      </c>
      <c r="Q198" s="95" t="s">
        <v>311</v>
      </c>
      <c r="T198" s="97"/>
      <c r="U198" s="97"/>
    </row>
    <row r="199" spans="2:21" s="93" customFormat="1" ht="216" x14ac:dyDescent="0.3">
      <c r="B199" s="94" t="s">
        <v>598</v>
      </c>
      <c r="C199" s="95" t="s">
        <v>599</v>
      </c>
      <c r="D199" s="96">
        <v>2400000</v>
      </c>
      <c r="E199" s="96">
        <v>2526315.7894736845</v>
      </c>
      <c r="F199" s="96">
        <v>2400000</v>
      </c>
      <c r="G199" s="96">
        <v>2526315.7894736845</v>
      </c>
      <c r="H199" s="95" t="s">
        <v>39</v>
      </c>
      <c r="I199" s="94" t="s">
        <v>40</v>
      </c>
      <c r="J199" s="94" t="s">
        <v>41</v>
      </c>
      <c r="K199" s="94" t="s">
        <v>42</v>
      </c>
      <c r="L199" s="94" t="s">
        <v>43</v>
      </c>
      <c r="M199" s="95" t="s">
        <v>50</v>
      </c>
      <c r="N199" s="94" t="s">
        <v>92</v>
      </c>
      <c r="O199" s="95" t="s">
        <v>171</v>
      </c>
      <c r="P199" s="95" t="s">
        <v>171</v>
      </c>
      <c r="Q199" s="95" t="s">
        <v>600</v>
      </c>
      <c r="T199" s="97"/>
      <c r="U199" s="97"/>
    </row>
    <row r="200" spans="2:21" s="93" customFormat="1" ht="228" x14ac:dyDescent="0.3">
      <c r="B200" s="94" t="s">
        <v>601</v>
      </c>
      <c r="C200" s="95" t="s">
        <v>602</v>
      </c>
      <c r="D200" s="96">
        <v>2400000</v>
      </c>
      <c r="E200" s="96">
        <v>2526315.7894736845</v>
      </c>
      <c r="F200" s="96">
        <v>2400000</v>
      </c>
      <c r="G200" s="96">
        <v>2526315.7894736845</v>
      </c>
      <c r="H200" s="95" t="s">
        <v>39</v>
      </c>
      <c r="I200" s="94" t="s">
        <v>40</v>
      </c>
      <c r="J200" s="94" t="s">
        <v>41</v>
      </c>
      <c r="K200" s="94" t="s">
        <v>42</v>
      </c>
      <c r="L200" s="94" t="s">
        <v>43</v>
      </c>
      <c r="M200" s="95" t="s">
        <v>49</v>
      </c>
      <c r="N200" s="94" t="s">
        <v>82</v>
      </c>
      <c r="O200" s="95" t="s">
        <v>171</v>
      </c>
      <c r="P200" s="95" t="s">
        <v>171</v>
      </c>
      <c r="Q200" s="95" t="s">
        <v>603</v>
      </c>
      <c r="T200" s="97"/>
      <c r="U200" s="97"/>
    </row>
    <row r="201" spans="2:21" s="93" customFormat="1" ht="228" x14ac:dyDescent="0.3">
      <c r="B201" s="94" t="s">
        <v>175</v>
      </c>
      <c r="C201" s="95" t="s">
        <v>604</v>
      </c>
      <c r="D201" s="96">
        <v>2400000</v>
      </c>
      <c r="E201" s="96">
        <v>2526315.7894736845</v>
      </c>
      <c r="F201" s="96">
        <v>2400000</v>
      </c>
      <c r="G201" s="96">
        <v>2526315.7894736845</v>
      </c>
      <c r="H201" s="95" t="s">
        <v>39</v>
      </c>
      <c r="I201" s="94" t="s">
        <v>40</v>
      </c>
      <c r="J201" s="94" t="s">
        <v>41</v>
      </c>
      <c r="K201" s="94" t="s">
        <v>42</v>
      </c>
      <c r="L201" s="94" t="s">
        <v>43</v>
      </c>
      <c r="M201" s="95" t="s">
        <v>49</v>
      </c>
      <c r="N201" s="94" t="s">
        <v>82</v>
      </c>
      <c r="O201" s="95" t="s">
        <v>171</v>
      </c>
      <c r="P201" s="95" t="s">
        <v>171</v>
      </c>
      <c r="Q201" s="95" t="s">
        <v>605</v>
      </c>
      <c r="T201" s="97"/>
      <c r="U201" s="97"/>
    </row>
    <row r="202" spans="2:21" s="93" customFormat="1" ht="204" x14ac:dyDescent="0.3">
      <c r="B202" s="94" t="s">
        <v>606</v>
      </c>
      <c r="C202" s="95" t="s">
        <v>607</v>
      </c>
      <c r="D202" s="96">
        <v>2200000</v>
      </c>
      <c r="E202" s="96">
        <v>2315789.4736842108</v>
      </c>
      <c r="F202" s="96">
        <v>2200000</v>
      </c>
      <c r="G202" s="96">
        <v>2315789.4736842108</v>
      </c>
      <c r="H202" s="95" t="s">
        <v>39</v>
      </c>
      <c r="I202" s="94" t="s">
        <v>40</v>
      </c>
      <c r="J202" s="94" t="s">
        <v>41</v>
      </c>
      <c r="K202" s="94" t="s">
        <v>42</v>
      </c>
      <c r="L202" s="94" t="s">
        <v>43</v>
      </c>
      <c r="M202" s="95" t="s">
        <v>49</v>
      </c>
      <c r="N202" s="94" t="s">
        <v>82</v>
      </c>
      <c r="O202" s="95" t="s">
        <v>171</v>
      </c>
      <c r="P202" s="95" t="s">
        <v>171</v>
      </c>
      <c r="Q202" s="95" t="s">
        <v>608</v>
      </c>
      <c r="T202" s="97"/>
      <c r="U202" s="97"/>
    </row>
    <row r="203" spans="2:21" s="93" customFormat="1" ht="60" x14ac:dyDescent="0.3">
      <c r="B203" s="94" t="s">
        <v>340</v>
      </c>
      <c r="C203" s="95" t="s">
        <v>609</v>
      </c>
      <c r="D203" s="96">
        <v>2000000</v>
      </c>
      <c r="E203" s="96">
        <v>2105263.1578947371</v>
      </c>
      <c r="F203" s="96">
        <v>2000000</v>
      </c>
      <c r="G203" s="96">
        <v>2105263.1578947371</v>
      </c>
      <c r="H203" s="95" t="s">
        <v>39</v>
      </c>
      <c r="I203" s="94" t="s">
        <v>40</v>
      </c>
      <c r="J203" s="94" t="s">
        <v>41</v>
      </c>
      <c r="K203" s="94" t="s">
        <v>42</v>
      </c>
      <c r="L203" s="94" t="s">
        <v>49</v>
      </c>
      <c r="M203" s="95" t="s">
        <v>193</v>
      </c>
      <c r="N203" s="94" t="s">
        <v>194</v>
      </c>
      <c r="O203" s="95" t="s">
        <v>171</v>
      </c>
      <c r="P203" s="95" t="s">
        <v>171</v>
      </c>
      <c r="Q203" s="95" t="s">
        <v>610</v>
      </c>
      <c r="T203" s="97"/>
      <c r="U203" s="97"/>
    </row>
    <row r="204" spans="2:21" s="93" customFormat="1" ht="204" x14ac:dyDescent="0.3">
      <c r="B204" s="94" t="s">
        <v>291</v>
      </c>
      <c r="C204" s="95" t="s">
        <v>611</v>
      </c>
      <c r="D204" s="96">
        <v>2000000</v>
      </c>
      <c r="E204" s="96">
        <v>2105263.1578947371</v>
      </c>
      <c r="F204" s="96">
        <v>2000000</v>
      </c>
      <c r="G204" s="96">
        <v>2105263.1578947371</v>
      </c>
      <c r="H204" s="95" t="s">
        <v>39</v>
      </c>
      <c r="I204" s="94" t="s">
        <v>40</v>
      </c>
      <c r="J204" s="94" t="s">
        <v>41</v>
      </c>
      <c r="K204" s="94" t="s">
        <v>42</v>
      </c>
      <c r="L204" s="94" t="s">
        <v>62</v>
      </c>
      <c r="M204" s="95" t="s">
        <v>50</v>
      </c>
      <c r="N204" s="94" t="s">
        <v>221</v>
      </c>
      <c r="O204" s="95" t="s">
        <v>171</v>
      </c>
      <c r="P204" s="95" t="s">
        <v>171</v>
      </c>
      <c r="Q204" s="95" t="s">
        <v>612</v>
      </c>
      <c r="T204" s="97"/>
      <c r="U204" s="97"/>
    </row>
    <row r="205" spans="2:21" s="93" customFormat="1" ht="228" x14ac:dyDescent="0.3">
      <c r="B205" s="94" t="s">
        <v>613</v>
      </c>
      <c r="C205" s="95" t="s">
        <v>614</v>
      </c>
      <c r="D205" s="96">
        <v>2000000</v>
      </c>
      <c r="E205" s="96">
        <v>2105263.1578947371</v>
      </c>
      <c r="F205" s="96">
        <v>2000000</v>
      </c>
      <c r="G205" s="96">
        <v>2105263.1578947371</v>
      </c>
      <c r="H205" s="95" t="s">
        <v>39</v>
      </c>
      <c r="I205" s="94" t="s">
        <v>40</v>
      </c>
      <c r="J205" s="94" t="s">
        <v>41</v>
      </c>
      <c r="K205" s="94" t="s">
        <v>42</v>
      </c>
      <c r="L205" s="94" t="s">
        <v>62</v>
      </c>
      <c r="M205" s="95" t="s">
        <v>50</v>
      </c>
      <c r="N205" s="94" t="s">
        <v>92</v>
      </c>
      <c r="O205" s="95" t="s">
        <v>171</v>
      </c>
      <c r="P205" s="95" t="s">
        <v>171</v>
      </c>
      <c r="Q205" s="95" t="s">
        <v>615</v>
      </c>
      <c r="T205" s="97"/>
      <c r="U205" s="97"/>
    </row>
    <row r="206" spans="2:21" s="93" customFormat="1" ht="240" x14ac:dyDescent="0.3">
      <c r="B206" s="94" t="s">
        <v>616</v>
      </c>
      <c r="C206" s="95" t="s">
        <v>617</v>
      </c>
      <c r="D206" s="96">
        <v>2000000</v>
      </c>
      <c r="E206" s="96">
        <v>2105263.1578947371</v>
      </c>
      <c r="F206" s="96">
        <v>2000000</v>
      </c>
      <c r="G206" s="96">
        <v>2105263.1578947371</v>
      </c>
      <c r="H206" s="95" t="s">
        <v>39</v>
      </c>
      <c r="I206" s="94" t="s">
        <v>40</v>
      </c>
      <c r="J206" s="94" t="s">
        <v>41</v>
      </c>
      <c r="K206" s="94" t="s">
        <v>42</v>
      </c>
      <c r="L206" s="94" t="s">
        <v>43</v>
      </c>
      <c r="M206" s="95" t="s">
        <v>49</v>
      </c>
      <c r="N206" s="94" t="s">
        <v>82</v>
      </c>
      <c r="O206" s="95" t="s">
        <v>171</v>
      </c>
      <c r="P206" s="95" t="s">
        <v>171</v>
      </c>
      <c r="Q206" s="95" t="s">
        <v>618</v>
      </c>
      <c r="T206" s="97"/>
      <c r="U206" s="97"/>
    </row>
    <row r="207" spans="2:21" s="93" customFormat="1" ht="84" x14ac:dyDescent="0.3">
      <c r="B207" s="94" t="s">
        <v>340</v>
      </c>
      <c r="C207" s="95" t="s">
        <v>347</v>
      </c>
      <c r="D207" s="96">
        <v>2000000</v>
      </c>
      <c r="E207" s="96">
        <v>2105263.1578947371</v>
      </c>
      <c r="F207" s="96">
        <v>2000000</v>
      </c>
      <c r="G207" s="96">
        <v>2105263.1578947371</v>
      </c>
      <c r="H207" s="95" t="s">
        <v>39</v>
      </c>
      <c r="I207" s="94" t="s">
        <v>40</v>
      </c>
      <c r="J207" s="94" t="s">
        <v>41</v>
      </c>
      <c r="K207" s="94" t="s">
        <v>42</v>
      </c>
      <c r="L207" s="94" t="s">
        <v>62</v>
      </c>
      <c r="M207" s="95" t="s">
        <v>44</v>
      </c>
      <c r="N207" s="94" t="s">
        <v>45</v>
      </c>
      <c r="O207" s="95" t="s">
        <v>171</v>
      </c>
      <c r="P207" s="95" t="s">
        <v>171</v>
      </c>
      <c r="Q207" s="95" t="s">
        <v>348</v>
      </c>
      <c r="T207" s="97"/>
      <c r="U207" s="97"/>
    </row>
    <row r="208" spans="2:21" s="93" customFormat="1" ht="240" x14ac:dyDescent="0.3">
      <c r="B208" s="94" t="s">
        <v>188</v>
      </c>
      <c r="C208" s="95" t="s">
        <v>619</v>
      </c>
      <c r="D208" s="96">
        <v>2000000</v>
      </c>
      <c r="E208" s="96">
        <v>2105263.1578947371</v>
      </c>
      <c r="F208" s="96">
        <v>2000000</v>
      </c>
      <c r="G208" s="96">
        <v>2105263.1578947371</v>
      </c>
      <c r="H208" s="95" t="s">
        <v>39</v>
      </c>
      <c r="I208" s="94" t="s">
        <v>40</v>
      </c>
      <c r="J208" s="94" t="s">
        <v>41</v>
      </c>
      <c r="K208" s="94" t="s">
        <v>42</v>
      </c>
      <c r="L208" s="94" t="s">
        <v>62</v>
      </c>
      <c r="M208" s="95" t="s">
        <v>44</v>
      </c>
      <c r="N208" s="94" t="s">
        <v>45</v>
      </c>
      <c r="O208" s="95" t="s">
        <v>171</v>
      </c>
      <c r="P208" s="95" t="s">
        <v>171</v>
      </c>
      <c r="Q208" s="95" t="s">
        <v>620</v>
      </c>
      <c r="T208" s="97"/>
      <c r="U208" s="97"/>
    </row>
    <row r="209" spans="2:21" s="93" customFormat="1" ht="108" x14ac:dyDescent="0.3">
      <c r="B209" s="94" t="s">
        <v>597</v>
      </c>
      <c r="C209" s="95" t="s">
        <v>310</v>
      </c>
      <c r="D209" s="96">
        <v>2000000</v>
      </c>
      <c r="E209" s="96">
        <v>2105263.1578947371</v>
      </c>
      <c r="F209" s="96">
        <v>2000000</v>
      </c>
      <c r="G209" s="96">
        <v>2105263.1578947371</v>
      </c>
      <c r="H209" s="95" t="s">
        <v>39</v>
      </c>
      <c r="I209" s="94" t="s">
        <v>40</v>
      </c>
      <c r="J209" s="94" t="s">
        <v>41</v>
      </c>
      <c r="K209" s="94" t="s">
        <v>42</v>
      </c>
      <c r="L209" s="94" t="s">
        <v>49</v>
      </c>
      <c r="M209" s="95" t="s">
        <v>63</v>
      </c>
      <c r="N209" s="94" t="s">
        <v>64</v>
      </c>
      <c r="O209" s="95" t="s">
        <v>171</v>
      </c>
      <c r="P209" s="95" t="s">
        <v>171</v>
      </c>
      <c r="Q209" s="95" t="s">
        <v>311</v>
      </c>
      <c r="T209" s="97"/>
      <c r="U209" s="97"/>
    </row>
    <row r="210" spans="2:21" s="93" customFormat="1" ht="192" x14ac:dyDescent="0.3">
      <c r="B210" s="94" t="s">
        <v>621</v>
      </c>
      <c r="C210" s="95" t="s">
        <v>622</v>
      </c>
      <c r="D210" s="96">
        <v>1800000</v>
      </c>
      <c r="E210" s="96">
        <v>1894736.8421052631</v>
      </c>
      <c r="F210" s="96">
        <v>1800000</v>
      </c>
      <c r="G210" s="96">
        <v>1894736.8421052631</v>
      </c>
      <c r="H210" s="95" t="s">
        <v>39</v>
      </c>
      <c r="I210" s="94" t="s">
        <v>40</v>
      </c>
      <c r="J210" s="94" t="s">
        <v>41</v>
      </c>
      <c r="K210" s="94" t="s">
        <v>42</v>
      </c>
      <c r="L210" s="94" t="s">
        <v>62</v>
      </c>
      <c r="M210" s="95" t="s">
        <v>50</v>
      </c>
      <c r="N210" s="94" t="s">
        <v>221</v>
      </c>
      <c r="O210" s="95" t="s">
        <v>171</v>
      </c>
      <c r="P210" s="95" t="s">
        <v>171</v>
      </c>
      <c r="Q210" s="95" t="s">
        <v>623</v>
      </c>
      <c r="T210" s="97"/>
      <c r="U210" s="97"/>
    </row>
    <row r="211" spans="2:21" s="93" customFormat="1" ht="72" x14ac:dyDescent="0.3">
      <c r="B211" s="94" t="s">
        <v>180</v>
      </c>
      <c r="C211" s="95" t="s">
        <v>624</v>
      </c>
      <c r="D211" s="96">
        <v>1777428</v>
      </c>
      <c r="E211" s="96">
        <v>1870976.8421052631</v>
      </c>
      <c r="F211" s="96">
        <v>1777428</v>
      </c>
      <c r="G211" s="96">
        <v>1870976.8421052631</v>
      </c>
      <c r="H211" s="95" t="s">
        <v>39</v>
      </c>
      <c r="I211" s="94" t="s">
        <v>40</v>
      </c>
      <c r="J211" s="94" t="s">
        <v>41</v>
      </c>
      <c r="K211" s="94" t="s">
        <v>42</v>
      </c>
      <c r="L211" s="94" t="s">
        <v>49</v>
      </c>
      <c r="M211" s="95" t="s">
        <v>234</v>
      </c>
      <c r="N211" s="94" t="s">
        <v>235</v>
      </c>
      <c r="O211" s="95" t="s">
        <v>171</v>
      </c>
      <c r="P211" s="95" t="s">
        <v>171</v>
      </c>
      <c r="Q211" s="95" t="s">
        <v>625</v>
      </c>
      <c r="T211" s="97"/>
      <c r="U211" s="97"/>
    </row>
    <row r="212" spans="2:21" s="93" customFormat="1" ht="60" x14ac:dyDescent="0.3">
      <c r="B212" s="94" t="s">
        <v>626</v>
      </c>
      <c r="C212" s="95" t="s">
        <v>627</v>
      </c>
      <c r="D212" s="96">
        <v>1600000</v>
      </c>
      <c r="E212" s="96">
        <v>1684210.5263157894</v>
      </c>
      <c r="F212" s="96">
        <v>1600000</v>
      </c>
      <c r="G212" s="96">
        <v>1684210.5263157894</v>
      </c>
      <c r="H212" s="95" t="s">
        <v>39</v>
      </c>
      <c r="I212" s="94" t="s">
        <v>40</v>
      </c>
      <c r="J212" s="94" t="s">
        <v>41</v>
      </c>
      <c r="K212" s="94" t="s">
        <v>42</v>
      </c>
      <c r="L212" s="94" t="s">
        <v>43</v>
      </c>
      <c r="M212" s="95" t="s">
        <v>50</v>
      </c>
      <c r="N212" s="94" t="s">
        <v>221</v>
      </c>
      <c r="O212" s="95" t="s">
        <v>171</v>
      </c>
      <c r="P212" s="95" t="s">
        <v>171</v>
      </c>
      <c r="Q212" s="95" t="s">
        <v>628</v>
      </c>
      <c r="T212" s="97"/>
      <c r="U212" s="97"/>
    </row>
    <row r="213" spans="2:21" s="93" customFormat="1" ht="216" x14ac:dyDescent="0.3">
      <c r="B213" s="94" t="s">
        <v>169</v>
      </c>
      <c r="C213" s="95" t="s">
        <v>629</v>
      </c>
      <c r="D213" s="96">
        <v>1600000</v>
      </c>
      <c r="E213" s="96">
        <v>1684210.5263157894</v>
      </c>
      <c r="F213" s="96">
        <v>1600000</v>
      </c>
      <c r="G213" s="96">
        <v>1684210.5263157894</v>
      </c>
      <c r="H213" s="95" t="s">
        <v>39</v>
      </c>
      <c r="I213" s="94" t="s">
        <v>40</v>
      </c>
      <c r="J213" s="94" t="s">
        <v>41</v>
      </c>
      <c r="K213" s="94" t="s">
        <v>42</v>
      </c>
      <c r="L213" s="94" t="s">
        <v>62</v>
      </c>
      <c r="M213" s="95" t="s">
        <v>50</v>
      </c>
      <c r="N213" s="94" t="s">
        <v>90</v>
      </c>
      <c r="O213" s="95" t="s">
        <v>171</v>
      </c>
      <c r="P213" s="95" t="s">
        <v>171</v>
      </c>
      <c r="Q213" s="95" t="s">
        <v>630</v>
      </c>
      <c r="T213" s="97"/>
      <c r="U213" s="97"/>
    </row>
    <row r="214" spans="2:21" s="93" customFormat="1" ht="108" x14ac:dyDescent="0.3">
      <c r="B214" s="94" t="s">
        <v>169</v>
      </c>
      <c r="C214" s="95" t="s">
        <v>631</v>
      </c>
      <c r="D214" s="96">
        <v>1420656</v>
      </c>
      <c r="E214" s="96">
        <v>1495427.3684210528</v>
      </c>
      <c r="F214" s="96">
        <v>1420656</v>
      </c>
      <c r="G214" s="96">
        <v>1495427.3684210528</v>
      </c>
      <c r="H214" s="95" t="s">
        <v>39</v>
      </c>
      <c r="I214" s="94" t="s">
        <v>40</v>
      </c>
      <c r="J214" s="94" t="s">
        <v>41</v>
      </c>
      <c r="K214" s="94" t="s">
        <v>42</v>
      </c>
      <c r="L214" s="94" t="s">
        <v>49</v>
      </c>
      <c r="M214" s="95" t="s">
        <v>50</v>
      </c>
      <c r="N214" s="94" t="s">
        <v>90</v>
      </c>
      <c r="O214" s="95" t="s">
        <v>171</v>
      </c>
      <c r="P214" s="95" t="s">
        <v>171</v>
      </c>
      <c r="Q214" s="95" t="s">
        <v>631</v>
      </c>
      <c r="T214" s="97"/>
      <c r="U214" s="97"/>
    </row>
    <row r="215" spans="2:21" s="93" customFormat="1" ht="216" x14ac:dyDescent="0.3">
      <c r="B215" s="94" t="s">
        <v>632</v>
      </c>
      <c r="C215" s="95" t="s">
        <v>633</v>
      </c>
      <c r="D215" s="96">
        <v>1400000</v>
      </c>
      <c r="E215" s="96">
        <v>1473684.210526316</v>
      </c>
      <c r="F215" s="96">
        <v>1400000</v>
      </c>
      <c r="G215" s="96">
        <v>1473684.210526316</v>
      </c>
      <c r="H215" s="95" t="s">
        <v>39</v>
      </c>
      <c r="I215" s="94" t="s">
        <v>40</v>
      </c>
      <c r="J215" s="94" t="s">
        <v>41</v>
      </c>
      <c r="K215" s="94" t="s">
        <v>42</v>
      </c>
      <c r="L215" s="94" t="s">
        <v>43</v>
      </c>
      <c r="M215" s="95" t="s">
        <v>50</v>
      </c>
      <c r="N215" s="94" t="s">
        <v>88</v>
      </c>
      <c r="O215" s="95" t="s">
        <v>171</v>
      </c>
      <c r="P215" s="95" t="s">
        <v>171</v>
      </c>
      <c r="Q215" s="95" t="s">
        <v>634</v>
      </c>
      <c r="T215" s="97"/>
      <c r="U215" s="97"/>
    </row>
    <row r="216" spans="2:21" s="93" customFormat="1" ht="228" x14ac:dyDescent="0.3">
      <c r="B216" s="94" t="s">
        <v>635</v>
      </c>
      <c r="C216" s="95" t="s">
        <v>636</v>
      </c>
      <c r="D216" s="96">
        <v>1200000</v>
      </c>
      <c r="E216" s="96">
        <v>1263157.8947368423</v>
      </c>
      <c r="F216" s="96">
        <v>1200000</v>
      </c>
      <c r="G216" s="96">
        <v>1263157.8947368423</v>
      </c>
      <c r="H216" s="95" t="s">
        <v>39</v>
      </c>
      <c r="I216" s="94" t="s">
        <v>40</v>
      </c>
      <c r="J216" s="94" t="s">
        <v>41</v>
      </c>
      <c r="K216" s="94" t="s">
        <v>42</v>
      </c>
      <c r="L216" s="94" t="s">
        <v>49</v>
      </c>
      <c r="M216" s="95" t="s">
        <v>63</v>
      </c>
      <c r="N216" s="94" t="s">
        <v>64</v>
      </c>
      <c r="O216" s="95" t="s">
        <v>171</v>
      </c>
      <c r="P216" s="95" t="s">
        <v>171</v>
      </c>
      <c r="Q216" s="95" t="s">
        <v>637</v>
      </c>
      <c r="T216" s="97"/>
      <c r="U216" s="97"/>
    </row>
    <row r="217" spans="2:21" s="93" customFormat="1" ht="240" x14ac:dyDescent="0.3">
      <c r="B217" s="94" t="s">
        <v>169</v>
      </c>
      <c r="C217" s="95" t="s">
        <v>638</v>
      </c>
      <c r="D217" s="96">
        <v>1200000</v>
      </c>
      <c r="E217" s="96">
        <v>1263157.8947368423</v>
      </c>
      <c r="F217" s="96">
        <v>1200000</v>
      </c>
      <c r="G217" s="96">
        <v>1263157.8947368423</v>
      </c>
      <c r="H217" s="95" t="s">
        <v>39</v>
      </c>
      <c r="I217" s="94" t="s">
        <v>40</v>
      </c>
      <c r="J217" s="94" t="s">
        <v>41</v>
      </c>
      <c r="K217" s="94" t="s">
        <v>42</v>
      </c>
      <c r="L217" s="94" t="s">
        <v>49</v>
      </c>
      <c r="M217" s="95" t="s">
        <v>49</v>
      </c>
      <c r="N217" s="94" t="s">
        <v>82</v>
      </c>
      <c r="O217" s="95" t="s">
        <v>171</v>
      </c>
      <c r="P217" s="95" t="s">
        <v>171</v>
      </c>
      <c r="Q217" s="95" t="s">
        <v>639</v>
      </c>
      <c r="T217" s="97"/>
      <c r="U217" s="97"/>
    </row>
    <row r="218" spans="2:21" s="93" customFormat="1" ht="228" x14ac:dyDescent="0.3">
      <c r="B218" s="94" t="s">
        <v>169</v>
      </c>
      <c r="C218" s="95" t="s">
        <v>640</v>
      </c>
      <c r="D218" s="96">
        <v>1200000</v>
      </c>
      <c r="E218" s="96">
        <v>1263157.8947368423</v>
      </c>
      <c r="F218" s="96">
        <v>1200000</v>
      </c>
      <c r="G218" s="96">
        <v>1263157.8947368423</v>
      </c>
      <c r="H218" s="95" t="s">
        <v>39</v>
      </c>
      <c r="I218" s="94" t="s">
        <v>40</v>
      </c>
      <c r="J218" s="94" t="s">
        <v>41</v>
      </c>
      <c r="K218" s="94" t="s">
        <v>42</v>
      </c>
      <c r="L218" s="94" t="s">
        <v>43</v>
      </c>
      <c r="M218" s="95" t="s">
        <v>54</v>
      </c>
      <c r="N218" s="94" t="s">
        <v>55</v>
      </c>
      <c r="O218" s="95" t="s">
        <v>171</v>
      </c>
      <c r="P218" s="95" t="s">
        <v>171</v>
      </c>
      <c r="Q218" s="95" t="s">
        <v>641</v>
      </c>
      <c r="T218" s="97"/>
      <c r="U218" s="97"/>
    </row>
    <row r="219" spans="2:21" s="93" customFormat="1" ht="132" x14ac:dyDescent="0.3">
      <c r="B219" s="94" t="s">
        <v>169</v>
      </c>
      <c r="C219" s="95" t="s">
        <v>642</v>
      </c>
      <c r="D219" s="96">
        <v>1200000</v>
      </c>
      <c r="E219" s="96">
        <v>1263157.8947368423</v>
      </c>
      <c r="F219" s="96">
        <v>1200000</v>
      </c>
      <c r="G219" s="96">
        <v>1263157.8947368423</v>
      </c>
      <c r="H219" s="95" t="s">
        <v>39</v>
      </c>
      <c r="I219" s="94" t="s">
        <v>40</v>
      </c>
      <c r="J219" s="94" t="s">
        <v>41</v>
      </c>
      <c r="K219" s="94" t="s">
        <v>42</v>
      </c>
      <c r="L219" s="94" t="s">
        <v>49</v>
      </c>
      <c r="M219" s="95" t="s">
        <v>46</v>
      </c>
      <c r="N219" s="94" t="s">
        <v>643</v>
      </c>
      <c r="O219" s="95" t="s">
        <v>171</v>
      </c>
      <c r="P219" s="95" t="s">
        <v>171</v>
      </c>
      <c r="Q219" s="95" t="s">
        <v>642</v>
      </c>
      <c r="T219" s="97"/>
      <c r="U219" s="97"/>
    </row>
    <row r="220" spans="2:21" s="93" customFormat="1" ht="228" x14ac:dyDescent="0.3">
      <c r="B220" s="94" t="s">
        <v>598</v>
      </c>
      <c r="C220" s="101" t="s">
        <v>644</v>
      </c>
      <c r="D220" s="96">
        <v>1200000</v>
      </c>
      <c r="E220" s="96">
        <v>1263157.8947368423</v>
      </c>
      <c r="F220" s="96">
        <v>1200000</v>
      </c>
      <c r="G220" s="96">
        <v>1263157.8947368423</v>
      </c>
      <c r="H220" s="95" t="s">
        <v>39</v>
      </c>
      <c r="I220" s="94" t="s">
        <v>40</v>
      </c>
      <c r="J220" s="94" t="s">
        <v>41</v>
      </c>
      <c r="K220" s="94" t="s">
        <v>42</v>
      </c>
      <c r="L220" s="94" t="s">
        <v>49</v>
      </c>
      <c r="M220" s="95" t="s">
        <v>50</v>
      </c>
      <c r="N220" s="94" t="s">
        <v>221</v>
      </c>
      <c r="O220" s="95" t="s">
        <v>171</v>
      </c>
      <c r="P220" s="95" t="s">
        <v>171</v>
      </c>
      <c r="Q220" s="95" t="s">
        <v>645</v>
      </c>
      <c r="T220" s="97"/>
      <c r="U220" s="97"/>
    </row>
    <row r="221" spans="2:21" s="93" customFormat="1" ht="192" x14ac:dyDescent="0.3">
      <c r="B221" s="94" t="s">
        <v>172</v>
      </c>
      <c r="C221" s="95" t="s">
        <v>646</v>
      </c>
      <c r="D221" s="96">
        <v>1156000</v>
      </c>
      <c r="E221" s="96">
        <v>1216842.105263158</v>
      </c>
      <c r="F221" s="96">
        <v>1156000</v>
      </c>
      <c r="G221" s="96">
        <v>1216842.105263158</v>
      </c>
      <c r="H221" s="95" t="s">
        <v>39</v>
      </c>
      <c r="I221" s="94" t="s">
        <v>40</v>
      </c>
      <c r="J221" s="94" t="s">
        <v>41</v>
      </c>
      <c r="K221" s="94" t="s">
        <v>42</v>
      </c>
      <c r="L221" s="94" t="s">
        <v>62</v>
      </c>
      <c r="M221" s="95" t="s">
        <v>50</v>
      </c>
      <c r="N221" s="94" t="s">
        <v>567</v>
      </c>
      <c r="O221" s="95" t="s">
        <v>171</v>
      </c>
      <c r="P221" s="95" t="s">
        <v>171</v>
      </c>
      <c r="Q221" s="95" t="s">
        <v>647</v>
      </c>
      <c r="T221" s="97"/>
      <c r="U221" s="97"/>
    </row>
    <row r="222" spans="2:21" s="93" customFormat="1" ht="240" x14ac:dyDescent="0.3">
      <c r="B222" s="94" t="s">
        <v>172</v>
      </c>
      <c r="C222" s="95" t="s">
        <v>648</v>
      </c>
      <c r="D222" s="96">
        <v>1012516</v>
      </c>
      <c r="E222" s="96">
        <v>1065806.3157894737</v>
      </c>
      <c r="F222" s="96">
        <v>1012516</v>
      </c>
      <c r="G222" s="96">
        <v>1065806.3157894737</v>
      </c>
      <c r="H222" s="95" t="s">
        <v>39</v>
      </c>
      <c r="I222" s="94" t="s">
        <v>40</v>
      </c>
      <c r="J222" s="94" t="s">
        <v>41</v>
      </c>
      <c r="K222" s="94" t="s">
        <v>42</v>
      </c>
      <c r="L222" s="94" t="s">
        <v>62</v>
      </c>
      <c r="M222" s="95" t="s">
        <v>50</v>
      </c>
      <c r="N222" s="94" t="s">
        <v>221</v>
      </c>
      <c r="O222" s="95" t="s">
        <v>171</v>
      </c>
      <c r="P222" s="95" t="s">
        <v>171</v>
      </c>
      <c r="Q222" s="95" t="s">
        <v>649</v>
      </c>
      <c r="T222" s="97"/>
      <c r="U222" s="97"/>
    </row>
    <row r="223" spans="2:21" s="93" customFormat="1" ht="168" x14ac:dyDescent="0.3">
      <c r="B223" s="94" t="s">
        <v>172</v>
      </c>
      <c r="C223" s="95" t="s">
        <v>650</v>
      </c>
      <c r="D223" s="96">
        <v>960000</v>
      </c>
      <c r="E223" s="96">
        <v>1010526.3157894737</v>
      </c>
      <c r="F223" s="96">
        <v>960000</v>
      </c>
      <c r="G223" s="96">
        <v>1010526.3157894737</v>
      </c>
      <c r="H223" s="95" t="s">
        <v>39</v>
      </c>
      <c r="I223" s="94" t="s">
        <v>40</v>
      </c>
      <c r="J223" s="94" t="s">
        <v>41</v>
      </c>
      <c r="K223" s="94" t="s">
        <v>42</v>
      </c>
      <c r="L223" s="94" t="s">
        <v>62</v>
      </c>
      <c r="M223" s="95" t="s">
        <v>50</v>
      </c>
      <c r="N223" s="94" t="s">
        <v>567</v>
      </c>
      <c r="O223" s="95" t="s">
        <v>171</v>
      </c>
      <c r="P223" s="95" t="s">
        <v>171</v>
      </c>
      <c r="Q223" s="95" t="s">
        <v>651</v>
      </c>
      <c r="T223" s="97"/>
      <c r="U223" s="97"/>
    </row>
    <row r="224" spans="2:21" s="93" customFormat="1" ht="204" x14ac:dyDescent="0.3">
      <c r="B224" s="94" t="s">
        <v>279</v>
      </c>
      <c r="C224" s="95" t="s">
        <v>652</v>
      </c>
      <c r="D224" s="96">
        <v>800000</v>
      </c>
      <c r="E224" s="96">
        <v>842105.26315789472</v>
      </c>
      <c r="F224" s="96">
        <v>800000</v>
      </c>
      <c r="G224" s="96">
        <v>842105.26315789472</v>
      </c>
      <c r="H224" s="95" t="s">
        <v>39</v>
      </c>
      <c r="I224" s="94" t="s">
        <v>40</v>
      </c>
      <c r="J224" s="94" t="s">
        <v>41</v>
      </c>
      <c r="K224" s="94" t="s">
        <v>42</v>
      </c>
      <c r="L224" s="94" t="s">
        <v>62</v>
      </c>
      <c r="M224" s="95" t="s">
        <v>50</v>
      </c>
      <c r="N224" s="94" t="s">
        <v>221</v>
      </c>
      <c r="O224" s="95" t="s">
        <v>171</v>
      </c>
      <c r="P224" s="95" t="s">
        <v>171</v>
      </c>
      <c r="Q224" s="95" t="s">
        <v>653</v>
      </c>
      <c r="T224" s="97"/>
      <c r="U224" s="97"/>
    </row>
    <row r="225" spans="2:21" s="93" customFormat="1" ht="132" x14ac:dyDescent="0.3">
      <c r="B225" s="94" t="s">
        <v>540</v>
      </c>
      <c r="C225" s="95" t="s">
        <v>654</v>
      </c>
      <c r="D225" s="96">
        <v>600000</v>
      </c>
      <c r="E225" s="96">
        <v>631578.94736842113</v>
      </c>
      <c r="F225" s="96">
        <v>600000</v>
      </c>
      <c r="G225" s="96">
        <v>631578.94736842113</v>
      </c>
      <c r="H225" s="95" t="s">
        <v>39</v>
      </c>
      <c r="I225" s="94" t="s">
        <v>40</v>
      </c>
      <c r="J225" s="94" t="s">
        <v>41</v>
      </c>
      <c r="K225" s="94" t="s">
        <v>42</v>
      </c>
      <c r="L225" s="94" t="s">
        <v>62</v>
      </c>
      <c r="M225" s="95" t="s">
        <v>50</v>
      </c>
      <c r="N225" s="94" t="s">
        <v>221</v>
      </c>
      <c r="O225" s="95" t="s">
        <v>171</v>
      </c>
      <c r="P225" s="95" t="s">
        <v>171</v>
      </c>
      <c r="Q225" s="95" t="s">
        <v>655</v>
      </c>
      <c r="T225" s="97"/>
      <c r="U225" s="97"/>
    </row>
    <row r="226" spans="2:21" s="93" customFormat="1" ht="216" x14ac:dyDescent="0.3">
      <c r="B226" s="94" t="s">
        <v>169</v>
      </c>
      <c r="C226" s="95" t="s">
        <v>656</v>
      </c>
      <c r="D226" s="96">
        <v>600000</v>
      </c>
      <c r="E226" s="96">
        <v>631578.94736842113</v>
      </c>
      <c r="F226" s="96">
        <v>600000</v>
      </c>
      <c r="G226" s="96">
        <v>631578.94736842113</v>
      </c>
      <c r="H226" s="95" t="s">
        <v>39</v>
      </c>
      <c r="I226" s="94" t="s">
        <v>40</v>
      </c>
      <c r="J226" s="94" t="s">
        <v>41</v>
      </c>
      <c r="K226" s="94" t="s">
        <v>42</v>
      </c>
      <c r="L226" s="94" t="s">
        <v>49</v>
      </c>
      <c r="M226" s="95" t="s">
        <v>54</v>
      </c>
      <c r="N226" s="94" t="s">
        <v>55</v>
      </c>
      <c r="O226" s="95" t="s">
        <v>171</v>
      </c>
      <c r="P226" s="95" t="s">
        <v>171</v>
      </c>
      <c r="Q226" s="95" t="s">
        <v>657</v>
      </c>
      <c r="T226" s="97"/>
      <c r="U226" s="97"/>
    </row>
    <row r="227" spans="2:21" s="93" customFormat="1" ht="108" x14ac:dyDescent="0.3">
      <c r="B227" s="94" t="s">
        <v>169</v>
      </c>
      <c r="C227" s="95" t="s">
        <v>658</v>
      </c>
      <c r="D227" s="96">
        <v>600000</v>
      </c>
      <c r="E227" s="96">
        <v>631578.94736842113</v>
      </c>
      <c r="F227" s="96">
        <v>600000</v>
      </c>
      <c r="G227" s="96">
        <v>631578.94736842113</v>
      </c>
      <c r="H227" s="95" t="s">
        <v>39</v>
      </c>
      <c r="I227" s="94" t="s">
        <v>40</v>
      </c>
      <c r="J227" s="94" t="s">
        <v>41</v>
      </c>
      <c r="K227" s="94" t="s">
        <v>42</v>
      </c>
      <c r="L227" s="94" t="s">
        <v>49</v>
      </c>
      <c r="M227" s="95" t="s">
        <v>44</v>
      </c>
      <c r="N227" s="94" t="s">
        <v>45</v>
      </c>
      <c r="O227" s="95" t="s">
        <v>171</v>
      </c>
      <c r="P227" s="95" t="s">
        <v>171</v>
      </c>
      <c r="Q227" s="95" t="s">
        <v>659</v>
      </c>
      <c r="T227" s="97"/>
      <c r="U227" s="97"/>
    </row>
    <row r="228" spans="2:21" s="93" customFormat="1" ht="216" x14ac:dyDescent="0.3">
      <c r="B228" s="94" t="s">
        <v>660</v>
      </c>
      <c r="C228" s="95" t="s">
        <v>661</v>
      </c>
      <c r="D228" s="96">
        <v>600000</v>
      </c>
      <c r="E228" s="96">
        <v>631578.94736842113</v>
      </c>
      <c r="F228" s="96">
        <v>600000</v>
      </c>
      <c r="G228" s="96">
        <v>631578.94736842113</v>
      </c>
      <c r="H228" s="95" t="s">
        <v>39</v>
      </c>
      <c r="I228" s="94" t="s">
        <v>40</v>
      </c>
      <c r="J228" s="94" t="s">
        <v>41</v>
      </c>
      <c r="K228" s="94" t="s">
        <v>42</v>
      </c>
      <c r="L228" s="94" t="s">
        <v>49</v>
      </c>
      <c r="M228" s="95" t="s">
        <v>50</v>
      </c>
      <c r="N228" s="94" t="s">
        <v>221</v>
      </c>
      <c r="O228" s="95" t="s">
        <v>171</v>
      </c>
      <c r="P228" s="95" t="s">
        <v>171</v>
      </c>
      <c r="Q228" s="95" t="s">
        <v>662</v>
      </c>
      <c r="T228" s="97"/>
      <c r="U228" s="97"/>
    </row>
    <row r="229" spans="2:21" s="93" customFormat="1" ht="228" x14ac:dyDescent="0.3">
      <c r="B229" s="94" t="s">
        <v>84</v>
      </c>
      <c r="C229" s="95" t="s">
        <v>663</v>
      </c>
      <c r="D229" s="96">
        <v>520000</v>
      </c>
      <c r="E229" s="96">
        <v>547368.42105263157</v>
      </c>
      <c r="F229" s="96">
        <v>520000</v>
      </c>
      <c r="G229" s="96">
        <v>547368.42105263157</v>
      </c>
      <c r="H229" s="95" t="s">
        <v>39</v>
      </c>
      <c r="I229" s="94" t="s">
        <v>40</v>
      </c>
      <c r="J229" s="94" t="s">
        <v>41</v>
      </c>
      <c r="K229" s="94" t="s">
        <v>42</v>
      </c>
      <c r="L229" s="94" t="s">
        <v>43</v>
      </c>
      <c r="M229" s="95" t="s">
        <v>85</v>
      </c>
      <c r="N229" s="94" t="s">
        <v>86</v>
      </c>
      <c r="O229" s="95" t="s">
        <v>171</v>
      </c>
      <c r="P229" s="95" t="s">
        <v>171</v>
      </c>
      <c r="Q229" s="95" t="s">
        <v>87</v>
      </c>
      <c r="T229" s="97"/>
      <c r="U229" s="97"/>
    </row>
    <row r="230" spans="2:21" s="93" customFormat="1" ht="240" x14ac:dyDescent="0.3">
      <c r="B230" s="94" t="s">
        <v>169</v>
      </c>
      <c r="C230" s="95" t="s">
        <v>664</v>
      </c>
      <c r="D230" s="96">
        <v>400000</v>
      </c>
      <c r="E230" s="96">
        <v>421052.63157894736</v>
      </c>
      <c r="F230" s="96">
        <v>400000</v>
      </c>
      <c r="G230" s="96">
        <v>421052.63157894736</v>
      </c>
      <c r="H230" s="95" t="s">
        <v>39</v>
      </c>
      <c r="I230" s="94" t="s">
        <v>40</v>
      </c>
      <c r="J230" s="94" t="s">
        <v>41</v>
      </c>
      <c r="K230" s="94" t="s">
        <v>42</v>
      </c>
      <c r="L230" s="94" t="s">
        <v>49</v>
      </c>
      <c r="M230" s="95" t="s">
        <v>50</v>
      </c>
      <c r="N230" s="94" t="s">
        <v>221</v>
      </c>
      <c r="O230" s="95" t="s">
        <v>171</v>
      </c>
      <c r="P230" s="95" t="s">
        <v>171</v>
      </c>
      <c r="Q230" s="95" t="s">
        <v>665</v>
      </c>
      <c r="T230" s="97"/>
      <c r="U230" s="97"/>
    </row>
    <row r="231" spans="2:21" s="93" customFormat="1" ht="84" x14ac:dyDescent="0.3">
      <c r="B231" s="94" t="s">
        <v>666</v>
      </c>
      <c r="C231" s="95" t="s">
        <v>667</v>
      </c>
      <c r="D231" s="96">
        <v>400000</v>
      </c>
      <c r="E231" s="96">
        <v>421052.63157894736</v>
      </c>
      <c r="F231" s="96">
        <v>400000</v>
      </c>
      <c r="G231" s="96">
        <v>421052.63157894736</v>
      </c>
      <c r="H231" s="95" t="s">
        <v>39</v>
      </c>
      <c r="I231" s="94" t="s">
        <v>40</v>
      </c>
      <c r="J231" s="94" t="s">
        <v>41</v>
      </c>
      <c r="K231" s="94" t="s">
        <v>42</v>
      </c>
      <c r="L231" s="94" t="s">
        <v>43</v>
      </c>
      <c r="M231" s="95" t="s">
        <v>50</v>
      </c>
      <c r="N231" s="94" t="s">
        <v>643</v>
      </c>
      <c r="O231" s="95" t="s">
        <v>171</v>
      </c>
      <c r="P231" s="95" t="s">
        <v>171</v>
      </c>
      <c r="Q231" s="95" t="s">
        <v>668</v>
      </c>
      <c r="T231" s="97"/>
      <c r="U231" s="97"/>
    </row>
    <row r="232" spans="2:21" s="93" customFormat="1" ht="216" x14ac:dyDescent="0.3">
      <c r="B232" s="94" t="s">
        <v>169</v>
      </c>
      <c r="C232" s="95" t="s">
        <v>669</v>
      </c>
      <c r="D232" s="96">
        <v>400000</v>
      </c>
      <c r="E232" s="96">
        <v>421052.63157894736</v>
      </c>
      <c r="F232" s="96">
        <v>400000</v>
      </c>
      <c r="G232" s="96">
        <v>421052.63157894736</v>
      </c>
      <c r="H232" s="95" t="s">
        <v>39</v>
      </c>
      <c r="I232" s="94" t="s">
        <v>40</v>
      </c>
      <c r="J232" s="94" t="s">
        <v>41</v>
      </c>
      <c r="K232" s="94" t="s">
        <v>42</v>
      </c>
      <c r="L232" s="94" t="s">
        <v>49</v>
      </c>
      <c r="M232" s="95" t="s">
        <v>50</v>
      </c>
      <c r="N232" s="94" t="s">
        <v>221</v>
      </c>
      <c r="O232" s="95" t="s">
        <v>171</v>
      </c>
      <c r="P232" s="95" t="s">
        <v>171</v>
      </c>
      <c r="Q232" s="95" t="s">
        <v>670</v>
      </c>
      <c r="T232" s="97"/>
      <c r="U232" s="97"/>
    </row>
    <row r="233" spans="2:21" s="93" customFormat="1" ht="96" x14ac:dyDescent="0.3">
      <c r="B233" s="94" t="s">
        <v>510</v>
      </c>
      <c r="C233" s="95" t="s">
        <v>564</v>
      </c>
      <c r="D233" s="96">
        <v>400000</v>
      </c>
      <c r="E233" s="96">
        <v>421052.63157894736</v>
      </c>
      <c r="F233" s="96">
        <v>400000</v>
      </c>
      <c r="G233" s="96">
        <v>421052.63157894736</v>
      </c>
      <c r="H233" s="95" t="s">
        <v>39</v>
      </c>
      <c r="I233" s="94" t="s">
        <v>40</v>
      </c>
      <c r="J233" s="94" t="s">
        <v>41</v>
      </c>
      <c r="K233" s="94" t="s">
        <v>42</v>
      </c>
      <c r="L233" s="94" t="s">
        <v>62</v>
      </c>
      <c r="M233" s="95" t="s">
        <v>49</v>
      </c>
      <c r="N233" s="94" t="s">
        <v>82</v>
      </c>
      <c r="O233" s="95" t="s">
        <v>171</v>
      </c>
      <c r="P233" s="95" t="s">
        <v>171</v>
      </c>
      <c r="Q233" s="95" t="s">
        <v>671</v>
      </c>
      <c r="T233" s="97"/>
      <c r="U233" s="97"/>
    </row>
    <row r="234" spans="2:21" s="93" customFormat="1" ht="204" x14ac:dyDescent="0.3">
      <c r="B234" s="94" t="s">
        <v>191</v>
      </c>
      <c r="C234" s="95" t="s">
        <v>672</v>
      </c>
      <c r="D234" s="96">
        <v>320000</v>
      </c>
      <c r="E234" s="96">
        <v>336842.10526315792</v>
      </c>
      <c r="F234" s="96">
        <v>320000</v>
      </c>
      <c r="G234" s="96">
        <v>336842.10526315792</v>
      </c>
      <c r="H234" s="95" t="s">
        <v>39</v>
      </c>
      <c r="I234" s="94" t="s">
        <v>40</v>
      </c>
      <c r="J234" s="94" t="s">
        <v>41</v>
      </c>
      <c r="K234" s="94" t="s">
        <v>42</v>
      </c>
      <c r="L234" s="94" t="s">
        <v>49</v>
      </c>
      <c r="M234" s="95" t="s">
        <v>50</v>
      </c>
      <c r="N234" s="94" t="s">
        <v>221</v>
      </c>
      <c r="O234" s="95" t="s">
        <v>171</v>
      </c>
      <c r="P234" s="95" t="s">
        <v>171</v>
      </c>
      <c r="Q234" s="95" t="s">
        <v>673</v>
      </c>
      <c r="T234" s="97"/>
      <c r="U234" s="97"/>
    </row>
    <row r="235" spans="2:21" s="93" customFormat="1" ht="108" x14ac:dyDescent="0.3">
      <c r="B235" s="94" t="s">
        <v>438</v>
      </c>
      <c r="C235" s="95" t="s">
        <v>310</v>
      </c>
      <c r="D235" s="96">
        <v>313220</v>
      </c>
      <c r="E235" s="96">
        <v>329705.26315789478</v>
      </c>
      <c r="F235" s="96">
        <v>313220</v>
      </c>
      <c r="G235" s="96">
        <v>329705.26315789478</v>
      </c>
      <c r="H235" s="95" t="s">
        <v>39</v>
      </c>
      <c r="I235" s="94" t="s">
        <v>40</v>
      </c>
      <c r="J235" s="94" t="s">
        <v>41</v>
      </c>
      <c r="K235" s="94" t="s">
        <v>42</v>
      </c>
      <c r="L235" s="94" t="s">
        <v>49</v>
      </c>
      <c r="M235" s="95" t="s">
        <v>63</v>
      </c>
      <c r="N235" s="94" t="s">
        <v>64</v>
      </c>
      <c r="O235" s="95" t="s">
        <v>171</v>
      </c>
      <c r="P235" s="95" t="s">
        <v>171</v>
      </c>
      <c r="Q235" s="95" t="s">
        <v>311</v>
      </c>
      <c r="T235" s="97"/>
      <c r="U235" s="97"/>
    </row>
    <row r="236" spans="2:21" s="93" customFormat="1" ht="252" x14ac:dyDescent="0.3">
      <c r="B236" s="94" t="s">
        <v>172</v>
      </c>
      <c r="C236" s="95" t="s">
        <v>674</v>
      </c>
      <c r="D236" s="96">
        <v>200000</v>
      </c>
      <c r="E236" s="96">
        <v>210526.31578947368</v>
      </c>
      <c r="F236" s="96">
        <v>200000</v>
      </c>
      <c r="G236" s="96">
        <v>210526.31578947368</v>
      </c>
      <c r="H236" s="95" t="s">
        <v>39</v>
      </c>
      <c r="I236" s="94" t="s">
        <v>40</v>
      </c>
      <c r="J236" s="94" t="s">
        <v>41</v>
      </c>
      <c r="K236" s="94" t="s">
        <v>42</v>
      </c>
      <c r="L236" s="94" t="s">
        <v>49</v>
      </c>
      <c r="M236" s="95" t="s">
        <v>49</v>
      </c>
      <c r="N236" s="94" t="s">
        <v>82</v>
      </c>
      <c r="O236" s="95" t="s">
        <v>171</v>
      </c>
      <c r="P236" s="95" t="s">
        <v>171</v>
      </c>
      <c r="Q236" s="95" t="s">
        <v>675</v>
      </c>
      <c r="T236" s="97"/>
      <c r="U236" s="97"/>
    </row>
    <row r="237" spans="2:21" s="93" customFormat="1" ht="228" x14ac:dyDescent="0.3">
      <c r="B237" s="94" t="s">
        <v>219</v>
      </c>
      <c r="C237" s="95" t="s">
        <v>676</v>
      </c>
      <c r="D237" s="96">
        <v>193512</v>
      </c>
      <c r="E237" s="96">
        <v>203696.84210526317</v>
      </c>
      <c r="F237" s="96">
        <v>193512</v>
      </c>
      <c r="G237" s="96">
        <v>203696.84210526317</v>
      </c>
      <c r="H237" s="95" t="s">
        <v>39</v>
      </c>
      <c r="I237" s="94" t="s">
        <v>40</v>
      </c>
      <c r="J237" s="94" t="s">
        <v>41</v>
      </c>
      <c r="K237" s="94" t="s">
        <v>42</v>
      </c>
      <c r="L237" s="94" t="s">
        <v>62</v>
      </c>
      <c r="M237" s="95" t="s">
        <v>50</v>
      </c>
      <c r="N237" s="94" t="s">
        <v>303</v>
      </c>
      <c r="O237" s="95" t="s">
        <v>171</v>
      </c>
      <c r="P237" s="95" t="s">
        <v>171</v>
      </c>
      <c r="Q237" s="95" t="s">
        <v>677</v>
      </c>
      <c r="T237" s="97"/>
      <c r="U237" s="97"/>
    </row>
    <row r="238" spans="2:21" s="93" customFormat="1" ht="96" x14ac:dyDescent="0.3">
      <c r="B238" s="94" t="s">
        <v>405</v>
      </c>
      <c r="C238" s="95" t="s">
        <v>678</v>
      </c>
      <c r="D238" s="96">
        <v>196</v>
      </c>
      <c r="E238" s="96">
        <v>206.31578947368422</v>
      </c>
      <c r="F238" s="96">
        <v>196</v>
      </c>
      <c r="G238" s="96">
        <v>206.31578947368422</v>
      </c>
      <c r="H238" s="95" t="s">
        <v>39</v>
      </c>
      <c r="I238" s="94" t="s">
        <v>40</v>
      </c>
      <c r="J238" s="94" t="s">
        <v>679</v>
      </c>
      <c r="K238" s="94" t="s">
        <v>42</v>
      </c>
      <c r="L238" s="94" t="s">
        <v>43</v>
      </c>
      <c r="M238" s="95" t="s">
        <v>54</v>
      </c>
      <c r="N238" s="94" t="s">
        <v>55</v>
      </c>
      <c r="O238" s="95" t="s">
        <v>171</v>
      </c>
      <c r="P238" s="95" t="s">
        <v>171</v>
      </c>
      <c r="Q238" s="95" t="s">
        <v>680</v>
      </c>
      <c r="T238" s="97"/>
      <c r="U238" s="97"/>
    </row>
    <row r="239" spans="2:21" s="93" customFormat="1" ht="204" x14ac:dyDescent="0.3">
      <c r="B239" s="94" t="s">
        <v>172</v>
      </c>
      <c r="C239" s="95" t="s">
        <v>681</v>
      </c>
      <c r="D239" s="96">
        <v>9000000</v>
      </c>
      <c r="E239" s="96">
        <v>9473684.2105263155</v>
      </c>
      <c r="F239" s="96">
        <v>9000000</v>
      </c>
      <c r="G239" s="96">
        <v>9473684.2105263155</v>
      </c>
      <c r="H239" s="95" t="s">
        <v>39</v>
      </c>
      <c r="I239" s="94" t="s">
        <v>40</v>
      </c>
      <c r="J239" s="94" t="s">
        <v>679</v>
      </c>
      <c r="K239" s="94" t="s">
        <v>42</v>
      </c>
      <c r="L239" s="94" t="s">
        <v>49</v>
      </c>
      <c r="M239" s="95" t="s">
        <v>49</v>
      </c>
      <c r="N239" s="94" t="s">
        <v>82</v>
      </c>
      <c r="O239" s="95" t="s">
        <v>171</v>
      </c>
      <c r="P239" s="95" t="s">
        <v>171</v>
      </c>
      <c r="Q239" s="95" t="s">
        <v>682</v>
      </c>
      <c r="T239" s="97"/>
      <c r="U239" s="97"/>
    </row>
    <row r="240" spans="2:21" s="20" customFormat="1" ht="12" x14ac:dyDescent="0.25">
      <c r="B240" s="29"/>
      <c r="H240" s="30"/>
      <c r="I240" s="31"/>
      <c r="J240" s="32"/>
      <c r="K240" s="32"/>
      <c r="L240" s="33"/>
      <c r="M240" s="32"/>
      <c r="N240" s="34"/>
      <c r="O240" s="32"/>
      <c r="P240" s="32"/>
      <c r="Q240" s="32"/>
    </row>
    <row r="241" spans="2:21" s="20" customFormat="1" ht="12" x14ac:dyDescent="0.25">
      <c r="B241" s="20" t="s">
        <v>65</v>
      </c>
      <c r="H241" s="30"/>
      <c r="I241" s="31"/>
      <c r="J241" s="32"/>
      <c r="K241" s="32"/>
      <c r="L241" s="33"/>
      <c r="M241" s="32"/>
      <c r="N241" s="34"/>
      <c r="O241" s="32"/>
      <c r="P241" s="32"/>
      <c r="Q241" s="32"/>
    </row>
    <row r="242" spans="2:21" s="20" customFormat="1" ht="12" x14ac:dyDescent="0.25">
      <c r="B242" s="20" t="s">
        <v>66</v>
      </c>
      <c r="H242" s="30"/>
      <c r="I242" s="31"/>
      <c r="J242" s="32"/>
      <c r="K242" s="32"/>
      <c r="L242" s="33"/>
      <c r="M242" s="32"/>
      <c r="N242" s="34"/>
      <c r="O242" s="32"/>
      <c r="P242" s="32"/>
      <c r="Q242" s="32"/>
    </row>
    <row r="243" spans="2:21" s="20" customFormat="1" ht="12" x14ac:dyDescent="0.25">
      <c r="B243" s="1" t="s">
        <v>67</v>
      </c>
      <c r="C243" s="1"/>
      <c r="D243" s="1"/>
      <c r="E243" s="1"/>
      <c r="F243" s="1"/>
      <c r="G243" s="1"/>
      <c r="H243" s="1"/>
      <c r="I243" s="1"/>
      <c r="J243" s="1"/>
      <c r="K243" s="1"/>
      <c r="L243" s="1"/>
      <c r="M243" s="1"/>
      <c r="N243" s="1"/>
      <c r="O243" s="1"/>
      <c r="P243" s="1"/>
      <c r="Q243" s="1"/>
    </row>
    <row r="244" spans="2:21" s="20" customFormat="1" ht="13.95" customHeight="1" x14ac:dyDescent="0.25">
      <c r="B244" s="35" t="s">
        <v>68</v>
      </c>
      <c r="H244" s="30"/>
      <c r="I244" s="31"/>
      <c r="J244" s="32"/>
      <c r="K244" s="32"/>
      <c r="L244" s="33"/>
      <c r="M244" s="32"/>
      <c r="N244" s="34"/>
      <c r="O244" s="32"/>
      <c r="P244" s="32"/>
      <c r="Q244" s="32"/>
    </row>
    <row r="245" spans="2:21" ht="13.95" customHeight="1" x14ac:dyDescent="0.25">
      <c r="B245" s="35" t="s">
        <v>69</v>
      </c>
      <c r="D245" s="36"/>
    </row>
    <row r="246" spans="2:21" ht="13.95" customHeight="1" x14ac:dyDescent="0.25">
      <c r="B246" s="35" t="s">
        <v>70</v>
      </c>
      <c r="C246" s="37"/>
      <c r="D246" s="38"/>
      <c r="E246" s="38"/>
      <c r="F246" s="38"/>
      <c r="G246" s="39"/>
    </row>
    <row r="247" spans="2:21" ht="13.95" customHeight="1" x14ac:dyDescent="0.25">
      <c r="B247" s="35" t="s">
        <v>71</v>
      </c>
      <c r="C247" s="40"/>
    </row>
    <row r="248" spans="2:21" ht="13.95" customHeight="1" x14ac:dyDescent="0.25">
      <c r="B248" s="35" t="s">
        <v>72</v>
      </c>
      <c r="C248" s="40"/>
    </row>
    <row r="249" spans="2:21" ht="13.95" customHeight="1" x14ac:dyDescent="0.25">
      <c r="B249" s="35" t="s">
        <v>73</v>
      </c>
      <c r="C249" s="40"/>
    </row>
    <row r="250" spans="2:21" ht="13.95" customHeight="1" x14ac:dyDescent="0.25">
      <c r="B250" s="35" t="s">
        <v>74</v>
      </c>
      <c r="C250" s="40"/>
    </row>
    <row r="251" spans="2:21" ht="13.95" customHeight="1" x14ac:dyDescent="0.25">
      <c r="B251" s="35" t="s">
        <v>75</v>
      </c>
      <c r="C251" s="40"/>
    </row>
    <row r="252" spans="2:21" ht="13.95" customHeight="1" x14ac:dyDescent="0.25">
      <c r="B252" s="35" t="s">
        <v>76</v>
      </c>
      <c r="C252" s="35"/>
      <c r="D252" s="35"/>
      <c r="E252" s="35"/>
      <c r="F252" s="35"/>
      <c r="G252" s="35"/>
      <c r="H252" s="35"/>
      <c r="I252" s="35"/>
      <c r="J252" s="35"/>
      <c r="K252" s="35"/>
      <c r="L252" s="35"/>
      <c r="M252" s="35"/>
      <c r="N252" s="35"/>
      <c r="O252" s="35"/>
      <c r="P252" s="35"/>
      <c r="Q252" s="35"/>
    </row>
    <row r="253" spans="2:21" ht="13.95" customHeight="1" x14ac:dyDescent="0.25">
      <c r="B253" s="35" t="s">
        <v>77</v>
      </c>
      <c r="C253" s="40"/>
    </row>
    <row r="254" spans="2:21" ht="13.95" customHeight="1" x14ac:dyDescent="0.25">
      <c r="B254" s="35" t="s">
        <v>78</v>
      </c>
      <c r="C254" s="40"/>
    </row>
    <row r="255" spans="2:21" ht="12" x14ac:dyDescent="0.25">
      <c r="B255" s="9"/>
      <c r="C255" s="40"/>
    </row>
    <row r="256" spans="2:21" s="93" customFormat="1" ht="14.4" x14ac:dyDescent="0.3">
      <c r="B256" s="102" t="s">
        <v>79</v>
      </c>
      <c r="T256" s="97"/>
      <c r="U256" s="97"/>
    </row>
    <row r="257" spans="2:21" s="93" customFormat="1" ht="13.5" customHeight="1" x14ac:dyDescent="0.3">
      <c r="B257" s="103" t="s">
        <v>683</v>
      </c>
      <c r="T257" s="97"/>
      <c r="U257" s="97"/>
    </row>
    <row r="258" spans="2:21" ht="12" x14ac:dyDescent="0.25"/>
    <row r="259" spans="2:21" ht="12" x14ac:dyDescent="0.25"/>
    <row r="260" spans="2:21" ht="12" x14ac:dyDescent="0.25"/>
    <row r="261" spans="2:21" ht="12" x14ac:dyDescent="0.25"/>
    <row r="262" spans="2:21" ht="12" x14ac:dyDescent="0.25"/>
    <row r="263" spans="2:21" ht="12" x14ac:dyDescent="0.25"/>
    <row r="264" spans="2:21" ht="12" x14ac:dyDescent="0.25"/>
    <row r="265" spans="2:21" ht="12" x14ac:dyDescent="0.25"/>
    <row r="266" spans="2:21" ht="12" x14ac:dyDescent="0.25"/>
    <row r="267" spans="2:21" ht="12" x14ac:dyDescent="0.25"/>
    <row r="268" spans="2:21" ht="12" x14ac:dyDescent="0.25"/>
    <row r="269" spans="2:21" ht="12" x14ac:dyDescent="0.25"/>
    <row r="270" spans="2:21" ht="12" x14ac:dyDescent="0.25"/>
    <row r="271" spans="2:21" ht="12" x14ac:dyDescent="0.25"/>
    <row r="272" spans="2:21" ht="12" x14ac:dyDescent="0.25"/>
    <row r="273" spans="1:1" ht="12" x14ac:dyDescent="0.25">
      <c r="A273" s="41"/>
    </row>
    <row r="274" spans="1:1" ht="12" x14ac:dyDescent="0.25">
      <c r="A274" s="42"/>
    </row>
    <row r="275" spans="1:1" ht="14.4" x14ac:dyDescent="0.25">
      <c r="A275" s="43"/>
    </row>
    <row r="276" spans="1:1" ht="14.4" x14ac:dyDescent="0.25">
      <c r="A276" s="43"/>
    </row>
    <row r="277" spans="1:1" ht="14.4" x14ac:dyDescent="0.25">
      <c r="A277" s="43"/>
    </row>
    <row r="278" spans="1:1" ht="14.4" x14ac:dyDescent="0.25">
      <c r="A278" s="43"/>
    </row>
    <row r="279" spans="1:1" ht="14.4" x14ac:dyDescent="0.25">
      <c r="A279" s="43"/>
    </row>
    <row r="280" spans="1:1" ht="14.4" x14ac:dyDescent="0.25">
      <c r="A280" s="43"/>
    </row>
    <row r="281" spans="1:1" ht="14.4" x14ac:dyDescent="0.25">
      <c r="A281" s="43"/>
    </row>
    <row r="282" spans="1:1" ht="13.95" customHeight="1" x14ac:dyDescent="0.25">
      <c r="A282" s="43"/>
    </row>
    <row r="283" spans="1:1" ht="13.95" customHeight="1" x14ac:dyDescent="0.25">
      <c r="A283" s="43"/>
    </row>
    <row r="284" spans="1:1" ht="13.95" customHeight="1" x14ac:dyDescent="0.25">
      <c r="A284" s="44"/>
    </row>
    <row r="285" spans="1:1" ht="13.95" customHeight="1" x14ac:dyDescent="0.25">
      <c r="A285" s="45"/>
    </row>
    <row r="286" spans="1:1" ht="13.95" customHeight="1" x14ac:dyDescent="0.25">
      <c r="A286" s="44"/>
    </row>
    <row r="287" spans="1:1" ht="13.95" customHeight="1" x14ac:dyDescent="0.25">
      <c r="A287" s="44"/>
    </row>
    <row r="288" spans="1:1" ht="13.95" customHeight="1" x14ac:dyDescent="0.25"/>
    <row r="289" ht="13.95" customHeight="1" x14ac:dyDescent="0.25"/>
    <row r="290" ht="13.95" customHeight="1" x14ac:dyDescent="0.25"/>
    <row r="291" ht="12" x14ac:dyDescent="0.25"/>
    <row r="292" ht="12" customHeight="1" x14ac:dyDescent="0.25"/>
    <row r="293" ht="12" x14ac:dyDescent="0.25"/>
    <row r="294" ht="12" x14ac:dyDescent="0.25"/>
    <row r="295" ht="12" x14ac:dyDescent="0.25"/>
    <row r="296" ht="12" x14ac:dyDescent="0.25"/>
    <row r="297" ht="12" x14ac:dyDescent="0.25"/>
    <row r="298" ht="12" x14ac:dyDescent="0.25"/>
  </sheetData>
  <hyperlinks>
    <hyperlink ref="B5" location="'Index sheet'!A1" display="Back to index" xr:uid="{00000000-0004-0000-0100-000000000000}"/>
  </hyperlinks>
  <pageMargins left="0.7" right="0.7" top="0.75" bottom="0.75" header="0.3" footer="0.3"/>
  <pageSetup paperSize="9" orientation="portrait"/>
  <ignoredErrors>
    <ignoredError sqref="A1:Q9 A240:Q255 A258:Q29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83"/>
  <sheetViews>
    <sheetView showGridLines="0" workbookViewId="0">
      <selection activeCell="S1" sqref="S1"/>
    </sheetView>
  </sheetViews>
  <sheetFormatPr baseColWidth="10" defaultColWidth="9.109375" defaultRowHeight="11.55" customHeight="1" x14ac:dyDescent="0.25"/>
  <cols>
    <col min="1" max="1" width="2.44140625" style="1" customWidth="1"/>
    <col min="2" max="2" width="23" style="1" customWidth="1"/>
    <col min="3" max="16" width="11.44140625" style="1" customWidth="1"/>
    <col min="17" max="17" width="20.44140625" style="1" customWidth="1"/>
    <col min="18" max="18" width="9.109375" style="1" customWidth="1"/>
    <col min="19" max="16384" width="9.109375" style="1"/>
  </cols>
  <sheetData>
    <row r="1" spans="2:22" ht="16.05" customHeight="1" x14ac:dyDescent="0.3">
      <c r="B1" s="6" t="s">
        <v>14</v>
      </c>
      <c r="C1" s="6"/>
    </row>
    <row r="2" spans="2:22" ht="16.05" customHeight="1" x14ac:dyDescent="0.3">
      <c r="B2" s="7" t="s">
        <v>15</v>
      </c>
      <c r="C2" s="8"/>
      <c r="D2" s="9"/>
      <c r="I2" s="7" t="s">
        <v>80</v>
      </c>
      <c r="J2" s="7" t="s">
        <v>17</v>
      </c>
    </row>
    <row r="3" spans="2:22" ht="16.05" customHeight="1" x14ac:dyDescent="0.25">
      <c r="B3" s="10" t="s">
        <v>18</v>
      </c>
      <c r="C3" s="11">
        <v>0.85</v>
      </c>
    </row>
    <row r="4" spans="2:22" ht="16.05" customHeight="1" x14ac:dyDescent="0.25">
      <c r="B4" s="12"/>
      <c r="C4" s="12"/>
    </row>
    <row r="5" spans="2:22" ht="12" x14ac:dyDescent="0.25">
      <c r="B5" s="13" t="s">
        <v>19</v>
      </c>
      <c r="C5" s="14"/>
    </row>
    <row r="6" spans="2:22" ht="12" x14ac:dyDescent="0.25">
      <c r="B6" s="13"/>
      <c r="C6" s="14"/>
    </row>
    <row r="7" spans="2:22" s="20" customFormat="1" ht="64.8" customHeight="1" x14ac:dyDescent="0.25">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spans="2:22" s="20" customFormat="1" ht="23.55" customHeight="1" x14ac:dyDescent="0.25">
      <c r="B8" s="21"/>
      <c r="C8" s="21"/>
      <c r="D8" s="22" t="s">
        <v>33</v>
      </c>
      <c r="E8" s="23"/>
      <c r="F8" s="22" t="s">
        <v>34</v>
      </c>
      <c r="G8" s="23"/>
      <c r="H8" s="21"/>
      <c r="I8" s="21"/>
      <c r="J8" s="21"/>
      <c r="K8" s="21"/>
      <c r="L8" s="21"/>
      <c r="M8" s="21"/>
      <c r="N8" s="21"/>
      <c r="O8" s="21"/>
      <c r="P8" s="24"/>
      <c r="Q8" s="21"/>
    </row>
    <row r="9" spans="2:22" s="20" customFormat="1" ht="22.95" customHeight="1" x14ac:dyDescent="0.25">
      <c r="B9" s="25"/>
      <c r="C9" s="25"/>
      <c r="D9" s="26" t="s">
        <v>35</v>
      </c>
      <c r="E9" s="27" t="s">
        <v>36</v>
      </c>
      <c r="F9" s="26" t="s">
        <v>35</v>
      </c>
      <c r="G9" s="27" t="s">
        <v>36</v>
      </c>
      <c r="H9" s="25"/>
      <c r="I9" s="25"/>
      <c r="J9" s="25"/>
      <c r="K9" s="25"/>
      <c r="L9" s="25"/>
      <c r="M9" s="25"/>
      <c r="N9" s="25"/>
      <c r="O9" s="25"/>
      <c r="P9" s="28"/>
      <c r="Q9" s="21"/>
    </row>
    <row r="10" spans="2:22" s="104" customFormat="1" ht="108" x14ac:dyDescent="0.25">
      <c r="B10" s="94" t="s">
        <v>316</v>
      </c>
      <c r="C10" s="95" t="s">
        <v>684</v>
      </c>
      <c r="D10" s="107">
        <v>8400000</v>
      </c>
      <c r="E10" s="107">
        <v>9940828.4023668636</v>
      </c>
      <c r="F10" s="107">
        <v>8400000</v>
      </c>
      <c r="G10" s="107">
        <v>9940828.4023668636</v>
      </c>
      <c r="H10" s="95" t="s">
        <v>39</v>
      </c>
      <c r="I10" s="94" t="s">
        <v>40</v>
      </c>
      <c r="J10" s="94" t="s">
        <v>41</v>
      </c>
      <c r="K10" s="94" t="s">
        <v>42</v>
      </c>
      <c r="L10" s="94" t="s">
        <v>62</v>
      </c>
      <c r="M10" s="95" t="s">
        <v>49</v>
      </c>
      <c r="N10" s="94" t="s">
        <v>45</v>
      </c>
      <c r="O10" s="95" t="s">
        <v>171</v>
      </c>
      <c r="P10" s="95" t="s">
        <v>171</v>
      </c>
      <c r="Q10" s="95" t="s">
        <v>685</v>
      </c>
      <c r="R10" s="105"/>
      <c r="S10" s="105"/>
      <c r="T10" s="105"/>
      <c r="U10" s="105"/>
      <c r="V10" s="105"/>
    </row>
    <row r="11" spans="2:22" s="104" customFormat="1" ht="108" x14ac:dyDescent="0.25">
      <c r="B11" s="94" t="s">
        <v>177</v>
      </c>
      <c r="C11" s="106" t="s">
        <v>686</v>
      </c>
      <c r="D11" s="107">
        <v>300000000</v>
      </c>
      <c r="E11" s="107">
        <v>355029585.79881656</v>
      </c>
      <c r="F11" s="107">
        <v>300000000</v>
      </c>
      <c r="G11" s="107">
        <v>355029585.79881656</v>
      </c>
      <c r="H11" s="95" t="s">
        <v>39</v>
      </c>
      <c r="I11" s="94" t="s">
        <v>40</v>
      </c>
      <c r="J11" s="94" t="s">
        <v>41</v>
      </c>
      <c r="K11" s="94" t="s">
        <v>42</v>
      </c>
      <c r="L11" s="94" t="s">
        <v>43</v>
      </c>
      <c r="M11" s="95" t="s">
        <v>49</v>
      </c>
      <c r="N11" s="94" t="s">
        <v>55</v>
      </c>
      <c r="O11" s="95" t="s">
        <v>171</v>
      </c>
      <c r="P11" s="95" t="s">
        <v>171</v>
      </c>
      <c r="Q11" s="95" t="s">
        <v>687</v>
      </c>
      <c r="R11" s="105"/>
      <c r="S11" s="105"/>
      <c r="T11" s="105"/>
      <c r="U11" s="105"/>
      <c r="V11" s="105"/>
    </row>
    <row r="12" spans="2:22" s="104" customFormat="1" ht="96" x14ac:dyDescent="0.25">
      <c r="B12" s="94" t="s">
        <v>398</v>
      </c>
      <c r="C12" s="106" t="s">
        <v>688</v>
      </c>
      <c r="D12" s="107">
        <v>2000000</v>
      </c>
      <c r="E12" s="107">
        <v>2366863.9053254439</v>
      </c>
      <c r="F12" s="107">
        <v>2000000</v>
      </c>
      <c r="G12" s="107">
        <v>2366863.9053254439</v>
      </c>
      <c r="H12" s="95" t="s">
        <v>39</v>
      </c>
      <c r="I12" s="94" t="s">
        <v>40</v>
      </c>
      <c r="J12" s="94" t="s">
        <v>41</v>
      </c>
      <c r="K12" s="94" t="s">
        <v>42</v>
      </c>
      <c r="L12" s="94" t="s">
        <v>62</v>
      </c>
      <c r="M12" s="95" t="s">
        <v>49</v>
      </c>
      <c r="N12" s="94" t="s">
        <v>92</v>
      </c>
      <c r="O12" s="95" t="s">
        <v>171</v>
      </c>
      <c r="P12" s="95" t="s">
        <v>171</v>
      </c>
      <c r="Q12" s="95" t="s">
        <v>689</v>
      </c>
      <c r="R12" s="105"/>
      <c r="S12" s="105"/>
      <c r="T12" s="105"/>
      <c r="U12" s="105"/>
      <c r="V12" s="105"/>
    </row>
    <row r="13" spans="2:22" s="104" customFormat="1" ht="120" x14ac:dyDescent="0.25">
      <c r="B13" s="94" t="s">
        <v>405</v>
      </c>
      <c r="C13" s="106" t="s">
        <v>690</v>
      </c>
      <c r="D13" s="107">
        <v>80000000</v>
      </c>
      <c r="E13" s="107">
        <v>94674556.213017762</v>
      </c>
      <c r="F13" s="107">
        <v>80000000</v>
      </c>
      <c r="G13" s="107">
        <v>94674556.213017762</v>
      </c>
      <c r="H13" s="95" t="s">
        <v>39</v>
      </c>
      <c r="I13" s="94" t="s">
        <v>40</v>
      </c>
      <c r="J13" s="94" t="s">
        <v>41</v>
      </c>
      <c r="K13" s="94" t="s">
        <v>42</v>
      </c>
      <c r="L13" s="94" t="s">
        <v>43</v>
      </c>
      <c r="M13" s="95" t="s">
        <v>49</v>
      </c>
      <c r="N13" s="94" t="s">
        <v>45</v>
      </c>
      <c r="O13" s="95" t="s">
        <v>171</v>
      </c>
      <c r="P13" s="95" t="s">
        <v>171</v>
      </c>
      <c r="Q13" s="95" t="s">
        <v>691</v>
      </c>
      <c r="R13" s="105"/>
      <c r="S13" s="105"/>
      <c r="T13" s="105"/>
      <c r="U13" s="105"/>
      <c r="V13" s="105"/>
    </row>
    <row r="14" spans="2:22" s="104" customFormat="1" ht="60" x14ac:dyDescent="0.25">
      <c r="B14" s="94" t="s">
        <v>626</v>
      </c>
      <c r="C14" s="106" t="s">
        <v>692</v>
      </c>
      <c r="D14" s="107">
        <v>2400000</v>
      </c>
      <c r="E14" s="107">
        <v>2840236.6863905326</v>
      </c>
      <c r="F14" s="107">
        <v>2400000</v>
      </c>
      <c r="G14" s="107">
        <v>2840236.6863905326</v>
      </c>
      <c r="H14" s="95" t="s">
        <v>39</v>
      </c>
      <c r="I14" s="94" t="s">
        <v>40</v>
      </c>
      <c r="J14" s="94" t="s">
        <v>41</v>
      </c>
      <c r="K14" s="94" t="s">
        <v>42</v>
      </c>
      <c r="L14" s="94" t="s">
        <v>43</v>
      </c>
      <c r="M14" s="95" t="s">
        <v>49</v>
      </c>
      <c r="N14" s="94" t="s">
        <v>221</v>
      </c>
      <c r="O14" s="95" t="s">
        <v>171</v>
      </c>
      <c r="P14" s="95" t="s">
        <v>171</v>
      </c>
      <c r="Q14" s="95" t="s">
        <v>628</v>
      </c>
      <c r="R14" s="105"/>
      <c r="S14" s="105"/>
      <c r="T14" s="105"/>
      <c r="U14" s="105"/>
      <c r="V14" s="105"/>
    </row>
    <row r="15" spans="2:22" s="104" customFormat="1" ht="36" x14ac:dyDescent="0.25">
      <c r="B15" s="94" t="s">
        <v>246</v>
      </c>
      <c r="C15" s="106" t="s">
        <v>693</v>
      </c>
      <c r="D15" s="107">
        <v>63200000</v>
      </c>
      <c r="E15" s="107">
        <v>74792899.408284023</v>
      </c>
      <c r="F15" s="107">
        <v>63200000</v>
      </c>
      <c r="G15" s="107">
        <v>74792899.408284023</v>
      </c>
      <c r="H15" s="95" t="s">
        <v>39</v>
      </c>
      <c r="I15" s="94" t="s">
        <v>40</v>
      </c>
      <c r="J15" s="94" t="s">
        <v>41</v>
      </c>
      <c r="K15" s="94" t="s">
        <v>42</v>
      </c>
      <c r="L15" s="94" t="s">
        <v>43</v>
      </c>
      <c r="M15" s="95" t="s">
        <v>50</v>
      </c>
      <c r="N15" s="94" t="s">
        <v>90</v>
      </c>
      <c r="O15" s="95" t="s">
        <v>171</v>
      </c>
      <c r="P15" s="95" t="s">
        <v>171</v>
      </c>
      <c r="Q15" s="95" t="s">
        <v>694</v>
      </c>
      <c r="R15" s="105"/>
      <c r="S15" s="105"/>
      <c r="T15" s="105"/>
      <c r="U15" s="105"/>
      <c r="V15" s="105"/>
    </row>
    <row r="16" spans="2:22" s="104" customFormat="1" ht="204" x14ac:dyDescent="0.25">
      <c r="B16" s="94" t="s">
        <v>352</v>
      </c>
      <c r="C16" s="106" t="s">
        <v>695</v>
      </c>
      <c r="D16" s="107">
        <v>30000000</v>
      </c>
      <c r="E16" s="107">
        <v>35502958.579881661</v>
      </c>
      <c r="F16" s="107">
        <v>30000000</v>
      </c>
      <c r="G16" s="107">
        <v>35502958.579881661</v>
      </c>
      <c r="H16" s="95" t="s">
        <v>39</v>
      </c>
      <c r="I16" s="94" t="s">
        <v>40</v>
      </c>
      <c r="J16" s="94" t="s">
        <v>41</v>
      </c>
      <c r="K16" s="94" t="s">
        <v>42</v>
      </c>
      <c r="L16" s="94" t="s">
        <v>49</v>
      </c>
      <c r="M16" s="95" t="s">
        <v>49</v>
      </c>
      <c r="N16" s="94" t="s">
        <v>90</v>
      </c>
      <c r="O16" s="95" t="s">
        <v>171</v>
      </c>
      <c r="P16" s="95" t="s">
        <v>171</v>
      </c>
      <c r="Q16" s="95" t="s">
        <v>696</v>
      </c>
      <c r="R16" s="105"/>
      <c r="S16" s="105"/>
      <c r="T16" s="105"/>
      <c r="U16" s="105"/>
      <c r="V16" s="105"/>
    </row>
    <row r="17" spans="2:22" s="104" customFormat="1" ht="84" x14ac:dyDescent="0.25">
      <c r="B17" s="94" t="s">
        <v>697</v>
      </c>
      <c r="C17" s="106" t="s">
        <v>698</v>
      </c>
      <c r="D17" s="107">
        <v>20000000</v>
      </c>
      <c r="E17" s="107">
        <v>23668639.05325444</v>
      </c>
      <c r="F17" s="107">
        <v>20000000</v>
      </c>
      <c r="G17" s="107">
        <v>23668639.05325444</v>
      </c>
      <c r="H17" s="95" t="s">
        <v>39</v>
      </c>
      <c r="I17" s="94" t="s">
        <v>40</v>
      </c>
      <c r="J17" s="94" t="s">
        <v>41</v>
      </c>
      <c r="K17" s="94" t="s">
        <v>42</v>
      </c>
      <c r="L17" s="94" t="s">
        <v>62</v>
      </c>
      <c r="M17" s="95" t="s">
        <v>50</v>
      </c>
      <c r="N17" s="94" t="s">
        <v>221</v>
      </c>
      <c r="O17" s="95" t="s">
        <v>171</v>
      </c>
      <c r="P17" s="95" t="s">
        <v>171</v>
      </c>
      <c r="Q17" s="95" t="s">
        <v>699</v>
      </c>
      <c r="R17" s="105"/>
      <c r="S17" s="105"/>
      <c r="T17" s="105"/>
      <c r="U17" s="105"/>
      <c r="V17" s="105"/>
    </row>
    <row r="18" spans="2:22" s="104" customFormat="1" ht="120" x14ac:dyDescent="0.25">
      <c r="B18" s="94" t="s">
        <v>307</v>
      </c>
      <c r="C18" s="106" t="s">
        <v>700</v>
      </c>
      <c r="D18" s="107">
        <v>22000000</v>
      </c>
      <c r="E18" s="107">
        <v>26035502.958579883</v>
      </c>
      <c r="F18" s="107">
        <v>22000000</v>
      </c>
      <c r="G18" s="107">
        <v>26035502.958579883</v>
      </c>
      <c r="H18" s="95" t="s">
        <v>39</v>
      </c>
      <c r="I18" s="94" t="s">
        <v>40</v>
      </c>
      <c r="J18" s="94" t="s">
        <v>41</v>
      </c>
      <c r="K18" s="94" t="s">
        <v>42</v>
      </c>
      <c r="L18" s="94" t="s">
        <v>43</v>
      </c>
      <c r="M18" s="95" t="s">
        <v>49</v>
      </c>
      <c r="N18" s="94" t="s">
        <v>92</v>
      </c>
      <c r="O18" s="95" t="s">
        <v>171</v>
      </c>
      <c r="P18" s="95" t="s">
        <v>171</v>
      </c>
      <c r="Q18" s="95" t="s">
        <v>701</v>
      </c>
      <c r="R18" s="105"/>
      <c r="S18" s="105"/>
      <c r="T18" s="105"/>
      <c r="U18" s="105"/>
      <c r="V18" s="105"/>
    </row>
    <row r="19" spans="2:22" s="104" customFormat="1" ht="204" x14ac:dyDescent="0.25">
      <c r="B19" s="94" t="s">
        <v>391</v>
      </c>
      <c r="C19" s="106" t="s">
        <v>702</v>
      </c>
      <c r="D19" s="107">
        <v>69000000</v>
      </c>
      <c r="E19" s="107">
        <v>81656804.733727813</v>
      </c>
      <c r="F19" s="107">
        <v>69000000</v>
      </c>
      <c r="G19" s="107">
        <v>81656804.733727813</v>
      </c>
      <c r="H19" s="95" t="s">
        <v>39</v>
      </c>
      <c r="I19" s="94" t="s">
        <v>40</v>
      </c>
      <c r="J19" s="94" t="s">
        <v>41</v>
      </c>
      <c r="K19" s="94" t="s">
        <v>42</v>
      </c>
      <c r="L19" s="94" t="s">
        <v>62</v>
      </c>
      <c r="M19" s="95" t="s">
        <v>49</v>
      </c>
      <c r="N19" s="94" t="s">
        <v>64</v>
      </c>
      <c r="O19" s="95" t="s">
        <v>171</v>
      </c>
      <c r="P19" s="95" t="s">
        <v>171</v>
      </c>
      <c r="Q19" s="95" t="s">
        <v>703</v>
      </c>
      <c r="R19" s="105"/>
      <c r="S19" s="105"/>
      <c r="T19" s="105"/>
      <c r="U19" s="105"/>
      <c r="V19" s="105"/>
    </row>
    <row r="20" spans="2:22" s="104" customFormat="1" ht="108" x14ac:dyDescent="0.25">
      <c r="B20" s="94" t="s">
        <v>428</v>
      </c>
      <c r="C20" s="106" t="s">
        <v>704</v>
      </c>
      <c r="D20" s="107">
        <v>4000000</v>
      </c>
      <c r="E20" s="107">
        <v>4733727.8106508879</v>
      </c>
      <c r="F20" s="107">
        <v>4000000</v>
      </c>
      <c r="G20" s="107">
        <v>4733727.8106508879</v>
      </c>
      <c r="H20" s="95" t="s">
        <v>39</v>
      </c>
      <c r="I20" s="94" t="s">
        <v>40</v>
      </c>
      <c r="J20" s="94" t="s">
        <v>41</v>
      </c>
      <c r="K20" s="94" t="s">
        <v>42</v>
      </c>
      <c r="L20" s="94" t="s">
        <v>43</v>
      </c>
      <c r="M20" s="95" t="s">
        <v>50</v>
      </c>
      <c r="N20" s="94" t="s">
        <v>194</v>
      </c>
      <c r="O20" s="95" t="s">
        <v>171</v>
      </c>
      <c r="P20" s="95" t="s">
        <v>171</v>
      </c>
      <c r="Q20" s="95" t="s">
        <v>705</v>
      </c>
      <c r="R20" s="105"/>
      <c r="S20" s="105"/>
      <c r="T20" s="105"/>
      <c r="U20" s="105"/>
      <c r="V20" s="105"/>
    </row>
    <row r="21" spans="2:22" s="104" customFormat="1" ht="144" x14ac:dyDescent="0.25">
      <c r="B21" s="94" t="s">
        <v>428</v>
      </c>
      <c r="C21" s="106" t="s">
        <v>706</v>
      </c>
      <c r="D21" s="107">
        <v>3400000</v>
      </c>
      <c r="E21" s="107">
        <v>4023668.6390532544</v>
      </c>
      <c r="F21" s="107">
        <v>3400000</v>
      </c>
      <c r="G21" s="107">
        <v>4023668.6390532544</v>
      </c>
      <c r="H21" s="95" t="s">
        <v>39</v>
      </c>
      <c r="I21" s="94" t="s">
        <v>40</v>
      </c>
      <c r="J21" s="94" t="s">
        <v>41</v>
      </c>
      <c r="K21" s="94" t="s">
        <v>42</v>
      </c>
      <c r="L21" s="94" t="s">
        <v>49</v>
      </c>
      <c r="M21" s="95" t="s">
        <v>49</v>
      </c>
      <c r="N21" s="94" t="s">
        <v>235</v>
      </c>
      <c r="O21" s="95" t="s">
        <v>171</v>
      </c>
      <c r="P21" s="95" t="s">
        <v>171</v>
      </c>
      <c r="Q21" s="95" t="s">
        <v>707</v>
      </c>
      <c r="R21" s="105"/>
      <c r="S21" s="105"/>
      <c r="T21" s="105"/>
      <c r="U21" s="105"/>
      <c r="V21" s="105"/>
    </row>
    <row r="22" spans="2:22" s="104" customFormat="1" ht="24" x14ac:dyDescent="0.25">
      <c r="B22" s="94" t="s">
        <v>169</v>
      </c>
      <c r="C22" s="106" t="s">
        <v>708</v>
      </c>
      <c r="D22" s="107">
        <v>35024588</v>
      </c>
      <c r="E22" s="107">
        <v>41449216.568047337</v>
      </c>
      <c r="F22" s="107">
        <v>35024588</v>
      </c>
      <c r="G22" s="107">
        <v>41449216.568047337</v>
      </c>
      <c r="H22" s="95" t="s">
        <v>39</v>
      </c>
      <c r="I22" s="94" t="s">
        <v>40</v>
      </c>
      <c r="J22" s="94" t="s">
        <v>41</v>
      </c>
      <c r="K22" s="94" t="s">
        <v>42</v>
      </c>
      <c r="L22" s="94" t="s">
        <v>49</v>
      </c>
      <c r="M22" s="95" t="s">
        <v>49</v>
      </c>
      <c r="N22" s="94" t="s">
        <v>64</v>
      </c>
      <c r="O22" s="95" t="s">
        <v>171</v>
      </c>
      <c r="P22" s="95" t="s">
        <v>171</v>
      </c>
      <c r="Q22" s="95" t="s">
        <v>709</v>
      </c>
      <c r="R22" s="105"/>
      <c r="S22" s="105"/>
      <c r="T22" s="105"/>
      <c r="U22" s="105"/>
      <c r="V22" s="105"/>
    </row>
    <row r="23" spans="2:22" s="104" customFormat="1" ht="60" x14ac:dyDescent="0.25">
      <c r="B23" s="94" t="s">
        <v>710</v>
      </c>
      <c r="C23" s="106" t="s">
        <v>711</v>
      </c>
      <c r="D23" s="107">
        <v>1240000</v>
      </c>
      <c r="E23" s="107">
        <v>1467455.6213017751</v>
      </c>
      <c r="F23" s="107">
        <v>1240000</v>
      </c>
      <c r="G23" s="107">
        <v>1467455.6213017751</v>
      </c>
      <c r="H23" s="95" t="s">
        <v>39</v>
      </c>
      <c r="I23" s="94" t="s">
        <v>40</v>
      </c>
      <c r="J23" s="94" t="s">
        <v>41</v>
      </c>
      <c r="K23" s="94" t="s">
        <v>42</v>
      </c>
      <c r="L23" s="94" t="s">
        <v>49</v>
      </c>
      <c r="M23" s="95" t="s">
        <v>49</v>
      </c>
      <c r="N23" s="94" t="s">
        <v>194</v>
      </c>
      <c r="O23" s="95" t="s">
        <v>171</v>
      </c>
      <c r="P23" s="95" t="s">
        <v>171</v>
      </c>
      <c r="Q23" s="95" t="s">
        <v>712</v>
      </c>
      <c r="R23" s="105"/>
      <c r="S23" s="105"/>
      <c r="T23" s="105"/>
      <c r="U23" s="105"/>
      <c r="V23" s="105"/>
    </row>
    <row r="24" spans="2:22" s="104" customFormat="1" ht="60" x14ac:dyDescent="0.25">
      <c r="B24" s="94" t="s">
        <v>713</v>
      </c>
      <c r="C24" s="108" t="s">
        <v>714</v>
      </c>
      <c r="D24" s="107">
        <v>12000000</v>
      </c>
      <c r="E24" s="107">
        <v>14201183.431952663</v>
      </c>
      <c r="F24" s="107">
        <v>12000000</v>
      </c>
      <c r="G24" s="107">
        <v>14201183.431952663</v>
      </c>
      <c r="H24" s="95" t="s">
        <v>39</v>
      </c>
      <c r="I24" s="94" t="s">
        <v>40</v>
      </c>
      <c r="J24" s="94" t="s">
        <v>41</v>
      </c>
      <c r="K24" s="94" t="s">
        <v>42</v>
      </c>
      <c r="L24" s="94" t="s">
        <v>62</v>
      </c>
      <c r="M24" s="95" t="s">
        <v>49</v>
      </c>
      <c r="N24" s="94" t="s">
        <v>45</v>
      </c>
      <c r="O24" s="95" t="s">
        <v>171</v>
      </c>
      <c r="P24" s="95" t="s">
        <v>171</v>
      </c>
      <c r="Q24" s="95" t="s">
        <v>715</v>
      </c>
      <c r="R24" s="105"/>
      <c r="S24" s="105"/>
      <c r="T24" s="105"/>
      <c r="U24" s="105"/>
      <c r="V24" s="105"/>
    </row>
    <row r="25" spans="2:22" s="104" customFormat="1" ht="96" x14ac:dyDescent="0.25">
      <c r="B25" s="94" t="s">
        <v>81</v>
      </c>
      <c r="C25" s="106" t="s">
        <v>716</v>
      </c>
      <c r="D25" s="107">
        <v>10000000</v>
      </c>
      <c r="E25" s="107">
        <v>11834319.52662722</v>
      </c>
      <c r="F25" s="107">
        <v>10000000</v>
      </c>
      <c r="G25" s="107">
        <v>11834319.52662722</v>
      </c>
      <c r="H25" s="95" t="s">
        <v>39</v>
      </c>
      <c r="I25" s="94" t="s">
        <v>40</v>
      </c>
      <c r="J25" s="94" t="s">
        <v>41</v>
      </c>
      <c r="K25" s="94" t="s">
        <v>42</v>
      </c>
      <c r="L25" s="94" t="s">
        <v>43</v>
      </c>
      <c r="M25" s="95" t="s">
        <v>49</v>
      </c>
      <c r="N25" s="94" t="s">
        <v>88</v>
      </c>
      <c r="O25" s="95" t="s">
        <v>171</v>
      </c>
      <c r="P25" s="95" t="s">
        <v>171</v>
      </c>
      <c r="Q25" s="95" t="s">
        <v>717</v>
      </c>
      <c r="R25" s="105"/>
      <c r="S25" s="105"/>
      <c r="T25" s="105"/>
      <c r="U25" s="105"/>
      <c r="V25" s="105"/>
    </row>
    <row r="26" spans="2:22" s="104" customFormat="1" ht="120" x14ac:dyDescent="0.25">
      <c r="B26" s="94" t="s">
        <v>331</v>
      </c>
      <c r="C26" s="106" t="s">
        <v>718</v>
      </c>
      <c r="D26" s="107">
        <v>5400000</v>
      </c>
      <c r="E26" s="107">
        <v>6390532.5443786988</v>
      </c>
      <c r="F26" s="107">
        <v>5400000</v>
      </c>
      <c r="G26" s="107">
        <v>6390532.5443786988</v>
      </c>
      <c r="H26" s="95" t="s">
        <v>39</v>
      </c>
      <c r="I26" s="94" t="s">
        <v>40</v>
      </c>
      <c r="J26" s="94" t="s">
        <v>41</v>
      </c>
      <c r="K26" s="94" t="s">
        <v>42</v>
      </c>
      <c r="L26" s="94" t="s">
        <v>62</v>
      </c>
      <c r="M26" s="95" t="s">
        <v>49</v>
      </c>
      <c r="N26" s="94" t="s">
        <v>350</v>
      </c>
      <c r="O26" s="95" t="s">
        <v>171</v>
      </c>
      <c r="P26" s="95" t="s">
        <v>171</v>
      </c>
      <c r="Q26" s="95" t="s">
        <v>719</v>
      </c>
      <c r="R26" s="105"/>
      <c r="S26" s="105"/>
      <c r="T26" s="105"/>
      <c r="U26" s="105"/>
      <c r="V26" s="105"/>
    </row>
    <row r="27" spans="2:22" s="104" customFormat="1" ht="60" x14ac:dyDescent="0.25">
      <c r="B27" s="94" t="s">
        <v>172</v>
      </c>
      <c r="C27" s="106" t="s">
        <v>720</v>
      </c>
      <c r="D27" s="107">
        <v>10400000</v>
      </c>
      <c r="E27" s="107">
        <v>12307692.307692308</v>
      </c>
      <c r="F27" s="107">
        <v>10400000</v>
      </c>
      <c r="G27" s="107">
        <v>12307692.307692308</v>
      </c>
      <c r="H27" s="95" t="s">
        <v>39</v>
      </c>
      <c r="I27" s="94" t="s">
        <v>40</v>
      </c>
      <c r="J27" s="94" t="s">
        <v>41</v>
      </c>
      <c r="K27" s="94" t="s">
        <v>42</v>
      </c>
      <c r="L27" s="94" t="s">
        <v>49</v>
      </c>
      <c r="M27" s="95" t="s">
        <v>50</v>
      </c>
      <c r="N27" s="94" t="s">
        <v>221</v>
      </c>
      <c r="O27" s="95" t="s">
        <v>171</v>
      </c>
      <c r="P27" s="95" t="s">
        <v>171</v>
      </c>
      <c r="Q27" s="95" t="s">
        <v>721</v>
      </c>
      <c r="R27" s="105"/>
      <c r="S27" s="105"/>
      <c r="T27" s="105"/>
      <c r="U27" s="105"/>
      <c r="V27" s="105"/>
    </row>
    <row r="28" spans="2:22" s="104" customFormat="1" ht="60" x14ac:dyDescent="0.25">
      <c r="B28" s="94" t="s">
        <v>172</v>
      </c>
      <c r="C28" s="106" t="s">
        <v>722</v>
      </c>
      <c r="D28" s="107">
        <v>3200000</v>
      </c>
      <c r="E28" s="107">
        <v>3786982.24852071</v>
      </c>
      <c r="F28" s="107">
        <v>3200000</v>
      </c>
      <c r="G28" s="107">
        <v>3786982.24852071</v>
      </c>
      <c r="H28" s="95" t="s">
        <v>39</v>
      </c>
      <c r="I28" s="94" t="s">
        <v>40</v>
      </c>
      <c r="J28" s="94" t="s">
        <v>41</v>
      </c>
      <c r="K28" s="94" t="s">
        <v>42</v>
      </c>
      <c r="L28" s="94" t="s">
        <v>49</v>
      </c>
      <c r="M28" s="95" t="s">
        <v>50</v>
      </c>
      <c r="N28" s="94" t="s">
        <v>221</v>
      </c>
      <c r="O28" s="95" t="s">
        <v>171</v>
      </c>
      <c r="P28" s="95" t="s">
        <v>171</v>
      </c>
      <c r="Q28" s="95" t="s">
        <v>721</v>
      </c>
      <c r="R28" s="105"/>
      <c r="S28" s="105"/>
      <c r="T28" s="105"/>
      <c r="U28" s="105"/>
      <c r="V28" s="105"/>
    </row>
    <row r="29" spans="2:22" s="104" customFormat="1" ht="156" x14ac:dyDescent="0.25">
      <c r="B29" s="94" t="s">
        <v>270</v>
      </c>
      <c r="C29" s="106" t="s">
        <v>723</v>
      </c>
      <c r="D29" s="107">
        <v>4500000</v>
      </c>
      <c r="E29" s="107">
        <v>5325443.7869822485</v>
      </c>
      <c r="F29" s="107">
        <v>4500000</v>
      </c>
      <c r="G29" s="107">
        <v>5325443.7869822485</v>
      </c>
      <c r="H29" s="95" t="s">
        <v>39</v>
      </c>
      <c r="I29" s="94" t="s">
        <v>40</v>
      </c>
      <c r="J29" s="94" t="s">
        <v>41</v>
      </c>
      <c r="K29" s="94" t="s">
        <v>42</v>
      </c>
      <c r="L29" s="94" t="s">
        <v>43</v>
      </c>
      <c r="M29" s="95" t="s">
        <v>49</v>
      </c>
      <c r="N29" s="94" t="s">
        <v>194</v>
      </c>
      <c r="O29" s="95" t="s">
        <v>171</v>
      </c>
      <c r="P29" s="95" t="s">
        <v>171</v>
      </c>
      <c r="Q29" s="95" t="s">
        <v>724</v>
      </c>
      <c r="R29" s="105"/>
      <c r="S29" s="105"/>
      <c r="T29" s="105"/>
      <c r="U29" s="105"/>
      <c r="V29" s="105"/>
    </row>
    <row r="30" spans="2:22" s="104" customFormat="1" ht="48" x14ac:dyDescent="0.25">
      <c r="B30" s="94" t="s">
        <v>270</v>
      </c>
      <c r="C30" s="106" t="s">
        <v>725</v>
      </c>
      <c r="D30" s="107">
        <v>4200000</v>
      </c>
      <c r="E30" s="107">
        <v>4970414.2011834318</v>
      </c>
      <c r="F30" s="107">
        <v>4200000</v>
      </c>
      <c r="G30" s="107">
        <v>4970414.2011834318</v>
      </c>
      <c r="H30" s="95" t="s">
        <v>39</v>
      </c>
      <c r="I30" s="94" t="s">
        <v>40</v>
      </c>
      <c r="J30" s="94" t="s">
        <v>41</v>
      </c>
      <c r="K30" s="94" t="s">
        <v>42</v>
      </c>
      <c r="L30" s="94" t="s">
        <v>62</v>
      </c>
      <c r="M30" s="95" t="s">
        <v>49</v>
      </c>
      <c r="N30" s="94" t="s">
        <v>573</v>
      </c>
      <c r="O30" s="95" t="s">
        <v>171</v>
      </c>
      <c r="P30" s="95" t="s">
        <v>171</v>
      </c>
      <c r="Q30" s="95" t="s">
        <v>726</v>
      </c>
      <c r="R30" s="105"/>
      <c r="S30" s="105"/>
      <c r="T30" s="105"/>
      <c r="U30" s="105"/>
      <c r="V30" s="105"/>
    </row>
    <row r="31" spans="2:22" s="104" customFormat="1" ht="108" x14ac:dyDescent="0.25">
      <c r="B31" s="94" t="s">
        <v>230</v>
      </c>
      <c r="C31" s="106" t="s">
        <v>727</v>
      </c>
      <c r="D31" s="107">
        <v>3960000</v>
      </c>
      <c r="E31" s="107">
        <v>4686390.5325443791</v>
      </c>
      <c r="F31" s="107">
        <v>3960000</v>
      </c>
      <c r="G31" s="107">
        <v>4686390.5325443791</v>
      </c>
      <c r="H31" s="95" t="s">
        <v>39</v>
      </c>
      <c r="I31" s="94" t="s">
        <v>40</v>
      </c>
      <c r="J31" s="94" t="s">
        <v>41</v>
      </c>
      <c r="K31" s="94" t="s">
        <v>42</v>
      </c>
      <c r="L31" s="94" t="s">
        <v>49</v>
      </c>
      <c r="M31" s="95" t="s">
        <v>50</v>
      </c>
      <c r="N31" s="94" t="s">
        <v>82</v>
      </c>
      <c r="O31" s="95" t="s">
        <v>171</v>
      </c>
      <c r="P31" s="95" t="s">
        <v>171</v>
      </c>
      <c r="Q31" s="95" t="s">
        <v>728</v>
      </c>
      <c r="R31" s="105"/>
      <c r="S31" s="105"/>
      <c r="T31" s="105"/>
      <c r="U31" s="105"/>
      <c r="V31" s="105"/>
    </row>
    <row r="32" spans="2:22" s="104" customFormat="1" ht="48" x14ac:dyDescent="0.25">
      <c r="B32" s="94" t="s">
        <v>405</v>
      </c>
      <c r="C32" s="106" t="s">
        <v>729</v>
      </c>
      <c r="D32" s="107">
        <v>35000000</v>
      </c>
      <c r="E32" s="107">
        <v>41420118.343195267</v>
      </c>
      <c r="F32" s="107">
        <v>35000000</v>
      </c>
      <c r="G32" s="107">
        <v>41420118.343195267</v>
      </c>
      <c r="H32" s="95" t="s">
        <v>39</v>
      </c>
      <c r="I32" s="94" t="s">
        <v>40</v>
      </c>
      <c r="J32" s="94" t="s">
        <v>41</v>
      </c>
      <c r="K32" s="94" t="s">
        <v>42</v>
      </c>
      <c r="L32" s="94" t="s">
        <v>43</v>
      </c>
      <c r="M32" s="95" t="s">
        <v>49</v>
      </c>
      <c r="N32" s="94" t="s">
        <v>86</v>
      </c>
      <c r="O32" s="95" t="s">
        <v>171</v>
      </c>
      <c r="P32" s="95" t="s">
        <v>171</v>
      </c>
      <c r="Q32" s="95" t="s">
        <v>730</v>
      </c>
      <c r="R32" s="105"/>
      <c r="S32" s="105"/>
      <c r="T32" s="105"/>
      <c r="U32" s="105"/>
      <c r="V32" s="105"/>
    </row>
    <row r="33" spans="2:22" s="104" customFormat="1" ht="108" x14ac:dyDescent="0.25">
      <c r="B33" s="94" t="s">
        <v>230</v>
      </c>
      <c r="C33" s="106" t="s">
        <v>731</v>
      </c>
      <c r="D33" s="107">
        <v>8000000</v>
      </c>
      <c r="E33" s="107">
        <v>9467455.6213017758</v>
      </c>
      <c r="F33" s="107">
        <v>8000000</v>
      </c>
      <c r="G33" s="107">
        <v>9467455.6213017758</v>
      </c>
      <c r="H33" s="95" t="s">
        <v>39</v>
      </c>
      <c r="I33" s="94" t="s">
        <v>40</v>
      </c>
      <c r="J33" s="94" t="s">
        <v>41</v>
      </c>
      <c r="K33" s="94" t="s">
        <v>42</v>
      </c>
      <c r="L33" s="94" t="s">
        <v>43</v>
      </c>
      <c r="M33" s="95" t="s">
        <v>49</v>
      </c>
      <c r="N33" s="94" t="s">
        <v>235</v>
      </c>
      <c r="O33" s="95" t="s">
        <v>171</v>
      </c>
      <c r="P33" s="95" t="s">
        <v>171</v>
      </c>
      <c r="Q33" s="95" t="s">
        <v>732</v>
      </c>
      <c r="R33" s="105"/>
      <c r="S33" s="105"/>
      <c r="T33" s="105"/>
      <c r="U33" s="105"/>
      <c r="V33" s="105"/>
    </row>
    <row r="34" spans="2:22" s="104" customFormat="1" ht="108" x14ac:dyDescent="0.25">
      <c r="B34" s="94" t="s">
        <v>371</v>
      </c>
      <c r="C34" s="106" t="s">
        <v>733</v>
      </c>
      <c r="D34" s="107">
        <v>22000000</v>
      </c>
      <c r="E34" s="107">
        <v>26035502.958579883</v>
      </c>
      <c r="F34" s="107">
        <v>22000000</v>
      </c>
      <c r="G34" s="107">
        <v>26035502.958579883</v>
      </c>
      <c r="H34" s="95" t="s">
        <v>39</v>
      </c>
      <c r="I34" s="94" t="s">
        <v>40</v>
      </c>
      <c r="J34" s="94" t="s">
        <v>41</v>
      </c>
      <c r="K34" s="94" t="s">
        <v>42</v>
      </c>
      <c r="L34" s="94" t="s">
        <v>43</v>
      </c>
      <c r="M34" s="95" t="s">
        <v>49</v>
      </c>
      <c r="N34" s="94" t="s">
        <v>90</v>
      </c>
      <c r="O34" s="95" t="s">
        <v>171</v>
      </c>
      <c r="P34" s="95" t="s">
        <v>171</v>
      </c>
      <c r="Q34" s="95" t="s">
        <v>734</v>
      </c>
      <c r="R34" s="105"/>
      <c r="S34" s="105"/>
      <c r="T34" s="105"/>
      <c r="U34" s="105"/>
      <c r="V34" s="105"/>
    </row>
    <row r="35" spans="2:22" s="104" customFormat="1" ht="108" x14ac:dyDescent="0.25">
      <c r="B35" s="94" t="s">
        <v>371</v>
      </c>
      <c r="C35" s="106" t="s">
        <v>735</v>
      </c>
      <c r="D35" s="107">
        <v>7200000</v>
      </c>
      <c r="E35" s="107">
        <v>8520710.0591715984</v>
      </c>
      <c r="F35" s="107">
        <v>7200000</v>
      </c>
      <c r="G35" s="107">
        <v>8520710.0591715984</v>
      </c>
      <c r="H35" s="95" t="s">
        <v>39</v>
      </c>
      <c r="I35" s="94" t="s">
        <v>40</v>
      </c>
      <c r="J35" s="94" t="s">
        <v>41</v>
      </c>
      <c r="K35" s="94" t="s">
        <v>42</v>
      </c>
      <c r="L35" s="94" t="s">
        <v>49</v>
      </c>
      <c r="M35" s="95" t="s">
        <v>49</v>
      </c>
      <c r="N35" s="94" t="s">
        <v>45</v>
      </c>
      <c r="O35" s="95" t="s">
        <v>171</v>
      </c>
      <c r="P35" s="95" t="s">
        <v>171</v>
      </c>
      <c r="Q35" s="95" t="s">
        <v>734</v>
      </c>
      <c r="R35" s="105"/>
      <c r="S35" s="105"/>
      <c r="T35" s="105"/>
      <c r="U35" s="105"/>
      <c r="V35" s="105"/>
    </row>
    <row r="36" spans="2:22" s="104" customFormat="1" ht="108" x14ac:dyDescent="0.25">
      <c r="B36" s="94" t="s">
        <v>371</v>
      </c>
      <c r="C36" s="106" t="s">
        <v>736</v>
      </c>
      <c r="D36" s="107">
        <v>10340000</v>
      </c>
      <c r="E36" s="107">
        <v>12236686.390532544</v>
      </c>
      <c r="F36" s="107">
        <v>10340000</v>
      </c>
      <c r="G36" s="107">
        <v>12236686.390532544</v>
      </c>
      <c r="H36" s="95" t="s">
        <v>39</v>
      </c>
      <c r="I36" s="94" t="s">
        <v>40</v>
      </c>
      <c r="J36" s="94" t="s">
        <v>41</v>
      </c>
      <c r="K36" s="94" t="s">
        <v>42</v>
      </c>
      <c r="L36" s="94" t="s">
        <v>43</v>
      </c>
      <c r="M36" s="95" t="s">
        <v>49</v>
      </c>
      <c r="N36" s="94" t="s">
        <v>235</v>
      </c>
      <c r="O36" s="95" t="s">
        <v>171</v>
      </c>
      <c r="P36" s="95" t="s">
        <v>171</v>
      </c>
      <c r="Q36" s="95" t="s">
        <v>734</v>
      </c>
      <c r="R36" s="105"/>
      <c r="S36" s="105"/>
      <c r="T36" s="105"/>
      <c r="U36" s="105"/>
      <c r="V36" s="105"/>
    </row>
    <row r="37" spans="2:22" s="104" customFormat="1" ht="84" x14ac:dyDescent="0.25">
      <c r="B37" s="94" t="s">
        <v>219</v>
      </c>
      <c r="C37" s="106" t="s">
        <v>737</v>
      </c>
      <c r="D37" s="107">
        <v>8000000</v>
      </c>
      <c r="E37" s="107">
        <v>9467455.6213017758</v>
      </c>
      <c r="F37" s="107">
        <v>8000000</v>
      </c>
      <c r="G37" s="107">
        <v>9467455.6213017758</v>
      </c>
      <c r="H37" s="95" t="s">
        <v>39</v>
      </c>
      <c r="I37" s="94" t="s">
        <v>40</v>
      </c>
      <c r="J37" s="94" t="s">
        <v>41</v>
      </c>
      <c r="K37" s="94" t="s">
        <v>42</v>
      </c>
      <c r="L37" s="94" t="s">
        <v>62</v>
      </c>
      <c r="M37" s="95" t="s">
        <v>50</v>
      </c>
      <c r="N37" s="94" t="s">
        <v>221</v>
      </c>
      <c r="O37" s="95" t="s">
        <v>171</v>
      </c>
      <c r="P37" s="95" t="s">
        <v>171</v>
      </c>
      <c r="Q37" s="95" t="s">
        <v>738</v>
      </c>
      <c r="R37" s="105"/>
      <c r="S37" s="105"/>
      <c r="T37" s="105"/>
      <c r="U37" s="105"/>
      <c r="V37" s="105"/>
    </row>
    <row r="38" spans="2:22" s="104" customFormat="1" ht="120" x14ac:dyDescent="0.25">
      <c r="B38" s="94" t="s">
        <v>180</v>
      </c>
      <c r="C38" s="106" t="s">
        <v>739</v>
      </c>
      <c r="D38" s="107">
        <v>24000000</v>
      </c>
      <c r="E38" s="107">
        <v>28402366.863905326</v>
      </c>
      <c r="F38" s="107">
        <v>24000000</v>
      </c>
      <c r="G38" s="107">
        <v>28402366.863905326</v>
      </c>
      <c r="H38" s="95" t="s">
        <v>39</v>
      </c>
      <c r="I38" s="94" t="s">
        <v>40</v>
      </c>
      <c r="J38" s="94" t="s">
        <v>41</v>
      </c>
      <c r="K38" s="94" t="s">
        <v>42</v>
      </c>
      <c r="L38" s="94" t="s">
        <v>62</v>
      </c>
      <c r="M38" s="95" t="s">
        <v>50</v>
      </c>
      <c r="N38" s="94" t="s">
        <v>221</v>
      </c>
      <c r="O38" s="95" t="s">
        <v>171</v>
      </c>
      <c r="P38" s="95" t="s">
        <v>171</v>
      </c>
      <c r="Q38" s="95" t="s">
        <v>740</v>
      </c>
      <c r="R38" s="105"/>
      <c r="S38" s="105"/>
      <c r="T38" s="105"/>
      <c r="U38" s="105"/>
      <c r="V38" s="105"/>
    </row>
    <row r="39" spans="2:22" s="104" customFormat="1" ht="60" x14ac:dyDescent="0.25">
      <c r="B39" s="94" t="s">
        <v>741</v>
      </c>
      <c r="C39" s="106" t="s">
        <v>742</v>
      </c>
      <c r="D39" s="107">
        <v>20000000</v>
      </c>
      <c r="E39" s="107">
        <v>23668639.05325444</v>
      </c>
      <c r="F39" s="107">
        <v>20000000</v>
      </c>
      <c r="G39" s="107">
        <v>23668639.05325444</v>
      </c>
      <c r="H39" s="95" t="s">
        <v>39</v>
      </c>
      <c r="I39" s="94" t="s">
        <v>40</v>
      </c>
      <c r="J39" s="94" t="s">
        <v>41</v>
      </c>
      <c r="K39" s="94" t="s">
        <v>42</v>
      </c>
      <c r="L39" s="94" t="s">
        <v>43</v>
      </c>
      <c r="M39" s="95" t="s">
        <v>49</v>
      </c>
      <c r="N39" s="94" t="s">
        <v>92</v>
      </c>
      <c r="O39" s="95" t="s">
        <v>171</v>
      </c>
      <c r="P39" s="95" t="s">
        <v>171</v>
      </c>
      <c r="Q39" s="95" t="s">
        <v>743</v>
      </c>
      <c r="R39" s="105"/>
      <c r="S39" s="105"/>
      <c r="T39" s="105"/>
      <c r="U39" s="105"/>
      <c r="V39" s="105"/>
    </row>
    <row r="40" spans="2:22" s="104" customFormat="1" ht="132" x14ac:dyDescent="0.25">
      <c r="B40" s="94" t="s">
        <v>744</v>
      </c>
      <c r="C40" s="106" t="s">
        <v>745</v>
      </c>
      <c r="D40" s="107">
        <v>12000000</v>
      </c>
      <c r="E40" s="107">
        <v>14201183.431952663</v>
      </c>
      <c r="F40" s="107">
        <v>12000000</v>
      </c>
      <c r="G40" s="107">
        <v>14201183.431952663</v>
      </c>
      <c r="H40" s="95" t="s">
        <v>39</v>
      </c>
      <c r="I40" s="94" t="s">
        <v>40</v>
      </c>
      <c r="J40" s="94" t="s">
        <v>41</v>
      </c>
      <c r="K40" s="94" t="s">
        <v>42</v>
      </c>
      <c r="L40" s="94" t="s">
        <v>49</v>
      </c>
      <c r="M40" s="95" t="s">
        <v>49</v>
      </c>
      <c r="N40" s="94" t="s">
        <v>90</v>
      </c>
      <c r="O40" s="95" t="s">
        <v>171</v>
      </c>
      <c r="P40" s="95" t="s">
        <v>171</v>
      </c>
      <c r="Q40" s="95" t="s">
        <v>746</v>
      </c>
      <c r="R40" s="105"/>
      <c r="S40" s="105"/>
      <c r="T40" s="105"/>
      <c r="U40" s="105"/>
      <c r="V40" s="105"/>
    </row>
    <row r="41" spans="2:22" s="104" customFormat="1" ht="60" x14ac:dyDescent="0.25">
      <c r="B41" s="94" t="s">
        <v>747</v>
      </c>
      <c r="C41" s="106" t="s">
        <v>748</v>
      </c>
      <c r="D41" s="107">
        <v>10000000</v>
      </c>
      <c r="E41" s="107">
        <v>11834319.52662722</v>
      </c>
      <c r="F41" s="107">
        <v>10000000</v>
      </c>
      <c r="G41" s="107">
        <v>11834319.52662722</v>
      </c>
      <c r="H41" s="95" t="s">
        <v>39</v>
      </c>
      <c r="I41" s="94" t="s">
        <v>40</v>
      </c>
      <c r="J41" s="94" t="s">
        <v>41</v>
      </c>
      <c r="K41" s="94" t="s">
        <v>42</v>
      </c>
      <c r="L41" s="94" t="s">
        <v>43</v>
      </c>
      <c r="M41" s="95" t="s">
        <v>49</v>
      </c>
      <c r="N41" s="94" t="s">
        <v>194</v>
      </c>
      <c r="O41" s="95" t="s">
        <v>171</v>
      </c>
      <c r="P41" s="95" t="s">
        <v>171</v>
      </c>
      <c r="Q41" s="95" t="s">
        <v>749</v>
      </c>
      <c r="R41" s="105"/>
      <c r="S41" s="105"/>
      <c r="T41" s="105"/>
      <c r="U41" s="105"/>
      <c r="V41" s="105"/>
    </row>
    <row r="42" spans="2:22" s="104" customFormat="1" ht="204" x14ac:dyDescent="0.25">
      <c r="B42" s="94" t="s">
        <v>169</v>
      </c>
      <c r="C42" s="106" t="s">
        <v>750</v>
      </c>
      <c r="D42" s="107">
        <v>7000000</v>
      </c>
      <c r="E42" s="107">
        <v>8284023.6686390536</v>
      </c>
      <c r="F42" s="107">
        <v>7000000</v>
      </c>
      <c r="G42" s="107">
        <v>8284023.6686390536</v>
      </c>
      <c r="H42" s="95" t="s">
        <v>39</v>
      </c>
      <c r="I42" s="94" t="s">
        <v>40</v>
      </c>
      <c r="J42" s="94" t="s">
        <v>41</v>
      </c>
      <c r="K42" s="94" t="s">
        <v>42</v>
      </c>
      <c r="L42" s="94" t="s">
        <v>43</v>
      </c>
      <c r="M42" s="95" t="s">
        <v>49</v>
      </c>
      <c r="N42" s="94" t="s">
        <v>90</v>
      </c>
      <c r="O42" s="95" t="s">
        <v>171</v>
      </c>
      <c r="P42" s="95" t="s">
        <v>171</v>
      </c>
      <c r="Q42" s="95" t="s">
        <v>751</v>
      </c>
      <c r="R42" s="105"/>
      <c r="S42" s="105"/>
      <c r="T42" s="105"/>
      <c r="U42" s="105"/>
      <c r="V42" s="105"/>
    </row>
    <row r="43" spans="2:22" s="104" customFormat="1" ht="72" x14ac:dyDescent="0.25">
      <c r="B43" s="94" t="s">
        <v>169</v>
      </c>
      <c r="C43" s="106" t="s">
        <v>752</v>
      </c>
      <c r="D43" s="107">
        <v>6800000</v>
      </c>
      <c r="E43" s="107">
        <v>8047337.2781065088</v>
      </c>
      <c r="F43" s="107">
        <v>6800000</v>
      </c>
      <c r="G43" s="107">
        <v>8047337.2781065088</v>
      </c>
      <c r="H43" s="95" t="s">
        <v>39</v>
      </c>
      <c r="I43" s="94" t="s">
        <v>40</v>
      </c>
      <c r="J43" s="94" t="s">
        <v>41</v>
      </c>
      <c r="K43" s="94" t="s">
        <v>42</v>
      </c>
      <c r="L43" s="94" t="s">
        <v>49</v>
      </c>
      <c r="M43" s="95" t="s">
        <v>50</v>
      </c>
      <c r="N43" s="94" t="s">
        <v>90</v>
      </c>
      <c r="O43" s="95" t="s">
        <v>171</v>
      </c>
      <c r="P43" s="95" t="s">
        <v>171</v>
      </c>
      <c r="Q43" s="95" t="s">
        <v>752</v>
      </c>
      <c r="R43" s="105"/>
      <c r="S43" s="105"/>
      <c r="T43" s="105"/>
      <c r="U43" s="105"/>
      <c r="V43" s="105"/>
    </row>
    <row r="44" spans="2:22" s="104" customFormat="1" ht="120" x14ac:dyDescent="0.25">
      <c r="B44" s="94" t="s">
        <v>316</v>
      </c>
      <c r="C44" s="106" t="s">
        <v>753</v>
      </c>
      <c r="D44" s="107">
        <v>2700000</v>
      </c>
      <c r="E44" s="107">
        <v>3195266.2721893494</v>
      </c>
      <c r="F44" s="107">
        <v>2700000</v>
      </c>
      <c r="G44" s="107">
        <v>3195266.2721893494</v>
      </c>
      <c r="H44" s="95" t="s">
        <v>39</v>
      </c>
      <c r="I44" s="94" t="s">
        <v>40</v>
      </c>
      <c r="J44" s="94" t="s">
        <v>41</v>
      </c>
      <c r="K44" s="94" t="s">
        <v>42</v>
      </c>
      <c r="L44" s="94" t="s">
        <v>49</v>
      </c>
      <c r="M44" s="95" t="s">
        <v>50</v>
      </c>
      <c r="N44" s="94" t="s">
        <v>82</v>
      </c>
      <c r="O44" s="95" t="s">
        <v>171</v>
      </c>
      <c r="P44" s="95" t="s">
        <v>171</v>
      </c>
      <c r="Q44" s="95" t="s">
        <v>754</v>
      </c>
      <c r="R44" s="105"/>
      <c r="S44" s="105"/>
      <c r="T44" s="105"/>
      <c r="U44" s="105"/>
      <c r="V44" s="105"/>
    </row>
    <row r="45" spans="2:22" s="104" customFormat="1" ht="108" x14ac:dyDescent="0.25">
      <c r="B45" s="94" t="s">
        <v>169</v>
      </c>
      <c r="C45" s="106" t="s">
        <v>658</v>
      </c>
      <c r="D45" s="107">
        <v>6280000</v>
      </c>
      <c r="E45" s="107">
        <v>7431952.6627218938</v>
      </c>
      <c r="F45" s="107">
        <v>6280000</v>
      </c>
      <c r="G45" s="107">
        <v>7431952.6627218938</v>
      </c>
      <c r="H45" s="95" t="s">
        <v>39</v>
      </c>
      <c r="I45" s="94" t="s">
        <v>40</v>
      </c>
      <c r="J45" s="94" t="s">
        <v>41</v>
      </c>
      <c r="K45" s="94" t="s">
        <v>42</v>
      </c>
      <c r="L45" s="94" t="s">
        <v>49</v>
      </c>
      <c r="M45" s="95" t="s">
        <v>49</v>
      </c>
      <c r="N45" s="94" t="s">
        <v>45</v>
      </c>
      <c r="O45" s="95" t="s">
        <v>171</v>
      </c>
      <c r="P45" s="95" t="s">
        <v>171</v>
      </c>
      <c r="Q45" s="95" t="s">
        <v>659</v>
      </c>
      <c r="R45" s="105"/>
      <c r="S45" s="105"/>
      <c r="T45" s="105"/>
      <c r="U45" s="105"/>
      <c r="V45" s="105"/>
    </row>
    <row r="46" spans="2:22" s="104" customFormat="1" ht="204" x14ac:dyDescent="0.25">
      <c r="B46" s="94" t="s">
        <v>355</v>
      </c>
      <c r="C46" s="106" t="s">
        <v>755</v>
      </c>
      <c r="D46" s="107">
        <v>13000000</v>
      </c>
      <c r="E46" s="107">
        <v>15384615.384615386</v>
      </c>
      <c r="F46" s="107">
        <v>13000000</v>
      </c>
      <c r="G46" s="107">
        <v>15384615.384615386</v>
      </c>
      <c r="H46" s="95" t="s">
        <v>39</v>
      </c>
      <c r="I46" s="94" t="s">
        <v>40</v>
      </c>
      <c r="J46" s="94" t="s">
        <v>41</v>
      </c>
      <c r="K46" s="94" t="s">
        <v>42</v>
      </c>
      <c r="L46" s="94" t="s">
        <v>62</v>
      </c>
      <c r="M46" s="95" t="s">
        <v>49</v>
      </c>
      <c r="N46" s="94" t="s">
        <v>64</v>
      </c>
      <c r="O46" s="95" t="s">
        <v>171</v>
      </c>
      <c r="P46" s="95" t="s">
        <v>171</v>
      </c>
      <c r="Q46" s="95" t="s">
        <v>756</v>
      </c>
      <c r="R46" s="105"/>
      <c r="S46" s="105"/>
      <c r="T46" s="105"/>
      <c r="U46" s="105"/>
      <c r="V46" s="105"/>
    </row>
    <row r="47" spans="2:22" s="104" customFormat="1" ht="36" x14ac:dyDescent="0.25">
      <c r="B47" s="94" t="s">
        <v>438</v>
      </c>
      <c r="C47" s="106" t="s">
        <v>757</v>
      </c>
      <c r="D47" s="107">
        <v>2400000</v>
      </c>
      <c r="E47" s="107">
        <v>2840236.6863905326</v>
      </c>
      <c r="F47" s="107">
        <v>2400000</v>
      </c>
      <c r="G47" s="107">
        <v>2840236.6863905326</v>
      </c>
      <c r="H47" s="95" t="s">
        <v>39</v>
      </c>
      <c r="I47" s="94" t="s">
        <v>40</v>
      </c>
      <c r="J47" s="94" t="s">
        <v>41</v>
      </c>
      <c r="K47" s="94" t="s">
        <v>42</v>
      </c>
      <c r="L47" s="94" t="s">
        <v>49</v>
      </c>
      <c r="M47" s="95" t="s">
        <v>49</v>
      </c>
      <c r="N47" s="94" t="s">
        <v>90</v>
      </c>
      <c r="O47" s="95" t="s">
        <v>171</v>
      </c>
      <c r="P47" s="95" t="s">
        <v>171</v>
      </c>
      <c r="Q47" s="95" t="s">
        <v>758</v>
      </c>
      <c r="R47" s="105"/>
      <c r="S47" s="105"/>
      <c r="T47" s="105"/>
      <c r="U47" s="105"/>
      <c r="V47" s="105"/>
    </row>
    <row r="48" spans="2:22" s="104" customFormat="1" ht="24" x14ac:dyDescent="0.25">
      <c r="B48" s="94" t="s">
        <v>438</v>
      </c>
      <c r="C48" s="106" t="s">
        <v>759</v>
      </c>
      <c r="D48" s="107">
        <v>30900000</v>
      </c>
      <c r="E48" s="107">
        <v>36568047.337278105</v>
      </c>
      <c r="F48" s="107">
        <v>30900000</v>
      </c>
      <c r="G48" s="107">
        <v>36568047.337278105</v>
      </c>
      <c r="H48" s="95" t="s">
        <v>39</v>
      </c>
      <c r="I48" s="94" t="s">
        <v>40</v>
      </c>
      <c r="J48" s="94" t="s">
        <v>41</v>
      </c>
      <c r="K48" s="94" t="s">
        <v>42</v>
      </c>
      <c r="L48" s="94" t="s">
        <v>43</v>
      </c>
      <c r="M48" s="95" t="s">
        <v>49</v>
      </c>
      <c r="N48" s="94" t="s">
        <v>45</v>
      </c>
      <c r="O48" s="95" t="s">
        <v>171</v>
      </c>
      <c r="P48" s="95" t="s">
        <v>171</v>
      </c>
      <c r="Q48" s="95" t="s">
        <v>758</v>
      </c>
      <c r="R48" s="105"/>
      <c r="S48" s="105"/>
      <c r="T48" s="105"/>
      <c r="U48" s="105"/>
      <c r="V48" s="105"/>
    </row>
    <row r="49" spans="2:22" s="104" customFormat="1" ht="108" x14ac:dyDescent="0.25">
      <c r="B49" s="94" t="s">
        <v>316</v>
      </c>
      <c r="C49" s="106" t="s">
        <v>760</v>
      </c>
      <c r="D49" s="107">
        <v>35000000</v>
      </c>
      <c r="E49" s="107">
        <v>41420118.343195267</v>
      </c>
      <c r="F49" s="107">
        <v>35000000</v>
      </c>
      <c r="G49" s="107">
        <v>41420118.343195267</v>
      </c>
      <c r="H49" s="95" t="s">
        <v>39</v>
      </c>
      <c r="I49" s="94" t="s">
        <v>40</v>
      </c>
      <c r="J49" s="94" t="s">
        <v>41</v>
      </c>
      <c r="K49" s="94" t="s">
        <v>42</v>
      </c>
      <c r="L49" s="94" t="s">
        <v>49</v>
      </c>
      <c r="M49" s="95" t="s">
        <v>49</v>
      </c>
      <c r="N49" s="94" t="s">
        <v>194</v>
      </c>
      <c r="O49" s="95" t="s">
        <v>171</v>
      </c>
      <c r="P49" s="95" t="s">
        <v>171</v>
      </c>
      <c r="Q49" s="95" t="s">
        <v>761</v>
      </c>
      <c r="R49" s="105"/>
      <c r="S49" s="105"/>
      <c r="T49" s="105"/>
      <c r="U49" s="105"/>
      <c r="V49" s="105"/>
    </row>
    <row r="50" spans="2:22" s="104" customFormat="1" ht="48" x14ac:dyDescent="0.25">
      <c r="B50" s="94" t="s">
        <v>169</v>
      </c>
      <c r="C50" s="106" t="s">
        <v>762</v>
      </c>
      <c r="D50" s="107">
        <v>6000000</v>
      </c>
      <c r="E50" s="107">
        <v>7100591.7159763314</v>
      </c>
      <c r="F50" s="107">
        <v>6000000</v>
      </c>
      <c r="G50" s="107">
        <v>7100591.7159763314</v>
      </c>
      <c r="H50" s="95" t="s">
        <v>39</v>
      </c>
      <c r="I50" s="94" t="s">
        <v>40</v>
      </c>
      <c r="J50" s="94" t="s">
        <v>41</v>
      </c>
      <c r="K50" s="94" t="s">
        <v>42</v>
      </c>
      <c r="L50" s="94" t="s">
        <v>43</v>
      </c>
      <c r="M50" s="95" t="s">
        <v>49</v>
      </c>
      <c r="N50" s="94" t="s">
        <v>194</v>
      </c>
      <c r="O50" s="95" t="s">
        <v>171</v>
      </c>
      <c r="P50" s="95" t="s">
        <v>171</v>
      </c>
      <c r="Q50" s="95" t="s">
        <v>763</v>
      </c>
      <c r="R50" s="105"/>
      <c r="S50" s="105"/>
      <c r="T50" s="105"/>
      <c r="U50" s="105"/>
      <c r="V50" s="105"/>
    </row>
    <row r="51" spans="2:22" s="104" customFormat="1" ht="108" x14ac:dyDescent="0.25">
      <c r="B51" s="94" t="s">
        <v>172</v>
      </c>
      <c r="C51" s="106" t="s">
        <v>764</v>
      </c>
      <c r="D51" s="107">
        <v>124904664</v>
      </c>
      <c r="E51" s="107">
        <v>147816170.4142012</v>
      </c>
      <c r="F51" s="107">
        <v>124904664</v>
      </c>
      <c r="G51" s="107">
        <v>147816170.4142012</v>
      </c>
      <c r="H51" s="95" t="s">
        <v>39</v>
      </c>
      <c r="I51" s="94" t="s">
        <v>40</v>
      </c>
      <c r="J51" s="94" t="s">
        <v>41</v>
      </c>
      <c r="K51" s="94" t="s">
        <v>42</v>
      </c>
      <c r="L51" s="94" t="s">
        <v>49</v>
      </c>
      <c r="M51" s="95" t="s">
        <v>49</v>
      </c>
      <c r="N51" s="94" t="s">
        <v>45</v>
      </c>
      <c r="O51" s="95" t="s">
        <v>171</v>
      </c>
      <c r="P51" s="95" t="s">
        <v>171</v>
      </c>
      <c r="Q51" s="95" t="s">
        <v>765</v>
      </c>
      <c r="R51" s="105"/>
      <c r="S51" s="105"/>
      <c r="T51" s="105"/>
      <c r="U51" s="105"/>
      <c r="V51" s="105"/>
    </row>
    <row r="52" spans="2:22" s="104" customFormat="1" ht="108" x14ac:dyDescent="0.25">
      <c r="B52" s="94" t="s">
        <v>172</v>
      </c>
      <c r="C52" s="106" t="s">
        <v>766</v>
      </c>
      <c r="D52" s="107">
        <v>140000000</v>
      </c>
      <c r="E52" s="107">
        <v>165680473.37278107</v>
      </c>
      <c r="F52" s="107">
        <v>140000000</v>
      </c>
      <c r="G52" s="107">
        <v>165680473.37278107</v>
      </c>
      <c r="H52" s="95" t="s">
        <v>39</v>
      </c>
      <c r="I52" s="94" t="s">
        <v>40</v>
      </c>
      <c r="J52" s="94" t="s">
        <v>41</v>
      </c>
      <c r="K52" s="94" t="s">
        <v>42</v>
      </c>
      <c r="L52" s="94" t="s">
        <v>43</v>
      </c>
      <c r="M52" s="95" t="s">
        <v>49</v>
      </c>
      <c r="N52" s="94" t="s">
        <v>55</v>
      </c>
      <c r="O52" s="95" t="s">
        <v>171</v>
      </c>
      <c r="P52" s="95" t="s">
        <v>171</v>
      </c>
      <c r="Q52" s="95" t="s">
        <v>765</v>
      </c>
      <c r="R52" s="105"/>
      <c r="S52" s="105"/>
      <c r="T52" s="105"/>
      <c r="U52" s="105"/>
      <c r="V52" s="105"/>
    </row>
    <row r="53" spans="2:22" s="104" customFormat="1" ht="96" x14ac:dyDescent="0.25">
      <c r="B53" s="94" t="s">
        <v>262</v>
      </c>
      <c r="C53" s="106" t="s">
        <v>263</v>
      </c>
      <c r="D53" s="107">
        <v>40000000</v>
      </c>
      <c r="E53" s="107">
        <v>47337278.106508881</v>
      </c>
      <c r="F53" s="107">
        <v>40000000</v>
      </c>
      <c r="G53" s="107">
        <v>47337278.106508881</v>
      </c>
      <c r="H53" s="95" t="s">
        <v>39</v>
      </c>
      <c r="I53" s="94" t="s">
        <v>40</v>
      </c>
      <c r="J53" s="94" t="s">
        <v>41</v>
      </c>
      <c r="K53" s="94" t="s">
        <v>42</v>
      </c>
      <c r="L53" s="94" t="s">
        <v>49</v>
      </c>
      <c r="M53" s="95" t="s">
        <v>50</v>
      </c>
      <c r="N53" s="94" t="s">
        <v>90</v>
      </c>
      <c r="O53" s="95" t="s">
        <v>171</v>
      </c>
      <c r="P53" s="95" t="s">
        <v>171</v>
      </c>
      <c r="Q53" s="95" t="s">
        <v>767</v>
      </c>
      <c r="R53" s="105"/>
      <c r="S53" s="105"/>
      <c r="T53" s="105"/>
      <c r="U53" s="105"/>
      <c r="V53" s="105"/>
    </row>
    <row r="54" spans="2:22" s="104" customFormat="1" ht="36" x14ac:dyDescent="0.25">
      <c r="B54" s="94" t="s">
        <v>201</v>
      </c>
      <c r="C54" s="106" t="s">
        <v>768</v>
      </c>
      <c r="D54" s="107">
        <v>3262600</v>
      </c>
      <c r="E54" s="107">
        <v>3861065.0887573967</v>
      </c>
      <c r="F54" s="107">
        <v>3262600</v>
      </c>
      <c r="G54" s="107">
        <v>3861065.0887573967</v>
      </c>
      <c r="H54" s="95" t="s">
        <v>39</v>
      </c>
      <c r="I54" s="94" t="s">
        <v>40</v>
      </c>
      <c r="J54" s="94" t="s">
        <v>41</v>
      </c>
      <c r="K54" s="94" t="s">
        <v>42</v>
      </c>
      <c r="L54" s="94" t="s">
        <v>43</v>
      </c>
      <c r="M54" s="95" t="s">
        <v>49</v>
      </c>
      <c r="N54" s="94" t="s">
        <v>90</v>
      </c>
      <c r="O54" s="95" t="s">
        <v>171</v>
      </c>
      <c r="P54" s="95" t="s">
        <v>171</v>
      </c>
      <c r="Q54" s="95" t="s">
        <v>769</v>
      </c>
      <c r="R54" s="105"/>
      <c r="S54" s="105"/>
      <c r="T54" s="105"/>
      <c r="U54" s="105"/>
      <c r="V54" s="105"/>
    </row>
    <row r="55" spans="2:22" s="104" customFormat="1" ht="216" x14ac:dyDescent="0.25">
      <c r="B55" s="94" t="s">
        <v>208</v>
      </c>
      <c r="C55" s="106" t="s">
        <v>770</v>
      </c>
      <c r="D55" s="107">
        <v>27500000</v>
      </c>
      <c r="E55" s="107">
        <v>32544378.698224854</v>
      </c>
      <c r="F55" s="107">
        <v>27500000</v>
      </c>
      <c r="G55" s="107">
        <v>32544378.698224854</v>
      </c>
      <c r="H55" s="95" t="s">
        <v>39</v>
      </c>
      <c r="I55" s="94" t="s">
        <v>40</v>
      </c>
      <c r="J55" s="94" t="s">
        <v>41</v>
      </c>
      <c r="K55" s="94" t="s">
        <v>42</v>
      </c>
      <c r="L55" s="94" t="s">
        <v>43</v>
      </c>
      <c r="M55" s="95" t="s">
        <v>49</v>
      </c>
      <c r="N55" s="94" t="s">
        <v>194</v>
      </c>
      <c r="O55" s="95" t="s">
        <v>171</v>
      </c>
      <c r="P55" s="95" t="s">
        <v>171</v>
      </c>
      <c r="Q55" s="95" t="s">
        <v>771</v>
      </c>
      <c r="R55" s="105"/>
      <c r="S55" s="105"/>
      <c r="T55" s="105"/>
      <c r="U55" s="105"/>
      <c r="V55" s="105"/>
    </row>
    <row r="56" spans="2:22" s="104" customFormat="1" ht="156" x14ac:dyDescent="0.25">
      <c r="B56" s="94" t="s">
        <v>208</v>
      </c>
      <c r="C56" s="106" t="s">
        <v>772</v>
      </c>
      <c r="D56" s="107">
        <v>6920000</v>
      </c>
      <c r="E56" s="107">
        <v>8189349.112426036</v>
      </c>
      <c r="F56" s="107">
        <v>6920000</v>
      </c>
      <c r="G56" s="107">
        <v>8189349.112426036</v>
      </c>
      <c r="H56" s="95" t="s">
        <v>39</v>
      </c>
      <c r="I56" s="94" t="s">
        <v>40</v>
      </c>
      <c r="J56" s="94" t="s">
        <v>41</v>
      </c>
      <c r="K56" s="94" t="s">
        <v>42</v>
      </c>
      <c r="L56" s="94" t="s">
        <v>43</v>
      </c>
      <c r="M56" s="95" t="s">
        <v>49</v>
      </c>
      <c r="N56" s="94" t="s">
        <v>235</v>
      </c>
      <c r="O56" s="95" t="s">
        <v>171</v>
      </c>
      <c r="P56" s="95" t="s">
        <v>171</v>
      </c>
      <c r="Q56" s="95" t="s">
        <v>773</v>
      </c>
      <c r="R56" s="105"/>
      <c r="S56" s="105"/>
      <c r="T56" s="105"/>
      <c r="U56" s="105"/>
      <c r="V56" s="105"/>
    </row>
    <row r="57" spans="2:22" s="104" customFormat="1" ht="36" x14ac:dyDescent="0.25">
      <c r="B57" s="94" t="s">
        <v>298</v>
      </c>
      <c r="C57" s="106" t="s">
        <v>774</v>
      </c>
      <c r="D57" s="107">
        <v>6400000</v>
      </c>
      <c r="E57" s="107">
        <v>7573964.4970414201</v>
      </c>
      <c r="F57" s="107">
        <v>6400000</v>
      </c>
      <c r="G57" s="107">
        <v>7573964.4970414201</v>
      </c>
      <c r="H57" s="95" t="s">
        <v>39</v>
      </c>
      <c r="I57" s="94" t="s">
        <v>40</v>
      </c>
      <c r="J57" s="94" t="s">
        <v>41</v>
      </c>
      <c r="K57" s="94" t="s">
        <v>42</v>
      </c>
      <c r="L57" s="94" t="s">
        <v>43</v>
      </c>
      <c r="M57" s="95" t="s">
        <v>50</v>
      </c>
      <c r="N57" s="94" t="s">
        <v>90</v>
      </c>
      <c r="O57" s="95" t="s">
        <v>171</v>
      </c>
      <c r="P57" s="95" t="s">
        <v>171</v>
      </c>
      <c r="Q57" s="95" t="s">
        <v>775</v>
      </c>
      <c r="R57" s="105"/>
      <c r="S57" s="105"/>
      <c r="T57" s="105"/>
      <c r="U57" s="105"/>
      <c r="V57" s="105"/>
    </row>
    <row r="58" spans="2:22" s="104" customFormat="1" ht="24" x14ac:dyDescent="0.25">
      <c r="B58" s="94" t="s">
        <v>298</v>
      </c>
      <c r="C58" s="106" t="s">
        <v>776</v>
      </c>
      <c r="D58" s="107">
        <v>3680000</v>
      </c>
      <c r="E58" s="107">
        <v>4355029.5857988168</v>
      </c>
      <c r="F58" s="107">
        <v>3680000</v>
      </c>
      <c r="G58" s="107">
        <v>4355029.5857988168</v>
      </c>
      <c r="H58" s="95" t="s">
        <v>39</v>
      </c>
      <c r="I58" s="94" t="s">
        <v>40</v>
      </c>
      <c r="J58" s="94" t="s">
        <v>41</v>
      </c>
      <c r="K58" s="94" t="s">
        <v>42</v>
      </c>
      <c r="L58" s="94" t="s">
        <v>43</v>
      </c>
      <c r="M58" s="95" t="s">
        <v>49</v>
      </c>
      <c r="N58" s="94" t="s">
        <v>64</v>
      </c>
      <c r="O58" s="95" t="s">
        <v>171</v>
      </c>
      <c r="P58" s="95" t="s">
        <v>171</v>
      </c>
      <c r="Q58" s="95" t="s">
        <v>775</v>
      </c>
      <c r="R58" s="105"/>
      <c r="S58" s="105"/>
      <c r="T58" s="105"/>
      <c r="U58" s="105"/>
      <c r="V58" s="105"/>
    </row>
    <row r="59" spans="2:22" s="104" customFormat="1" ht="48" x14ac:dyDescent="0.25">
      <c r="B59" s="94" t="s">
        <v>180</v>
      </c>
      <c r="C59" s="106" t="s">
        <v>777</v>
      </c>
      <c r="D59" s="107">
        <v>537111451.99999988</v>
      </c>
      <c r="E59" s="107">
        <v>635634854.43786967</v>
      </c>
      <c r="F59" s="107">
        <v>537111451.99999988</v>
      </c>
      <c r="G59" s="107">
        <v>635634854.43786967</v>
      </c>
      <c r="H59" s="95" t="s">
        <v>39</v>
      </c>
      <c r="I59" s="94" t="s">
        <v>40</v>
      </c>
      <c r="J59" s="94" t="s">
        <v>41</v>
      </c>
      <c r="K59" s="94" t="s">
        <v>42</v>
      </c>
      <c r="L59" s="94" t="s">
        <v>49</v>
      </c>
      <c r="M59" s="95" t="s">
        <v>49</v>
      </c>
      <c r="N59" s="94" t="s">
        <v>194</v>
      </c>
      <c r="O59" s="95" t="s">
        <v>171</v>
      </c>
      <c r="P59" s="95" t="s">
        <v>171</v>
      </c>
      <c r="Q59" s="95" t="s">
        <v>52</v>
      </c>
      <c r="R59" s="105"/>
      <c r="S59" s="105"/>
      <c r="T59" s="105"/>
      <c r="U59" s="105"/>
      <c r="V59" s="105"/>
    </row>
    <row r="60" spans="2:22" s="104" customFormat="1" ht="48" x14ac:dyDescent="0.25">
      <c r="B60" s="94" t="s">
        <v>169</v>
      </c>
      <c r="C60" s="106" t="s">
        <v>778</v>
      </c>
      <c r="D60" s="107">
        <v>5060000</v>
      </c>
      <c r="E60" s="107">
        <v>5988165.6804733733</v>
      </c>
      <c r="F60" s="107">
        <v>5060000</v>
      </c>
      <c r="G60" s="107">
        <v>5988165.6804733733</v>
      </c>
      <c r="H60" s="95" t="s">
        <v>39</v>
      </c>
      <c r="I60" s="94" t="s">
        <v>40</v>
      </c>
      <c r="J60" s="94" t="s">
        <v>41</v>
      </c>
      <c r="K60" s="94" t="s">
        <v>42</v>
      </c>
      <c r="L60" s="94" t="s">
        <v>49</v>
      </c>
      <c r="M60" s="95" t="s">
        <v>50</v>
      </c>
      <c r="N60" s="94" t="s">
        <v>90</v>
      </c>
      <c r="O60" s="95" t="s">
        <v>171</v>
      </c>
      <c r="P60" s="95" t="s">
        <v>171</v>
      </c>
      <c r="Q60" s="95" t="s">
        <v>779</v>
      </c>
      <c r="R60" s="105"/>
      <c r="S60" s="105"/>
      <c r="T60" s="105"/>
      <c r="U60" s="105"/>
      <c r="V60" s="105"/>
    </row>
    <row r="61" spans="2:22" s="104" customFormat="1" ht="72" x14ac:dyDescent="0.25">
      <c r="B61" s="94" t="s">
        <v>180</v>
      </c>
      <c r="C61" s="106" t="s">
        <v>780</v>
      </c>
      <c r="D61" s="107">
        <v>300000</v>
      </c>
      <c r="E61" s="107">
        <v>355029.58579881658</v>
      </c>
      <c r="F61" s="107">
        <v>300000</v>
      </c>
      <c r="G61" s="107">
        <v>355029.58579881658</v>
      </c>
      <c r="H61" s="95" t="s">
        <v>39</v>
      </c>
      <c r="I61" s="94" t="s">
        <v>40</v>
      </c>
      <c r="J61" s="94" t="s">
        <v>41</v>
      </c>
      <c r="K61" s="94" t="s">
        <v>42</v>
      </c>
      <c r="L61" s="94" t="s">
        <v>62</v>
      </c>
      <c r="M61" s="95" t="s">
        <v>234</v>
      </c>
      <c r="N61" s="94" t="s">
        <v>235</v>
      </c>
      <c r="O61" s="95" t="s">
        <v>171</v>
      </c>
      <c r="P61" s="95" t="s">
        <v>171</v>
      </c>
      <c r="Q61" s="95" t="s">
        <v>781</v>
      </c>
      <c r="R61" s="105"/>
      <c r="S61" s="105"/>
      <c r="T61" s="105"/>
      <c r="U61" s="105"/>
      <c r="V61" s="105"/>
    </row>
    <row r="62" spans="2:22" s="104" customFormat="1" ht="108" x14ac:dyDescent="0.25">
      <c r="B62" s="94" t="s">
        <v>782</v>
      </c>
      <c r="C62" s="106" t="s">
        <v>783</v>
      </c>
      <c r="D62" s="107">
        <v>35000000</v>
      </c>
      <c r="E62" s="107">
        <v>41420118.343195267</v>
      </c>
      <c r="F62" s="107">
        <v>35000000</v>
      </c>
      <c r="G62" s="107">
        <v>41420118.343195267</v>
      </c>
      <c r="H62" s="95" t="s">
        <v>39</v>
      </c>
      <c r="I62" s="94" t="s">
        <v>40</v>
      </c>
      <c r="J62" s="94" t="s">
        <v>41</v>
      </c>
      <c r="K62" s="94" t="s">
        <v>42</v>
      </c>
      <c r="L62" s="94" t="s">
        <v>62</v>
      </c>
      <c r="M62" s="95" t="s">
        <v>49</v>
      </c>
      <c r="N62" s="94" t="s">
        <v>82</v>
      </c>
      <c r="O62" s="95" t="s">
        <v>171</v>
      </c>
      <c r="P62" s="95" t="s">
        <v>171</v>
      </c>
      <c r="Q62" s="95" t="s">
        <v>784</v>
      </c>
      <c r="R62" s="105"/>
      <c r="S62" s="105"/>
      <c r="T62" s="105"/>
      <c r="U62" s="105"/>
      <c r="V62" s="105"/>
    </row>
    <row r="63" spans="2:22" s="104" customFormat="1" ht="132" x14ac:dyDescent="0.25">
      <c r="B63" s="94" t="s">
        <v>782</v>
      </c>
      <c r="C63" s="106" t="s">
        <v>785</v>
      </c>
      <c r="D63" s="107">
        <v>3200000</v>
      </c>
      <c r="E63" s="107">
        <v>3786982.24852071</v>
      </c>
      <c r="F63" s="107">
        <v>3200000</v>
      </c>
      <c r="G63" s="107">
        <v>3786982.24852071</v>
      </c>
      <c r="H63" s="95" t="s">
        <v>39</v>
      </c>
      <c r="I63" s="94" t="s">
        <v>40</v>
      </c>
      <c r="J63" s="94" t="s">
        <v>41</v>
      </c>
      <c r="K63" s="94" t="s">
        <v>42</v>
      </c>
      <c r="L63" s="94" t="s">
        <v>62</v>
      </c>
      <c r="M63" s="95" t="s">
        <v>49</v>
      </c>
      <c r="N63" s="94" t="s">
        <v>536</v>
      </c>
      <c r="O63" s="95" t="s">
        <v>171</v>
      </c>
      <c r="P63" s="95" t="s">
        <v>171</v>
      </c>
      <c r="Q63" s="95" t="s">
        <v>786</v>
      </c>
      <c r="R63" s="105"/>
      <c r="S63" s="105"/>
      <c r="T63" s="105"/>
      <c r="U63" s="105"/>
      <c r="V63" s="105"/>
    </row>
    <row r="64" spans="2:22" s="104" customFormat="1" ht="216" x14ac:dyDescent="0.25">
      <c r="B64" s="94" t="s">
        <v>262</v>
      </c>
      <c r="C64" s="106" t="s">
        <v>787</v>
      </c>
      <c r="D64" s="107">
        <v>13000000</v>
      </c>
      <c r="E64" s="107">
        <v>15384615.384615386</v>
      </c>
      <c r="F64" s="107">
        <v>13000000</v>
      </c>
      <c r="G64" s="107">
        <v>15384615.384615386</v>
      </c>
      <c r="H64" s="95" t="s">
        <v>39</v>
      </c>
      <c r="I64" s="94" t="s">
        <v>40</v>
      </c>
      <c r="J64" s="94" t="s">
        <v>41</v>
      </c>
      <c r="K64" s="94" t="s">
        <v>42</v>
      </c>
      <c r="L64" s="94" t="s">
        <v>49</v>
      </c>
      <c r="M64" s="95" t="s">
        <v>50</v>
      </c>
      <c r="N64" s="94" t="s">
        <v>90</v>
      </c>
      <c r="O64" s="95" t="s">
        <v>171</v>
      </c>
      <c r="P64" s="95" t="s">
        <v>171</v>
      </c>
      <c r="Q64" s="95" t="s">
        <v>788</v>
      </c>
      <c r="R64" s="105"/>
      <c r="S64" s="105"/>
      <c r="T64" s="105"/>
      <c r="U64" s="105"/>
      <c r="V64" s="105"/>
    </row>
    <row r="65" spans="2:22" s="104" customFormat="1" ht="36" x14ac:dyDescent="0.25">
      <c r="B65" s="94" t="s">
        <v>789</v>
      </c>
      <c r="C65" s="106" t="s">
        <v>790</v>
      </c>
      <c r="D65" s="107">
        <v>26400000</v>
      </c>
      <c r="E65" s="107">
        <v>31242603.55029586</v>
      </c>
      <c r="F65" s="107">
        <v>26400000</v>
      </c>
      <c r="G65" s="107">
        <v>31242603.55029586</v>
      </c>
      <c r="H65" s="95" t="s">
        <v>39</v>
      </c>
      <c r="I65" s="94" t="s">
        <v>40</v>
      </c>
      <c r="J65" s="94" t="s">
        <v>41</v>
      </c>
      <c r="K65" s="94" t="s">
        <v>42</v>
      </c>
      <c r="L65" s="94" t="s">
        <v>43</v>
      </c>
      <c r="M65" s="95" t="s">
        <v>49</v>
      </c>
      <c r="N65" s="94" t="s">
        <v>221</v>
      </c>
      <c r="O65" s="95" t="s">
        <v>171</v>
      </c>
      <c r="P65" s="95" t="s">
        <v>171</v>
      </c>
      <c r="Q65" s="95" t="s">
        <v>791</v>
      </c>
      <c r="R65" s="105"/>
      <c r="S65" s="105"/>
      <c r="T65" s="105"/>
      <c r="U65" s="105"/>
      <c r="V65" s="105"/>
    </row>
    <row r="66" spans="2:22" s="104" customFormat="1" ht="108" x14ac:dyDescent="0.25">
      <c r="B66" s="94" t="s">
        <v>792</v>
      </c>
      <c r="C66" s="106" t="s">
        <v>793</v>
      </c>
      <c r="D66" s="107">
        <v>13500000</v>
      </c>
      <c r="E66" s="107">
        <v>15976331.360946747</v>
      </c>
      <c r="F66" s="107">
        <v>13500000</v>
      </c>
      <c r="G66" s="107">
        <v>15976331.360946747</v>
      </c>
      <c r="H66" s="95" t="s">
        <v>39</v>
      </c>
      <c r="I66" s="94" t="s">
        <v>40</v>
      </c>
      <c r="J66" s="94" t="s">
        <v>41</v>
      </c>
      <c r="K66" s="94" t="s">
        <v>42</v>
      </c>
      <c r="L66" s="94" t="s">
        <v>62</v>
      </c>
      <c r="M66" s="95" t="s">
        <v>49</v>
      </c>
      <c r="N66" s="94" t="s">
        <v>45</v>
      </c>
      <c r="O66" s="95" t="s">
        <v>171</v>
      </c>
      <c r="P66" s="95" t="s">
        <v>171</v>
      </c>
      <c r="Q66" s="95" t="s">
        <v>794</v>
      </c>
      <c r="R66" s="105"/>
      <c r="S66" s="105"/>
      <c r="T66" s="105"/>
      <c r="U66" s="105"/>
      <c r="V66" s="105"/>
    </row>
    <row r="67" spans="2:22" s="104" customFormat="1" ht="84" x14ac:dyDescent="0.25">
      <c r="B67" s="94" t="s">
        <v>795</v>
      </c>
      <c r="C67" s="106" t="s">
        <v>796</v>
      </c>
      <c r="D67" s="107">
        <v>1000000</v>
      </c>
      <c r="E67" s="107">
        <v>1183431.952662722</v>
      </c>
      <c r="F67" s="107">
        <v>1000000</v>
      </c>
      <c r="G67" s="107">
        <v>1183431.952662722</v>
      </c>
      <c r="H67" s="95" t="s">
        <v>39</v>
      </c>
      <c r="I67" s="94" t="s">
        <v>40</v>
      </c>
      <c r="J67" s="94" t="s">
        <v>41</v>
      </c>
      <c r="K67" s="94" t="s">
        <v>42</v>
      </c>
      <c r="L67" s="94" t="s">
        <v>62</v>
      </c>
      <c r="M67" s="95" t="s">
        <v>49</v>
      </c>
      <c r="N67" s="94" t="s">
        <v>55</v>
      </c>
      <c r="O67" s="95" t="s">
        <v>171</v>
      </c>
      <c r="P67" s="95" t="s">
        <v>171</v>
      </c>
      <c r="Q67" s="95" t="s">
        <v>797</v>
      </c>
      <c r="R67" s="105"/>
      <c r="S67" s="105"/>
      <c r="T67" s="105"/>
      <c r="U67" s="105"/>
      <c r="V67" s="105"/>
    </row>
    <row r="68" spans="2:22" s="104" customFormat="1" ht="60" x14ac:dyDescent="0.25">
      <c r="B68" s="94" t="s">
        <v>798</v>
      </c>
      <c r="C68" s="106" t="s">
        <v>799</v>
      </c>
      <c r="D68" s="107">
        <v>4800000</v>
      </c>
      <c r="E68" s="107">
        <v>5680473.3727810653</v>
      </c>
      <c r="F68" s="107">
        <v>4800000</v>
      </c>
      <c r="G68" s="107">
        <v>5680473.3727810653</v>
      </c>
      <c r="H68" s="95" t="s">
        <v>39</v>
      </c>
      <c r="I68" s="94" t="s">
        <v>40</v>
      </c>
      <c r="J68" s="94" t="s">
        <v>41</v>
      </c>
      <c r="K68" s="94" t="s">
        <v>42</v>
      </c>
      <c r="L68" s="94" t="s">
        <v>43</v>
      </c>
      <c r="M68" s="95" t="s">
        <v>49</v>
      </c>
      <c r="N68" s="94" t="s">
        <v>90</v>
      </c>
      <c r="O68" s="95" t="s">
        <v>171</v>
      </c>
      <c r="P68" s="95" t="s">
        <v>171</v>
      </c>
      <c r="Q68" s="95" t="s">
        <v>800</v>
      </c>
      <c r="R68" s="105"/>
      <c r="S68" s="105"/>
      <c r="T68" s="105"/>
      <c r="U68" s="105"/>
      <c r="V68" s="105"/>
    </row>
    <row r="69" spans="2:22" s="104" customFormat="1" ht="84" x14ac:dyDescent="0.25">
      <c r="B69" s="94" t="s">
        <v>801</v>
      </c>
      <c r="C69" s="106" t="s">
        <v>802</v>
      </c>
      <c r="D69" s="107">
        <v>6000000</v>
      </c>
      <c r="E69" s="107">
        <v>7100591.7159763314</v>
      </c>
      <c r="F69" s="107">
        <v>6000000</v>
      </c>
      <c r="G69" s="107">
        <v>7100591.7159763314</v>
      </c>
      <c r="H69" s="95" t="s">
        <v>39</v>
      </c>
      <c r="I69" s="94" t="s">
        <v>40</v>
      </c>
      <c r="J69" s="94" t="s">
        <v>41</v>
      </c>
      <c r="K69" s="94" t="s">
        <v>42</v>
      </c>
      <c r="L69" s="94" t="s">
        <v>49</v>
      </c>
      <c r="M69" s="95" t="s">
        <v>49</v>
      </c>
      <c r="N69" s="94" t="s">
        <v>64</v>
      </c>
      <c r="O69" s="95" t="s">
        <v>171</v>
      </c>
      <c r="P69" s="95" t="s">
        <v>171</v>
      </c>
      <c r="Q69" s="95" t="s">
        <v>803</v>
      </c>
      <c r="R69" s="105"/>
      <c r="S69" s="105"/>
      <c r="T69" s="105"/>
      <c r="U69" s="105"/>
      <c r="V69" s="105"/>
    </row>
    <row r="70" spans="2:22" s="104" customFormat="1" ht="216" x14ac:dyDescent="0.25">
      <c r="B70" s="94" t="s">
        <v>352</v>
      </c>
      <c r="C70" s="106" t="s">
        <v>804</v>
      </c>
      <c r="D70" s="107">
        <v>4000000</v>
      </c>
      <c r="E70" s="107">
        <v>4733727.8106508879</v>
      </c>
      <c r="F70" s="107">
        <v>4000000</v>
      </c>
      <c r="G70" s="107">
        <v>4733727.8106508879</v>
      </c>
      <c r="H70" s="95" t="s">
        <v>39</v>
      </c>
      <c r="I70" s="94" t="s">
        <v>40</v>
      </c>
      <c r="J70" s="94" t="s">
        <v>41</v>
      </c>
      <c r="K70" s="94" t="s">
        <v>42</v>
      </c>
      <c r="L70" s="94" t="s">
        <v>49</v>
      </c>
      <c r="M70" s="95" t="s">
        <v>49</v>
      </c>
      <c r="N70" s="94" t="s">
        <v>45</v>
      </c>
      <c r="O70" s="95" t="s">
        <v>171</v>
      </c>
      <c r="P70" s="95" t="s">
        <v>171</v>
      </c>
      <c r="Q70" s="95" t="s">
        <v>805</v>
      </c>
      <c r="R70" s="105"/>
      <c r="S70" s="105"/>
      <c r="T70" s="105"/>
      <c r="U70" s="105"/>
      <c r="V70" s="105"/>
    </row>
    <row r="71" spans="2:22" s="104" customFormat="1" ht="108" x14ac:dyDescent="0.25">
      <c r="B71" s="94" t="s">
        <v>307</v>
      </c>
      <c r="C71" s="106" t="s">
        <v>806</v>
      </c>
      <c r="D71" s="107">
        <v>8560000</v>
      </c>
      <c r="E71" s="107">
        <v>10130177.514792901</v>
      </c>
      <c r="F71" s="107">
        <v>8560000</v>
      </c>
      <c r="G71" s="107">
        <v>10130177.514792901</v>
      </c>
      <c r="H71" s="95" t="s">
        <v>39</v>
      </c>
      <c r="I71" s="94" t="s">
        <v>40</v>
      </c>
      <c r="J71" s="94" t="s">
        <v>41</v>
      </c>
      <c r="K71" s="94" t="s">
        <v>42</v>
      </c>
      <c r="L71" s="94" t="s">
        <v>49</v>
      </c>
      <c r="M71" s="95" t="s">
        <v>50</v>
      </c>
      <c r="N71" s="94" t="s">
        <v>82</v>
      </c>
      <c r="O71" s="95" t="s">
        <v>171</v>
      </c>
      <c r="P71" s="95" t="s">
        <v>171</v>
      </c>
      <c r="Q71" s="95" t="s">
        <v>807</v>
      </c>
      <c r="R71" s="105"/>
      <c r="S71" s="105"/>
      <c r="T71" s="105"/>
      <c r="U71" s="105"/>
      <c r="V71" s="105"/>
    </row>
    <row r="72" spans="2:22" s="104" customFormat="1" ht="60" x14ac:dyDescent="0.25">
      <c r="B72" s="94" t="s">
        <v>381</v>
      </c>
      <c r="C72" s="106" t="s">
        <v>808</v>
      </c>
      <c r="D72" s="107">
        <v>7500000</v>
      </c>
      <c r="E72" s="107">
        <v>8875739.6449704152</v>
      </c>
      <c r="F72" s="107">
        <v>7500000</v>
      </c>
      <c r="G72" s="107">
        <v>8875739.6449704152</v>
      </c>
      <c r="H72" s="95" t="s">
        <v>39</v>
      </c>
      <c r="I72" s="94" t="s">
        <v>40</v>
      </c>
      <c r="J72" s="94" t="s">
        <v>41</v>
      </c>
      <c r="K72" s="94" t="s">
        <v>42</v>
      </c>
      <c r="L72" s="94" t="s">
        <v>49</v>
      </c>
      <c r="M72" s="95" t="s">
        <v>49</v>
      </c>
      <c r="N72" s="94" t="s">
        <v>573</v>
      </c>
      <c r="O72" s="95" t="s">
        <v>171</v>
      </c>
      <c r="P72" s="95" t="s">
        <v>171</v>
      </c>
      <c r="Q72" s="95" t="s">
        <v>809</v>
      </c>
      <c r="R72" s="105"/>
      <c r="S72" s="105"/>
      <c r="T72" s="105"/>
      <c r="U72" s="105"/>
      <c r="V72" s="105"/>
    </row>
    <row r="73" spans="2:22" s="104" customFormat="1" ht="60" x14ac:dyDescent="0.25">
      <c r="B73" s="94" t="s">
        <v>381</v>
      </c>
      <c r="C73" s="106" t="s">
        <v>810</v>
      </c>
      <c r="D73" s="107">
        <v>6000000</v>
      </c>
      <c r="E73" s="107">
        <v>7100591.7159763314</v>
      </c>
      <c r="F73" s="107">
        <v>6000000</v>
      </c>
      <c r="G73" s="107">
        <v>7100591.7159763314</v>
      </c>
      <c r="H73" s="95" t="s">
        <v>39</v>
      </c>
      <c r="I73" s="94" t="s">
        <v>40</v>
      </c>
      <c r="J73" s="94" t="s">
        <v>41</v>
      </c>
      <c r="K73" s="94" t="s">
        <v>42</v>
      </c>
      <c r="L73" s="94" t="s">
        <v>49</v>
      </c>
      <c r="M73" s="95" t="s">
        <v>50</v>
      </c>
      <c r="N73" s="94" t="s">
        <v>90</v>
      </c>
      <c r="O73" s="95" t="s">
        <v>171</v>
      </c>
      <c r="P73" s="95" t="s">
        <v>171</v>
      </c>
      <c r="Q73" s="95" t="s">
        <v>811</v>
      </c>
      <c r="R73" s="105"/>
      <c r="S73" s="105"/>
      <c r="T73" s="105"/>
      <c r="U73" s="105"/>
      <c r="V73" s="105"/>
    </row>
    <row r="74" spans="2:22" s="104" customFormat="1" ht="108" x14ac:dyDescent="0.25">
      <c r="B74" s="94" t="s">
        <v>588</v>
      </c>
      <c r="C74" s="106" t="s">
        <v>589</v>
      </c>
      <c r="D74" s="107">
        <v>11000000</v>
      </c>
      <c r="E74" s="107">
        <v>13017751.479289941</v>
      </c>
      <c r="F74" s="107">
        <v>11000000</v>
      </c>
      <c r="G74" s="107">
        <v>13017751.479289941</v>
      </c>
      <c r="H74" s="95" t="s">
        <v>39</v>
      </c>
      <c r="I74" s="94" t="s">
        <v>40</v>
      </c>
      <c r="J74" s="94" t="s">
        <v>41</v>
      </c>
      <c r="K74" s="94" t="s">
        <v>42</v>
      </c>
      <c r="L74" s="94" t="s">
        <v>43</v>
      </c>
      <c r="M74" s="95" t="s">
        <v>49</v>
      </c>
      <c r="N74" s="94" t="s">
        <v>64</v>
      </c>
      <c r="O74" s="95" t="s">
        <v>171</v>
      </c>
      <c r="P74" s="95" t="s">
        <v>171</v>
      </c>
      <c r="Q74" s="95" t="s">
        <v>590</v>
      </c>
      <c r="R74" s="105"/>
      <c r="S74" s="105"/>
      <c r="T74" s="105"/>
      <c r="U74" s="105"/>
      <c r="V74" s="105"/>
    </row>
    <row r="75" spans="2:22" s="104" customFormat="1" ht="48" x14ac:dyDescent="0.25">
      <c r="B75" s="94" t="s">
        <v>169</v>
      </c>
      <c r="C75" s="106" t="s">
        <v>812</v>
      </c>
      <c r="D75" s="107">
        <v>5000000</v>
      </c>
      <c r="E75" s="107">
        <v>5917159.7633136101</v>
      </c>
      <c r="F75" s="107">
        <v>5000000</v>
      </c>
      <c r="G75" s="107">
        <v>5917159.7633136101</v>
      </c>
      <c r="H75" s="95" t="s">
        <v>39</v>
      </c>
      <c r="I75" s="94" t="s">
        <v>40</v>
      </c>
      <c r="J75" s="94" t="s">
        <v>41</v>
      </c>
      <c r="K75" s="94" t="s">
        <v>42</v>
      </c>
      <c r="L75" s="94" t="s">
        <v>43</v>
      </c>
      <c r="M75" s="95" t="s">
        <v>49</v>
      </c>
      <c r="N75" s="94" t="s">
        <v>194</v>
      </c>
      <c r="O75" s="95" t="s">
        <v>171</v>
      </c>
      <c r="P75" s="95" t="s">
        <v>171</v>
      </c>
      <c r="Q75" s="95" t="s">
        <v>763</v>
      </c>
      <c r="R75" s="105"/>
      <c r="S75" s="105"/>
      <c r="T75" s="105"/>
      <c r="U75" s="105"/>
      <c r="V75" s="105"/>
    </row>
    <row r="76" spans="2:22" s="104" customFormat="1" ht="72" x14ac:dyDescent="0.25">
      <c r="B76" s="94" t="s">
        <v>425</v>
      </c>
      <c r="C76" s="106" t="s">
        <v>813</v>
      </c>
      <c r="D76" s="107">
        <v>8000000</v>
      </c>
      <c r="E76" s="107">
        <v>9467455.6213017758</v>
      </c>
      <c r="F76" s="107">
        <v>8000000</v>
      </c>
      <c r="G76" s="107">
        <v>9467455.6213017758</v>
      </c>
      <c r="H76" s="95" t="s">
        <v>39</v>
      </c>
      <c r="I76" s="94" t="s">
        <v>40</v>
      </c>
      <c r="J76" s="94" t="s">
        <v>41</v>
      </c>
      <c r="K76" s="94" t="s">
        <v>42</v>
      </c>
      <c r="L76" s="94" t="s">
        <v>43</v>
      </c>
      <c r="M76" s="95" t="s">
        <v>234</v>
      </c>
      <c r="N76" s="94" t="s">
        <v>235</v>
      </c>
      <c r="O76" s="95" t="s">
        <v>171</v>
      </c>
      <c r="P76" s="95" t="s">
        <v>171</v>
      </c>
      <c r="Q76" s="95" t="s">
        <v>814</v>
      </c>
      <c r="R76" s="105"/>
      <c r="S76" s="105"/>
      <c r="T76" s="105"/>
      <c r="U76" s="105"/>
      <c r="V76" s="105"/>
    </row>
    <row r="77" spans="2:22" s="104" customFormat="1" ht="120" x14ac:dyDescent="0.25">
      <c r="B77" s="94" t="s">
        <v>428</v>
      </c>
      <c r="C77" s="106" t="s">
        <v>815</v>
      </c>
      <c r="D77" s="107">
        <v>12000000</v>
      </c>
      <c r="E77" s="107">
        <v>14201183.431952663</v>
      </c>
      <c r="F77" s="107">
        <v>12000000</v>
      </c>
      <c r="G77" s="107">
        <v>14201183.431952663</v>
      </c>
      <c r="H77" s="95" t="s">
        <v>39</v>
      </c>
      <c r="I77" s="94" t="s">
        <v>40</v>
      </c>
      <c r="J77" s="94" t="s">
        <v>41</v>
      </c>
      <c r="K77" s="94" t="s">
        <v>42</v>
      </c>
      <c r="L77" s="94" t="s">
        <v>62</v>
      </c>
      <c r="M77" s="95" t="s">
        <v>49</v>
      </c>
      <c r="N77" s="94" t="s">
        <v>55</v>
      </c>
      <c r="O77" s="95" t="s">
        <v>171</v>
      </c>
      <c r="P77" s="95" t="s">
        <v>171</v>
      </c>
      <c r="Q77" s="95" t="s">
        <v>816</v>
      </c>
      <c r="R77" s="105"/>
      <c r="S77" s="105"/>
      <c r="T77" s="105"/>
      <c r="U77" s="105"/>
      <c r="V77" s="105"/>
    </row>
    <row r="78" spans="2:22" s="104" customFormat="1" ht="96" x14ac:dyDescent="0.25">
      <c r="B78" s="94" t="s">
        <v>528</v>
      </c>
      <c r="C78" s="106" t="s">
        <v>817</v>
      </c>
      <c r="D78" s="107">
        <v>20000000</v>
      </c>
      <c r="E78" s="107">
        <v>23668639.05325444</v>
      </c>
      <c r="F78" s="107">
        <v>20000000</v>
      </c>
      <c r="G78" s="107">
        <v>23668639.05325444</v>
      </c>
      <c r="H78" s="95" t="s">
        <v>39</v>
      </c>
      <c r="I78" s="94" t="s">
        <v>40</v>
      </c>
      <c r="J78" s="94" t="s">
        <v>41</v>
      </c>
      <c r="K78" s="94" t="s">
        <v>42</v>
      </c>
      <c r="L78" s="94" t="s">
        <v>49</v>
      </c>
      <c r="M78" s="95" t="s">
        <v>49</v>
      </c>
      <c r="N78" s="94" t="s">
        <v>82</v>
      </c>
      <c r="O78" s="95" t="s">
        <v>171</v>
      </c>
      <c r="P78" s="95" t="s">
        <v>171</v>
      </c>
      <c r="Q78" s="95" t="s">
        <v>818</v>
      </c>
      <c r="R78" s="105"/>
      <c r="S78" s="105"/>
      <c r="T78" s="105"/>
      <c r="U78" s="105"/>
      <c r="V78" s="105"/>
    </row>
    <row r="79" spans="2:22" s="104" customFormat="1" ht="108" x14ac:dyDescent="0.25">
      <c r="B79" s="94" t="s">
        <v>528</v>
      </c>
      <c r="C79" s="106" t="s">
        <v>819</v>
      </c>
      <c r="D79" s="107">
        <v>20000000</v>
      </c>
      <c r="E79" s="107">
        <v>23668639.05325444</v>
      </c>
      <c r="F79" s="107">
        <v>20000000</v>
      </c>
      <c r="G79" s="107">
        <v>23668639.05325444</v>
      </c>
      <c r="H79" s="95" t="s">
        <v>39</v>
      </c>
      <c r="I79" s="94" t="s">
        <v>40</v>
      </c>
      <c r="J79" s="94" t="s">
        <v>41</v>
      </c>
      <c r="K79" s="94" t="s">
        <v>42</v>
      </c>
      <c r="L79" s="94" t="s">
        <v>49</v>
      </c>
      <c r="M79" s="95" t="s">
        <v>49</v>
      </c>
      <c r="N79" s="94" t="s">
        <v>64</v>
      </c>
      <c r="O79" s="95" t="s">
        <v>171</v>
      </c>
      <c r="P79" s="95" t="s">
        <v>171</v>
      </c>
      <c r="Q79" s="95" t="s">
        <v>820</v>
      </c>
      <c r="R79" s="105"/>
      <c r="S79" s="105"/>
      <c r="T79" s="105"/>
      <c r="U79" s="105"/>
      <c r="V79" s="105"/>
    </row>
    <row r="80" spans="2:22" s="104" customFormat="1" ht="36" x14ac:dyDescent="0.25">
      <c r="B80" s="94" t="s">
        <v>201</v>
      </c>
      <c r="C80" s="106" t="s">
        <v>821</v>
      </c>
      <c r="D80" s="107">
        <v>26800000</v>
      </c>
      <c r="E80" s="107">
        <v>31715976.331360947</v>
      </c>
      <c r="F80" s="107">
        <v>26800000</v>
      </c>
      <c r="G80" s="107">
        <v>31715976.331360947</v>
      </c>
      <c r="H80" s="95" t="s">
        <v>39</v>
      </c>
      <c r="I80" s="94" t="s">
        <v>40</v>
      </c>
      <c r="J80" s="94" t="s">
        <v>41</v>
      </c>
      <c r="K80" s="94" t="s">
        <v>42</v>
      </c>
      <c r="L80" s="94" t="s">
        <v>49</v>
      </c>
      <c r="M80" s="95" t="s">
        <v>49</v>
      </c>
      <c r="N80" s="94" t="s">
        <v>90</v>
      </c>
      <c r="O80" s="95" t="s">
        <v>171</v>
      </c>
      <c r="P80" s="95" t="s">
        <v>171</v>
      </c>
      <c r="Q80" s="95" t="s">
        <v>822</v>
      </c>
      <c r="R80" s="105"/>
      <c r="S80" s="105"/>
      <c r="T80" s="105"/>
      <c r="U80" s="105"/>
      <c r="V80" s="105"/>
    </row>
    <row r="81" spans="2:22" s="104" customFormat="1" ht="72" x14ac:dyDescent="0.25">
      <c r="B81" s="94" t="s">
        <v>499</v>
      </c>
      <c r="C81" s="106" t="s">
        <v>823</v>
      </c>
      <c r="D81" s="107">
        <v>15000000</v>
      </c>
      <c r="E81" s="107">
        <v>17751479.28994083</v>
      </c>
      <c r="F81" s="107">
        <v>15000000</v>
      </c>
      <c r="G81" s="107">
        <v>17751479.28994083</v>
      </c>
      <c r="H81" s="95" t="s">
        <v>39</v>
      </c>
      <c r="I81" s="94" t="s">
        <v>40</v>
      </c>
      <c r="J81" s="94" t="s">
        <v>41</v>
      </c>
      <c r="K81" s="94" t="s">
        <v>42</v>
      </c>
      <c r="L81" s="94" t="s">
        <v>43</v>
      </c>
      <c r="M81" s="95" t="s">
        <v>49</v>
      </c>
      <c r="N81" s="94" t="s">
        <v>90</v>
      </c>
      <c r="O81" s="95" t="s">
        <v>171</v>
      </c>
      <c r="P81" s="95" t="s">
        <v>171</v>
      </c>
      <c r="Q81" s="95" t="s">
        <v>824</v>
      </c>
      <c r="R81" s="105"/>
      <c r="S81" s="105"/>
      <c r="T81" s="105"/>
      <c r="U81" s="105"/>
      <c r="V81" s="105"/>
    </row>
    <row r="82" spans="2:22" s="104" customFormat="1" ht="48" x14ac:dyDescent="0.25">
      <c r="B82" s="94" t="s">
        <v>291</v>
      </c>
      <c r="C82" s="106" t="s">
        <v>825</v>
      </c>
      <c r="D82" s="107">
        <v>8000000</v>
      </c>
      <c r="E82" s="107">
        <v>9467455.6213017758</v>
      </c>
      <c r="F82" s="107">
        <v>8000000</v>
      </c>
      <c r="G82" s="107">
        <v>9467455.6213017758</v>
      </c>
      <c r="H82" s="95" t="s">
        <v>39</v>
      </c>
      <c r="I82" s="94" t="s">
        <v>40</v>
      </c>
      <c r="J82" s="94" t="s">
        <v>41</v>
      </c>
      <c r="K82" s="94" t="s">
        <v>42</v>
      </c>
      <c r="L82" s="94" t="s">
        <v>49</v>
      </c>
      <c r="M82" s="95" t="s">
        <v>49</v>
      </c>
      <c r="N82" s="94" t="s">
        <v>82</v>
      </c>
      <c r="O82" s="95" t="s">
        <v>171</v>
      </c>
      <c r="P82" s="95" t="s">
        <v>171</v>
      </c>
      <c r="Q82" s="95" t="s">
        <v>826</v>
      </c>
      <c r="R82" s="105"/>
      <c r="S82" s="105"/>
      <c r="T82" s="105"/>
      <c r="U82" s="105"/>
      <c r="V82" s="105"/>
    </row>
    <row r="83" spans="2:22" s="104" customFormat="1" ht="72" x14ac:dyDescent="0.25">
      <c r="B83" s="94" t="s">
        <v>291</v>
      </c>
      <c r="C83" s="106" t="s">
        <v>827</v>
      </c>
      <c r="D83" s="107">
        <v>9600000</v>
      </c>
      <c r="E83" s="107">
        <v>11360946.745562131</v>
      </c>
      <c r="F83" s="107">
        <v>9600000</v>
      </c>
      <c r="G83" s="107">
        <v>11360946.745562131</v>
      </c>
      <c r="H83" s="95" t="s">
        <v>39</v>
      </c>
      <c r="I83" s="94" t="s">
        <v>40</v>
      </c>
      <c r="J83" s="94" t="s">
        <v>41</v>
      </c>
      <c r="K83" s="94" t="s">
        <v>42</v>
      </c>
      <c r="L83" s="94" t="s">
        <v>49</v>
      </c>
      <c r="M83" s="95" t="s">
        <v>50</v>
      </c>
      <c r="N83" s="94" t="s">
        <v>82</v>
      </c>
      <c r="O83" s="95" t="s">
        <v>171</v>
      </c>
      <c r="P83" s="95" t="s">
        <v>171</v>
      </c>
      <c r="Q83" s="95" t="s">
        <v>828</v>
      </c>
      <c r="R83" s="105"/>
      <c r="S83" s="105"/>
      <c r="T83" s="105"/>
      <c r="U83" s="105"/>
      <c r="V83" s="105"/>
    </row>
    <row r="84" spans="2:22" s="104" customFormat="1" ht="108" x14ac:dyDescent="0.25">
      <c r="B84" s="94" t="s">
        <v>175</v>
      </c>
      <c r="C84" s="106" t="s">
        <v>829</v>
      </c>
      <c r="D84" s="107">
        <v>30000000</v>
      </c>
      <c r="E84" s="107">
        <v>35502958.579881661</v>
      </c>
      <c r="F84" s="107">
        <v>30000000</v>
      </c>
      <c r="G84" s="107">
        <v>35502958.579881661</v>
      </c>
      <c r="H84" s="95" t="s">
        <v>39</v>
      </c>
      <c r="I84" s="94" t="s">
        <v>40</v>
      </c>
      <c r="J84" s="94" t="s">
        <v>41</v>
      </c>
      <c r="K84" s="94" t="s">
        <v>42</v>
      </c>
      <c r="L84" s="94" t="s">
        <v>49</v>
      </c>
      <c r="M84" s="95" t="s">
        <v>49</v>
      </c>
      <c r="N84" s="94" t="s">
        <v>82</v>
      </c>
      <c r="O84" s="95" t="s">
        <v>171</v>
      </c>
      <c r="P84" s="95" t="s">
        <v>171</v>
      </c>
      <c r="Q84" s="95" t="s">
        <v>830</v>
      </c>
      <c r="R84" s="105"/>
      <c r="S84" s="105"/>
      <c r="T84" s="105"/>
      <c r="U84" s="105"/>
      <c r="V84" s="105"/>
    </row>
    <row r="85" spans="2:22" s="104" customFormat="1" ht="108" x14ac:dyDescent="0.25">
      <c r="B85" s="94" t="s">
        <v>172</v>
      </c>
      <c r="C85" s="106" t="s">
        <v>831</v>
      </c>
      <c r="D85" s="107">
        <v>1400000</v>
      </c>
      <c r="E85" s="107">
        <v>1656804.7337278107</v>
      </c>
      <c r="F85" s="107">
        <v>1400000</v>
      </c>
      <c r="G85" s="107">
        <v>1656804.7337278107</v>
      </c>
      <c r="H85" s="95" t="s">
        <v>39</v>
      </c>
      <c r="I85" s="94" t="s">
        <v>40</v>
      </c>
      <c r="J85" s="94" t="s">
        <v>41</v>
      </c>
      <c r="K85" s="94" t="s">
        <v>42</v>
      </c>
      <c r="L85" s="94" t="s">
        <v>43</v>
      </c>
      <c r="M85" s="95" t="s">
        <v>49</v>
      </c>
      <c r="N85" s="94" t="s">
        <v>55</v>
      </c>
      <c r="O85" s="95" t="s">
        <v>171</v>
      </c>
      <c r="P85" s="95" t="s">
        <v>171</v>
      </c>
      <c r="Q85" s="95" t="s">
        <v>832</v>
      </c>
      <c r="R85" s="105"/>
      <c r="S85" s="105"/>
      <c r="T85" s="105"/>
      <c r="U85" s="105"/>
      <c r="V85" s="105"/>
    </row>
    <row r="86" spans="2:22" s="104" customFormat="1" ht="96" x14ac:dyDescent="0.25">
      <c r="B86" s="94" t="s">
        <v>288</v>
      </c>
      <c r="C86" s="106" t="s">
        <v>833</v>
      </c>
      <c r="D86" s="107">
        <v>6000000</v>
      </c>
      <c r="E86" s="107">
        <v>7100591.7159763314</v>
      </c>
      <c r="F86" s="107">
        <v>6000000</v>
      </c>
      <c r="G86" s="107">
        <v>7100591.7159763314</v>
      </c>
      <c r="H86" s="95" t="s">
        <v>39</v>
      </c>
      <c r="I86" s="94" t="s">
        <v>40</v>
      </c>
      <c r="J86" s="94" t="s">
        <v>41</v>
      </c>
      <c r="K86" s="94" t="s">
        <v>42</v>
      </c>
      <c r="L86" s="94" t="s">
        <v>62</v>
      </c>
      <c r="M86" s="95" t="s">
        <v>49</v>
      </c>
      <c r="N86" s="94" t="s">
        <v>82</v>
      </c>
      <c r="O86" s="95" t="s">
        <v>171</v>
      </c>
      <c r="P86" s="95" t="s">
        <v>171</v>
      </c>
      <c r="Q86" s="95" t="s">
        <v>834</v>
      </c>
      <c r="R86" s="105"/>
      <c r="S86" s="105"/>
      <c r="T86" s="105"/>
      <c r="U86" s="105"/>
      <c r="V86" s="105"/>
    </row>
    <row r="87" spans="2:22" s="104" customFormat="1" ht="48" x14ac:dyDescent="0.25">
      <c r="B87" s="94" t="s">
        <v>485</v>
      </c>
      <c r="C87" s="106" t="s">
        <v>835</v>
      </c>
      <c r="D87" s="107">
        <v>15000000</v>
      </c>
      <c r="E87" s="107">
        <v>17751479.28994083</v>
      </c>
      <c r="F87" s="107">
        <v>15000000</v>
      </c>
      <c r="G87" s="107">
        <v>17751479.28994083</v>
      </c>
      <c r="H87" s="95" t="s">
        <v>39</v>
      </c>
      <c r="I87" s="94" t="s">
        <v>40</v>
      </c>
      <c r="J87" s="94" t="s">
        <v>41</v>
      </c>
      <c r="K87" s="94" t="s">
        <v>42</v>
      </c>
      <c r="L87" s="94" t="s">
        <v>43</v>
      </c>
      <c r="M87" s="95" t="s">
        <v>49</v>
      </c>
      <c r="N87" s="94" t="s">
        <v>194</v>
      </c>
      <c r="O87" s="95" t="s">
        <v>171</v>
      </c>
      <c r="P87" s="95" t="s">
        <v>171</v>
      </c>
      <c r="Q87" s="95" t="s">
        <v>836</v>
      </c>
      <c r="R87" s="105"/>
      <c r="S87" s="105"/>
      <c r="T87" s="105"/>
      <c r="U87" s="105"/>
      <c r="V87" s="105"/>
    </row>
    <row r="88" spans="2:22" s="104" customFormat="1" ht="36" x14ac:dyDescent="0.25">
      <c r="B88" s="94" t="s">
        <v>471</v>
      </c>
      <c r="C88" s="106" t="s">
        <v>837</v>
      </c>
      <c r="D88" s="107">
        <v>5000000</v>
      </c>
      <c r="E88" s="107">
        <v>5917159.7633136101</v>
      </c>
      <c r="F88" s="107">
        <v>5000000</v>
      </c>
      <c r="G88" s="107">
        <v>5917159.7633136101</v>
      </c>
      <c r="H88" s="95" t="s">
        <v>39</v>
      </c>
      <c r="I88" s="94" t="s">
        <v>40</v>
      </c>
      <c r="J88" s="94" t="s">
        <v>41</v>
      </c>
      <c r="K88" s="94" t="s">
        <v>42</v>
      </c>
      <c r="L88" s="94" t="s">
        <v>43</v>
      </c>
      <c r="M88" s="95" t="s">
        <v>49</v>
      </c>
      <c r="N88" s="94" t="s">
        <v>221</v>
      </c>
      <c r="O88" s="95" t="s">
        <v>171</v>
      </c>
      <c r="P88" s="95" t="s">
        <v>171</v>
      </c>
      <c r="Q88" s="95" t="s">
        <v>838</v>
      </c>
      <c r="R88" s="105"/>
      <c r="S88" s="105"/>
      <c r="T88" s="105"/>
      <c r="U88" s="105"/>
      <c r="V88" s="105"/>
    </row>
    <row r="89" spans="2:22" s="104" customFormat="1" ht="108" x14ac:dyDescent="0.25">
      <c r="B89" s="94" t="s">
        <v>540</v>
      </c>
      <c r="C89" s="106" t="s">
        <v>839</v>
      </c>
      <c r="D89" s="107">
        <v>4400000</v>
      </c>
      <c r="E89" s="107">
        <v>5207100.5917159766</v>
      </c>
      <c r="F89" s="107">
        <v>4400000</v>
      </c>
      <c r="G89" s="107">
        <v>5207100.5917159766</v>
      </c>
      <c r="H89" s="95" t="s">
        <v>39</v>
      </c>
      <c r="I89" s="94" t="s">
        <v>40</v>
      </c>
      <c r="J89" s="94" t="s">
        <v>41</v>
      </c>
      <c r="K89" s="94" t="s">
        <v>42</v>
      </c>
      <c r="L89" s="94" t="s">
        <v>49</v>
      </c>
      <c r="M89" s="95" t="s">
        <v>50</v>
      </c>
      <c r="N89" s="94" t="s">
        <v>221</v>
      </c>
      <c r="O89" s="95" t="s">
        <v>171</v>
      </c>
      <c r="P89" s="95" t="s">
        <v>171</v>
      </c>
      <c r="Q89" s="95" t="s">
        <v>840</v>
      </c>
      <c r="R89" s="105"/>
      <c r="S89" s="105"/>
      <c r="T89" s="105"/>
      <c r="U89" s="105"/>
      <c r="V89" s="105"/>
    </row>
    <row r="90" spans="2:22" s="104" customFormat="1" ht="108" x14ac:dyDescent="0.25">
      <c r="B90" s="94" t="s">
        <v>230</v>
      </c>
      <c r="C90" s="106" t="s">
        <v>841</v>
      </c>
      <c r="D90" s="107">
        <v>25137860</v>
      </c>
      <c r="E90" s="107">
        <v>29748946.745562132</v>
      </c>
      <c r="F90" s="107">
        <v>25137860</v>
      </c>
      <c r="G90" s="107">
        <v>29748946.745562132</v>
      </c>
      <c r="H90" s="95" t="s">
        <v>39</v>
      </c>
      <c r="I90" s="94" t="s">
        <v>40</v>
      </c>
      <c r="J90" s="94" t="s">
        <v>41</v>
      </c>
      <c r="K90" s="94" t="s">
        <v>42</v>
      </c>
      <c r="L90" s="94" t="s">
        <v>49</v>
      </c>
      <c r="M90" s="95" t="s">
        <v>49</v>
      </c>
      <c r="N90" s="94" t="s">
        <v>235</v>
      </c>
      <c r="O90" s="95" t="s">
        <v>171</v>
      </c>
      <c r="P90" s="95" t="s">
        <v>171</v>
      </c>
      <c r="Q90" s="95" t="s">
        <v>842</v>
      </c>
      <c r="R90" s="105"/>
      <c r="S90" s="105"/>
      <c r="T90" s="105"/>
      <c r="U90" s="105"/>
      <c r="V90" s="105"/>
    </row>
    <row r="91" spans="2:22" s="104" customFormat="1" ht="72" x14ac:dyDescent="0.25">
      <c r="B91" s="94" t="s">
        <v>597</v>
      </c>
      <c r="C91" s="106" t="s">
        <v>843</v>
      </c>
      <c r="D91" s="107">
        <v>2510000</v>
      </c>
      <c r="E91" s="107">
        <v>2970414.2011834322</v>
      </c>
      <c r="F91" s="107">
        <v>2510000</v>
      </c>
      <c r="G91" s="107">
        <v>2970414.2011834322</v>
      </c>
      <c r="H91" s="95" t="s">
        <v>39</v>
      </c>
      <c r="I91" s="94" t="s">
        <v>40</v>
      </c>
      <c r="J91" s="94" t="s">
        <v>41</v>
      </c>
      <c r="K91" s="94" t="s">
        <v>42</v>
      </c>
      <c r="L91" s="94" t="s">
        <v>43</v>
      </c>
      <c r="M91" s="95" t="s">
        <v>50</v>
      </c>
      <c r="N91" s="94" t="s">
        <v>90</v>
      </c>
      <c r="O91" s="95" t="s">
        <v>171</v>
      </c>
      <c r="P91" s="95" t="s">
        <v>171</v>
      </c>
      <c r="Q91" s="95" t="s">
        <v>844</v>
      </c>
      <c r="R91" s="105"/>
      <c r="S91" s="105"/>
      <c r="T91" s="105"/>
      <c r="U91" s="105"/>
      <c r="V91" s="105"/>
    </row>
    <row r="92" spans="2:22" s="104" customFormat="1" ht="72" x14ac:dyDescent="0.25">
      <c r="B92" s="94" t="s">
        <v>597</v>
      </c>
      <c r="C92" s="106" t="s">
        <v>845</v>
      </c>
      <c r="D92" s="107">
        <v>1394000</v>
      </c>
      <c r="E92" s="107">
        <v>1649704.1420118343</v>
      </c>
      <c r="F92" s="107">
        <v>1394000</v>
      </c>
      <c r="G92" s="107">
        <v>1649704.1420118343</v>
      </c>
      <c r="H92" s="95" t="s">
        <v>39</v>
      </c>
      <c r="I92" s="94" t="s">
        <v>40</v>
      </c>
      <c r="J92" s="94" t="s">
        <v>41</v>
      </c>
      <c r="K92" s="94" t="s">
        <v>42</v>
      </c>
      <c r="L92" s="94" t="s">
        <v>43</v>
      </c>
      <c r="M92" s="95" t="s">
        <v>54</v>
      </c>
      <c r="N92" s="94" t="s">
        <v>55</v>
      </c>
      <c r="O92" s="95" t="s">
        <v>171</v>
      </c>
      <c r="P92" s="95" t="s">
        <v>171</v>
      </c>
      <c r="Q92" s="95" t="s">
        <v>844</v>
      </c>
      <c r="R92" s="105"/>
      <c r="S92" s="105"/>
      <c r="T92" s="105"/>
      <c r="U92" s="105"/>
      <c r="V92" s="105"/>
    </row>
    <row r="93" spans="2:22" s="104" customFormat="1" ht="72" x14ac:dyDescent="0.25">
      <c r="B93" s="94" t="s">
        <v>597</v>
      </c>
      <c r="C93" s="106" t="s">
        <v>846</v>
      </c>
      <c r="D93" s="107">
        <v>3600000</v>
      </c>
      <c r="E93" s="107">
        <v>4260355.0295857992</v>
      </c>
      <c r="F93" s="107">
        <v>3600000</v>
      </c>
      <c r="G93" s="107">
        <v>4260355.0295857992</v>
      </c>
      <c r="H93" s="95" t="s">
        <v>39</v>
      </c>
      <c r="I93" s="94" t="s">
        <v>40</v>
      </c>
      <c r="J93" s="94" t="s">
        <v>41</v>
      </c>
      <c r="K93" s="94" t="s">
        <v>42</v>
      </c>
      <c r="L93" s="94" t="s">
        <v>49</v>
      </c>
      <c r="M93" s="95" t="s">
        <v>63</v>
      </c>
      <c r="N93" s="94" t="s">
        <v>64</v>
      </c>
      <c r="O93" s="95" t="s">
        <v>171</v>
      </c>
      <c r="P93" s="95" t="s">
        <v>171</v>
      </c>
      <c r="Q93" s="95" t="s">
        <v>844</v>
      </c>
      <c r="R93" s="105"/>
      <c r="S93" s="105"/>
      <c r="T93" s="105"/>
      <c r="U93" s="105"/>
      <c r="V93" s="105"/>
    </row>
    <row r="94" spans="2:22" s="104" customFormat="1" ht="108" x14ac:dyDescent="0.25">
      <c r="B94" s="94" t="s">
        <v>388</v>
      </c>
      <c r="C94" s="106" t="s">
        <v>847</v>
      </c>
      <c r="D94" s="107">
        <v>50000000</v>
      </c>
      <c r="E94" s="107">
        <v>59171597.633136094</v>
      </c>
      <c r="F94" s="107">
        <v>50000000</v>
      </c>
      <c r="G94" s="107">
        <v>59171597.633136094</v>
      </c>
      <c r="H94" s="95" t="s">
        <v>39</v>
      </c>
      <c r="I94" s="94" t="s">
        <v>40</v>
      </c>
      <c r="J94" s="94" t="s">
        <v>41</v>
      </c>
      <c r="K94" s="94" t="s">
        <v>42</v>
      </c>
      <c r="L94" s="94" t="s">
        <v>49</v>
      </c>
      <c r="M94" s="95" t="s">
        <v>49</v>
      </c>
      <c r="N94" s="94" t="s">
        <v>90</v>
      </c>
      <c r="O94" s="95" t="s">
        <v>171</v>
      </c>
      <c r="P94" s="95" t="s">
        <v>171</v>
      </c>
      <c r="Q94" s="95" t="s">
        <v>848</v>
      </c>
      <c r="R94" s="105"/>
      <c r="S94" s="105"/>
      <c r="T94" s="105"/>
      <c r="U94" s="105"/>
      <c r="V94" s="105"/>
    </row>
    <row r="95" spans="2:22" s="104" customFormat="1" ht="204" x14ac:dyDescent="0.25">
      <c r="B95" s="94" t="s">
        <v>849</v>
      </c>
      <c r="C95" s="106" t="s">
        <v>850</v>
      </c>
      <c r="D95" s="107">
        <v>24000000</v>
      </c>
      <c r="E95" s="107">
        <v>28402366.863905326</v>
      </c>
      <c r="F95" s="107">
        <v>24000000</v>
      </c>
      <c r="G95" s="107">
        <v>28402366.863905326</v>
      </c>
      <c r="H95" s="95" t="s">
        <v>39</v>
      </c>
      <c r="I95" s="94" t="s">
        <v>40</v>
      </c>
      <c r="J95" s="94" t="s">
        <v>41</v>
      </c>
      <c r="K95" s="94" t="s">
        <v>42</v>
      </c>
      <c r="L95" s="94" t="s">
        <v>62</v>
      </c>
      <c r="M95" s="95" t="s">
        <v>49</v>
      </c>
      <c r="N95" s="94" t="s">
        <v>221</v>
      </c>
      <c r="O95" s="95" t="s">
        <v>171</v>
      </c>
      <c r="P95" s="95" t="s">
        <v>171</v>
      </c>
      <c r="Q95" s="95" t="s">
        <v>851</v>
      </c>
      <c r="R95" s="105"/>
      <c r="S95" s="105"/>
      <c r="T95" s="105"/>
      <c r="U95" s="105"/>
      <c r="V95" s="105"/>
    </row>
    <row r="96" spans="2:22" s="104" customFormat="1" ht="180" x14ac:dyDescent="0.25">
      <c r="B96" s="94" t="s">
        <v>849</v>
      </c>
      <c r="C96" s="106" t="s">
        <v>852</v>
      </c>
      <c r="D96" s="107">
        <v>50000000</v>
      </c>
      <c r="E96" s="107">
        <v>59171597.633136094</v>
      </c>
      <c r="F96" s="107">
        <v>50000000</v>
      </c>
      <c r="G96" s="107">
        <v>59171597.633136094</v>
      </c>
      <c r="H96" s="95" t="s">
        <v>39</v>
      </c>
      <c r="I96" s="94" t="s">
        <v>40</v>
      </c>
      <c r="J96" s="94" t="s">
        <v>41</v>
      </c>
      <c r="K96" s="94" t="s">
        <v>42</v>
      </c>
      <c r="L96" s="94" t="s">
        <v>62</v>
      </c>
      <c r="M96" s="95" t="s">
        <v>49</v>
      </c>
      <c r="N96" s="94" t="s">
        <v>350</v>
      </c>
      <c r="O96" s="95" t="s">
        <v>171</v>
      </c>
      <c r="P96" s="95" t="s">
        <v>171</v>
      </c>
      <c r="Q96" s="95" t="s">
        <v>853</v>
      </c>
      <c r="R96" s="105"/>
      <c r="S96" s="105"/>
      <c r="T96" s="105"/>
      <c r="U96" s="105"/>
      <c r="V96" s="105"/>
    </row>
    <row r="97" spans="2:22" s="104" customFormat="1" ht="120" x14ac:dyDescent="0.25">
      <c r="B97" s="94" t="s">
        <v>180</v>
      </c>
      <c r="C97" s="106" t="s">
        <v>739</v>
      </c>
      <c r="D97" s="107">
        <v>6000000</v>
      </c>
      <c r="E97" s="107">
        <v>7100591.7159763314</v>
      </c>
      <c r="F97" s="107">
        <v>6000000</v>
      </c>
      <c r="G97" s="107">
        <v>7100591.7159763314</v>
      </c>
      <c r="H97" s="95" t="s">
        <v>39</v>
      </c>
      <c r="I97" s="94" t="s">
        <v>40</v>
      </c>
      <c r="J97" s="94" t="s">
        <v>41</v>
      </c>
      <c r="K97" s="94" t="s">
        <v>42</v>
      </c>
      <c r="L97" s="94" t="s">
        <v>62</v>
      </c>
      <c r="M97" s="95" t="s">
        <v>50</v>
      </c>
      <c r="N97" s="94" t="s">
        <v>221</v>
      </c>
      <c r="O97" s="95" t="s">
        <v>171</v>
      </c>
      <c r="P97" s="95" t="s">
        <v>171</v>
      </c>
      <c r="Q97" s="95" t="s">
        <v>740</v>
      </c>
      <c r="R97" s="105"/>
      <c r="S97" s="105"/>
      <c r="T97" s="105"/>
      <c r="U97" s="105"/>
      <c r="V97" s="105"/>
    </row>
    <row r="98" spans="2:22" s="104" customFormat="1" ht="84" x14ac:dyDescent="0.25">
      <c r="B98" s="94" t="s">
        <v>169</v>
      </c>
      <c r="C98" s="106" t="s">
        <v>854</v>
      </c>
      <c r="D98" s="107">
        <v>4400000</v>
      </c>
      <c r="E98" s="107">
        <v>5207100.5917159766</v>
      </c>
      <c r="F98" s="107">
        <v>4400000</v>
      </c>
      <c r="G98" s="107">
        <v>5207100.5917159766</v>
      </c>
      <c r="H98" s="95" t="s">
        <v>39</v>
      </c>
      <c r="I98" s="94" t="s">
        <v>40</v>
      </c>
      <c r="J98" s="94" t="s">
        <v>41</v>
      </c>
      <c r="K98" s="94" t="s">
        <v>42</v>
      </c>
      <c r="L98" s="94" t="s">
        <v>43</v>
      </c>
      <c r="M98" s="95" t="s">
        <v>49</v>
      </c>
      <c r="N98" s="94" t="s">
        <v>86</v>
      </c>
      <c r="O98" s="95" t="s">
        <v>171</v>
      </c>
      <c r="P98" s="95" t="s">
        <v>171</v>
      </c>
      <c r="Q98" s="95" t="s">
        <v>855</v>
      </c>
      <c r="R98" s="105"/>
      <c r="S98" s="105"/>
      <c r="T98" s="105"/>
      <c r="U98" s="105"/>
      <c r="V98" s="105"/>
    </row>
    <row r="99" spans="2:22" s="104" customFormat="1" ht="120" x14ac:dyDescent="0.25">
      <c r="B99" s="94" t="s">
        <v>169</v>
      </c>
      <c r="C99" s="106" t="s">
        <v>656</v>
      </c>
      <c r="D99" s="107">
        <v>4000000</v>
      </c>
      <c r="E99" s="107">
        <v>4733727.8106508879</v>
      </c>
      <c r="F99" s="107">
        <v>4000000</v>
      </c>
      <c r="G99" s="107">
        <v>4733727.8106508879</v>
      </c>
      <c r="H99" s="95" t="s">
        <v>39</v>
      </c>
      <c r="I99" s="94" t="s">
        <v>40</v>
      </c>
      <c r="J99" s="94" t="s">
        <v>41</v>
      </c>
      <c r="K99" s="94" t="s">
        <v>42</v>
      </c>
      <c r="L99" s="94" t="s">
        <v>49</v>
      </c>
      <c r="M99" s="95" t="s">
        <v>49</v>
      </c>
      <c r="N99" s="94" t="s">
        <v>55</v>
      </c>
      <c r="O99" s="95" t="s">
        <v>171</v>
      </c>
      <c r="P99" s="95" t="s">
        <v>171</v>
      </c>
      <c r="Q99" s="95" t="s">
        <v>856</v>
      </c>
      <c r="R99" s="105"/>
      <c r="S99" s="105"/>
      <c r="T99" s="105"/>
      <c r="U99" s="105"/>
      <c r="V99" s="105"/>
    </row>
    <row r="100" spans="2:22" s="104" customFormat="1" ht="36" x14ac:dyDescent="0.25">
      <c r="B100" s="94" t="s">
        <v>747</v>
      </c>
      <c r="C100" s="106" t="s">
        <v>857</v>
      </c>
      <c r="D100" s="107">
        <v>3200000</v>
      </c>
      <c r="E100" s="107">
        <v>3786982.24852071</v>
      </c>
      <c r="F100" s="107">
        <v>3200000</v>
      </c>
      <c r="G100" s="107">
        <v>3786982.24852071</v>
      </c>
      <c r="H100" s="95" t="s">
        <v>39</v>
      </c>
      <c r="I100" s="94" t="s">
        <v>40</v>
      </c>
      <c r="J100" s="94" t="s">
        <v>41</v>
      </c>
      <c r="K100" s="94" t="s">
        <v>42</v>
      </c>
      <c r="L100" s="94" t="s">
        <v>43</v>
      </c>
      <c r="M100" s="95" t="s">
        <v>54</v>
      </c>
      <c r="N100" s="94" t="s">
        <v>55</v>
      </c>
      <c r="O100" s="95" t="s">
        <v>171</v>
      </c>
      <c r="P100" s="95" t="s">
        <v>171</v>
      </c>
      <c r="Q100" s="95" t="s">
        <v>858</v>
      </c>
      <c r="R100" s="105"/>
      <c r="S100" s="105"/>
      <c r="T100" s="105"/>
      <c r="U100" s="105"/>
      <c r="V100" s="105"/>
    </row>
    <row r="101" spans="2:22" s="104" customFormat="1" ht="156" x14ac:dyDescent="0.25">
      <c r="B101" s="94" t="s">
        <v>859</v>
      </c>
      <c r="C101" s="106" t="s">
        <v>860</v>
      </c>
      <c r="D101" s="107">
        <v>7450000</v>
      </c>
      <c r="E101" s="107">
        <v>8816568.0473372787</v>
      </c>
      <c r="F101" s="107">
        <v>7450000</v>
      </c>
      <c r="G101" s="107">
        <v>8816568.0473372787</v>
      </c>
      <c r="H101" s="95" t="s">
        <v>39</v>
      </c>
      <c r="I101" s="94" t="s">
        <v>40</v>
      </c>
      <c r="J101" s="94" t="s">
        <v>41</v>
      </c>
      <c r="K101" s="94" t="s">
        <v>42</v>
      </c>
      <c r="L101" s="94" t="s">
        <v>49</v>
      </c>
      <c r="M101" s="95" t="s">
        <v>49</v>
      </c>
      <c r="N101" s="94" t="s">
        <v>90</v>
      </c>
      <c r="O101" s="95" t="s">
        <v>171</v>
      </c>
      <c r="P101" s="95" t="s">
        <v>171</v>
      </c>
      <c r="Q101" s="95" t="s">
        <v>861</v>
      </c>
      <c r="R101" s="105"/>
      <c r="S101" s="105"/>
      <c r="T101" s="105"/>
      <c r="U101" s="105"/>
      <c r="V101" s="105"/>
    </row>
    <row r="102" spans="2:22" s="104" customFormat="1" ht="108" x14ac:dyDescent="0.25">
      <c r="B102" s="94" t="s">
        <v>169</v>
      </c>
      <c r="C102" s="106" t="s">
        <v>862</v>
      </c>
      <c r="D102" s="107">
        <v>2800000</v>
      </c>
      <c r="E102" s="107">
        <v>3313609.4674556213</v>
      </c>
      <c r="F102" s="107">
        <v>2800000</v>
      </c>
      <c r="G102" s="107">
        <v>3313609.4674556213</v>
      </c>
      <c r="H102" s="95" t="s">
        <v>39</v>
      </c>
      <c r="I102" s="94" t="s">
        <v>40</v>
      </c>
      <c r="J102" s="94" t="s">
        <v>41</v>
      </c>
      <c r="K102" s="94" t="s">
        <v>42</v>
      </c>
      <c r="L102" s="94" t="s">
        <v>43</v>
      </c>
      <c r="M102" s="95" t="s">
        <v>49</v>
      </c>
      <c r="N102" s="94" t="s">
        <v>221</v>
      </c>
      <c r="O102" s="95" t="s">
        <v>171</v>
      </c>
      <c r="P102" s="95" t="s">
        <v>171</v>
      </c>
      <c r="Q102" s="95" t="s">
        <v>863</v>
      </c>
      <c r="R102" s="105"/>
      <c r="S102" s="105"/>
      <c r="T102" s="105"/>
      <c r="U102" s="105"/>
      <c r="V102" s="105"/>
    </row>
    <row r="103" spans="2:22" s="104" customFormat="1" ht="96" x14ac:dyDescent="0.25">
      <c r="B103" s="94" t="s">
        <v>253</v>
      </c>
      <c r="C103" s="106" t="s">
        <v>864</v>
      </c>
      <c r="D103" s="107">
        <v>2000000</v>
      </c>
      <c r="E103" s="107">
        <v>2366863.9053254439</v>
      </c>
      <c r="F103" s="107">
        <v>2000000</v>
      </c>
      <c r="G103" s="107">
        <v>2366863.9053254439</v>
      </c>
      <c r="H103" s="95" t="s">
        <v>39</v>
      </c>
      <c r="I103" s="94" t="s">
        <v>40</v>
      </c>
      <c r="J103" s="94" t="s">
        <v>41</v>
      </c>
      <c r="K103" s="94" t="s">
        <v>42</v>
      </c>
      <c r="L103" s="94" t="s">
        <v>49</v>
      </c>
      <c r="M103" s="95" t="s">
        <v>49</v>
      </c>
      <c r="N103" s="94" t="s">
        <v>221</v>
      </c>
      <c r="O103" s="95" t="s">
        <v>171</v>
      </c>
      <c r="P103" s="95" t="s">
        <v>171</v>
      </c>
      <c r="Q103" s="95" t="s">
        <v>865</v>
      </c>
      <c r="R103" s="105"/>
      <c r="S103" s="105"/>
      <c r="T103" s="105"/>
      <c r="U103" s="105"/>
      <c r="V103" s="105"/>
    </row>
    <row r="104" spans="2:22" s="104" customFormat="1" ht="96" x14ac:dyDescent="0.25">
      <c r="B104" s="94" t="s">
        <v>316</v>
      </c>
      <c r="C104" s="106" t="s">
        <v>866</v>
      </c>
      <c r="D104" s="107">
        <v>70000000</v>
      </c>
      <c r="E104" s="107">
        <v>82840236.686390534</v>
      </c>
      <c r="F104" s="107">
        <v>70000000</v>
      </c>
      <c r="G104" s="107">
        <v>82840236.686390534</v>
      </c>
      <c r="H104" s="95" t="s">
        <v>39</v>
      </c>
      <c r="I104" s="94" t="s">
        <v>40</v>
      </c>
      <c r="J104" s="94" t="s">
        <v>41</v>
      </c>
      <c r="K104" s="94" t="s">
        <v>42</v>
      </c>
      <c r="L104" s="94" t="s">
        <v>49</v>
      </c>
      <c r="M104" s="95" t="s">
        <v>49</v>
      </c>
      <c r="N104" s="94" t="s">
        <v>90</v>
      </c>
      <c r="O104" s="95" t="s">
        <v>171</v>
      </c>
      <c r="P104" s="95" t="s">
        <v>171</v>
      </c>
      <c r="Q104" s="95" t="s">
        <v>867</v>
      </c>
      <c r="R104" s="105"/>
      <c r="S104" s="105"/>
      <c r="T104" s="105"/>
      <c r="U104" s="105"/>
      <c r="V104" s="105"/>
    </row>
    <row r="105" spans="2:22" s="104" customFormat="1" ht="108" x14ac:dyDescent="0.25">
      <c r="B105" s="94" t="s">
        <v>169</v>
      </c>
      <c r="C105" s="106" t="s">
        <v>868</v>
      </c>
      <c r="D105" s="107">
        <v>1200000</v>
      </c>
      <c r="E105" s="107">
        <v>1420118.3431952663</v>
      </c>
      <c r="F105" s="107">
        <v>1200000</v>
      </c>
      <c r="G105" s="107">
        <v>1420118.3431952663</v>
      </c>
      <c r="H105" s="95" t="s">
        <v>39</v>
      </c>
      <c r="I105" s="94" t="s">
        <v>40</v>
      </c>
      <c r="J105" s="94" t="s">
        <v>41</v>
      </c>
      <c r="K105" s="94" t="s">
        <v>42</v>
      </c>
      <c r="L105" s="94" t="s">
        <v>43</v>
      </c>
      <c r="M105" s="95" t="s">
        <v>49</v>
      </c>
      <c r="N105" s="94" t="s">
        <v>55</v>
      </c>
      <c r="O105" s="95" t="s">
        <v>171</v>
      </c>
      <c r="P105" s="95" t="s">
        <v>171</v>
      </c>
      <c r="Q105" s="95" t="s">
        <v>869</v>
      </c>
      <c r="R105" s="105"/>
      <c r="S105" s="105"/>
      <c r="T105" s="105"/>
      <c r="U105" s="105"/>
      <c r="V105" s="105"/>
    </row>
    <row r="106" spans="2:22" s="104" customFormat="1" ht="108" x14ac:dyDescent="0.25">
      <c r="B106" s="94" t="s">
        <v>208</v>
      </c>
      <c r="C106" s="106" t="s">
        <v>870</v>
      </c>
      <c r="D106" s="107">
        <v>3578072</v>
      </c>
      <c r="E106" s="107">
        <v>4234404.7337278109</v>
      </c>
      <c r="F106" s="107">
        <v>3578072</v>
      </c>
      <c r="G106" s="107">
        <v>4234404.7337278109</v>
      </c>
      <c r="H106" s="95" t="s">
        <v>39</v>
      </c>
      <c r="I106" s="94" t="s">
        <v>40</v>
      </c>
      <c r="J106" s="94" t="s">
        <v>41</v>
      </c>
      <c r="K106" s="94" t="s">
        <v>42</v>
      </c>
      <c r="L106" s="94" t="s">
        <v>49</v>
      </c>
      <c r="M106" s="95" t="s">
        <v>50</v>
      </c>
      <c r="N106" s="94" t="s">
        <v>82</v>
      </c>
      <c r="O106" s="95" t="s">
        <v>171</v>
      </c>
      <c r="P106" s="95" t="s">
        <v>171</v>
      </c>
      <c r="Q106" s="95" t="s">
        <v>765</v>
      </c>
      <c r="R106" s="105"/>
      <c r="S106" s="105"/>
      <c r="T106" s="105"/>
      <c r="U106" s="105"/>
      <c r="V106" s="105"/>
    </row>
    <row r="107" spans="2:22" s="104" customFormat="1" ht="204" x14ac:dyDescent="0.25">
      <c r="B107" s="94" t="s">
        <v>208</v>
      </c>
      <c r="C107" s="106" t="s">
        <v>871</v>
      </c>
      <c r="D107" s="107">
        <v>27000000</v>
      </c>
      <c r="E107" s="107">
        <v>31952662.721893493</v>
      </c>
      <c r="F107" s="107">
        <v>27000000</v>
      </c>
      <c r="G107" s="107">
        <v>31952662.721893493</v>
      </c>
      <c r="H107" s="95" t="s">
        <v>39</v>
      </c>
      <c r="I107" s="94" t="s">
        <v>40</v>
      </c>
      <c r="J107" s="94" t="s">
        <v>41</v>
      </c>
      <c r="K107" s="94" t="s">
        <v>42</v>
      </c>
      <c r="L107" s="94" t="s">
        <v>49</v>
      </c>
      <c r="M107" s="95" t="s">
        <v>49</v>
      </c>
      <c r="N107" s="94" t="s">
        <v>90</v>
      </c>
      <c r="O107" s="95" t="s">
        <v>171</v>
      </c>
      <c r="P107" s="95" t="s">
        <v>171</v>
      </c>
      <c r="Q107" s="95" t="s">
        <v>872</v>
      </c>
      <c r="R107" s="105"/>
      <c r="S107" s="105"/>
      <c r="T107" s="105"/>
      <c r="U107" s="105"/>
      <c r="V107" s="105"/>
    </row>
    <row r="108" spans="2:22" s="104" customFormat="1" ht="36" x14ac:dyDescent="0.25">
      <c r="B108" s="94" t="s">
        <v>169</v>
      </c>
      <c r="C108" s="106" t="s">
        <v>873</v>
      </c>
      <c r="D108" s="107">
        <v>400000</v>
      </c>
      <c r="E108" s="107">
        <v>473372.78106508875</v>
      </c>
      <c r="F108" s="107">
        <v>400000</v>
      </c>
      <c r="G108" s="107">
        <v>473372.78106508875</v>
      </c>
      <c r="H108" s="95" t="s">
        <v>39</v>
      </c>
      <c r="I108" s="94" t="s">
        <v>40</v>
      </c>
      <c r="J108" s="94" t="s">
        <v>41</v>
      </c>
      <c r="K108" s="94" t="s">
        <v>42</v>
      </c>
      <c r="L108" s="94" t="s">
        <v>49</v>
      </c>
      <c r="M108" s="95" t="s">
        <v>49</v>
      </c>
      <c r="N108" s="94" t="s">
        <v>90</v>
      </c>
      <c r="O108" s="95" t="s">
        <v>171</v>
      </c>
      <c r="P108" s="95" t="s">
        <v>171</v>
      </c>
      <c r="Q108" s="95" t="s">
        <v>874</v>
      </c>
      <c r="R108" s="105"/>
      <c r="S108" s="105"/>
      <c r="T108" s="105"/>
      <c r="U108" s="105"/>
      <c r="V108" s="105"/>
    </row>
    <row r="109" spans="2:22" s="104" customFormat="1" ht="48" x14ac:dyDescent="0.25">
      <c r="B109" s="94" t="s">
        <v>551</v>
      </c>
      <c r="C109" s="106" t="s">
        <v>875</v>
      </c>
      <c r="D109" s="107">
        <v>9000000</v>
      </c>
      <c r="E109" s="107">
        <v>10650887.573964497</v>
      </c>
      <c r="F109" s="107">
        <v>9000000</v>
      </c>
      <c r="G109" s="107">
        <v>10650887.573964497</v>
      </c>
      <c r="H109" s="95" t="s">
        <v>39</v>
      </c>
      <c r="I109" s="94" t="s">
        <v>40</v>
      </c>
      <c r="J109" s="94" t="s">
        <v>41</v>
      </c>
      <c r="K109" s="94" t="s">
        <v>42</v>
      </c>
      <c r="L109" s="94" t="s">
        <v>43</v>
      </c>
      <c r="M109" s="95" t="s">
        <v>50</v>
      </c>
      <c r="N109" s="94" t="s">
        <v>194</v>
      </c>
      <c r="O109" s="95" t="s">
        <v>171</v>
      </c>
      <c r="P109" s="95" t="s">
        <v>171</v>
      </c>
      <c r="Q109" s="95" t="s">
        <v>876</v>
      </c>
      <c r="R109" s="105"/>
      <c r="S109" s="105"/>
      <c r="T109" s="105"/>
      <c r="U109" s="105"/>
      <c r="V109" s="105"/>
    </row>
    <row r="110" spans="2:22" s="104" customFormat="1" ht="120" x14ac:dyDescent="0.25">
      <c r="B110" s="94" t="s">
        <v>177</v>
      </c>
      <c r="C110" s="106" t="s">
        <v>877</v>
      </c>
      <c r="D110" s="107">
        <v>8000</v>
      </c>
      <c r="E110" s="107">
        <v>9467.455621301775</v>
      </c>
      <c r="F110" s="107">
        <v>8000</v>
      </c>
      <c r="G110" s="107">
        <v>9467.455621301775</v>
      </c>
      <c r="H110" s="95" t="s">
        <v>39</v>
      </c>
      <c r="I110" s="94" t="s">
        <v>40</v>
      </c>
      <c r="J110" s="94" t="s">
        <v>41</v>
      </c>
      <c r="K110" s="94" t="s">
        <v>42</v>
      </c>
      <c r="L110" s="94" t="s">
        <v>43</v>
      </c>
      <c r="M110" s="95" t="s">
        <v>50</v>
      </c>
      <c r="N110" s="94" t="s">
        <v>82</v>
      </c>
      <c r="O110" s="95" t="s">
        <v>171</v>
      </c>
      <c r="P110" s="95" t="s">
        <v>171</v>
      </c>
      <c r="Q110" s="95" t="s">
        <v>878</v>
      </c>
      <c r="R110" s="105"/>
      <c r="S110" s="105"/>
      <c r="T110" s="105"/>
      <c r="U110" s="105"/>
      <c r="V110" s="105"/>
    </row>
    <row r="111" spans="2:22" s="104" customFormat="1" ht="108" x14ac:dyDescent="0.25">
      <c r="B111" s="94" t="s">
        <v>879</v>
      </c>
      <c r="C111" s="106" t="s">
        <v>880</v>
      </c>
      <c r="D111" s="107">
        <v>20000000</v>
      </c>
      <c r="E111" s="107">
        <v>23668639.05325444</v>
      </c>
      <c r="F111" s="107">
        <v>20000000</v>
      </c>
      <c r="G111" s="107">
        <v>23668639.05325444</v>
      </c>
      <c r="H111" s="95" t="s">
        <v>39</v>
      </c>
      <c r="I111" s="94" t="s">
        <v>40</v>
      </c>
      <c r="J111" s="94" t="s">
        <v>41</v>
      </c>
      <c r="K111" s="94" t="s">
        <v>42</v>
      </c>
      <c r="L111" s="94" t="s">
        <v>43</v>
      </c>
      <c r="M111" s="95" t="s">
        <v>49</v>
      </c>
      <c r="N111" s="94" t="s">
        <v>90</v>
      </c>
      <c r="O111" s="95" t="s">
        <v>171</v>
      </c>
      <c r="P111" s="95" t="s">
        <v>171</v>
      </c>
      <c r="Q111" s="95" t="s">
        <v>881</v>
      </c>
      <c r="R111" s="105"/>
      <c r="S111" s="105"/>
      <c r="T111" s="105"/>
      <c r="U111" s="105"/>
      <c r="V111" s="105"/>
    </row>
    <row r="112" spans="2:22" s="104" customFormat="1" ht="48" x14ac:dyDescent="0.25">
      <c r="B112" s="94" t="s">
        <v>405</v>
      </c>
      <c r="C112" s="106" t="s">
        <v>882</v>
      </c>
      <c r="D112" s="107">
        <v>332</v>
      </c>
      <c r="E112" s="107">
        <v>392.89940828402371</v>
      </c>
      <c r="F112" s="107">
        <v>332</v>
      </c>
      <c r="G112" s="107">
        <v>392.89940828402371</v>
      </c>
      <c r="H112" s="95" t="s">
        <v>39</v>
      </c>
      <c r="I112" s="94" t="s">
        <v>40</v>
      </c>
      <c r="J112" s="94" t="s">
        <v>41</v>
      </c>
      <c r="K112" s="94" t="s">
        <v>42</v>
      </c>
      <c r="L112" s="94" t="s">
        <v>49</v>
      </c>
      <c r="M112" s="95" t="s">
        <v>50</v>
      </c>
      <c r="N112" s="94" t="s">
        <v>883</v>
      </c>
      <c r="O112" s="95" t="s">
        <v>171</v>
      </c>
      <c r="P112" s="95" t="s">
        <v>171</v>
      </c>
      <c r="Q112" s="95" t="s">
        <v>884</v>
      </c>
      <c r="R112" s="105"/>
      <c r="S112" s="105"/>
      <c r="T112" s="105"/>
      <c r="U112" s="105"/>
      <c r="V112" s="105"/>
    </row>
    <row r="113" spans="2:22" s="104" customFormat="1" ht="120" x14ac:dyDescent="0.25">
      <c r="B113" s="94" t="s">
        <v>294</v>
      </c>
      <c r="C113" s="106" t="s">
        <v>885</v>
      </c>
      <c r="D113" s="107">
        <v>12000</v>
      </c>
      <c r="E113" s="107">
        <v>14201.183431952662</v>
      </c>
      <c r="F113" s="107">
        <v>12000</v>
      </c>
      <c r="G113" s="107">
        <v>14201.183431952662</v>
      </c>
      <c r="H113" s="95" t="s">
        <v>39</v>
      </c>
      <c r="I113" s="94" t="s">
        <v>40</v>
      </c>
      <c r="J113" s="94" t="s">
        <v>41</v>
      </c>
      <c r="K113" s="94" t="s">
        <v>42</v>
      </c>
      <c r="L113" s="94" t="s">
        <v>43</v>
      </c>
      <c r="M113" s="95" t="s">
        <v>50</v>
      </c>
      <c r="N113" s="94" t="s">
        <v>90</v>
      </c>
      <c r="O113" s="95" t="s">
        <v>171</v>
      </c>
      <c r="P113" s="95" t="s">
        <v>171</v>
      </c>
      <c r="Q113" s="95" t="s">
        <v>886</v>
      </c>
      <c r="R113" s="105"/>
      <c r="S113" s="105"/>
      <c r="T113" s="105"/>
      <c r="U113" s="105"/>
      <c r="V113" s="105"/>
    </row>
    <row r="114" spans="2:22" s="104" customFormat="1" ht="96" x14ac:dyDescent="0.25">
      <c r="B114" s="94" t="s">
        <v>471</v>
      </c>
      <c r="C114" s="106" t="s">
        <v>887</v>
      </c>
      <c r="D114" s="107">
        <v>244</v>
      </c>
      <c r="E114" s="107">
        <v>288.75739644970417</v>
      </c>
      <c r="F114" s="107">
        <v>244</v>
      </c>
      <c r="G114" s="107">
        <v>288.75739644970417</v>
      </c>
      <c r="H114" s="95" t="s">
        <v>39</v>
      </c>
      <c r="I114" s="94" t="s">
        <v>40</v>
      </c>
      <c r="J114" s="94" t="s">
        <v>41</v>
      </c>
      <c r="K114" s="94" t="s">
        <v>42</v>
      </c>
      <c r="L114" s="94" t="s">
        <v>49</v>
      </c>
      <c r="M114" s="95" t="s">
        <v>49</v>
      </c>
      <c r="N114" s="94" t="s">
        <v>90</v>
      </c>
      <c r="O114" s="95" t="s">
        <v>171</v>
      </c>
      <c r="P114" s="95" t="s">
        <v>171</v>
      </c>
      <c r="Q114" s="95" t="s">
        <v>888</v>
      </c>
      <c r="R114" s="105"/>
      <c r="S114" s="105"/>
      <c r="T114" s="105"/>
      <c r="U114" s="105"/>
      <c r="V114" s="105"/>
    </row>
    <row r="115" spans="2:22" s="104" customFormat="1" ht="228" x14ac:dyDescent="0.25">
      <c r="B115" s="94" t="s">
        <v>889</v>
      </c>
      <c r="C115" s="106" t="s">
        <v>890</v>
      </c>
      <c r="D115" s="107">
        <v>1260</v>
      </c>
      <c r="E115" s="107">
        <v>1491.1242603550297</v>
      </c>
      <c r="F115" s="107">
        <v>1260</v>
      </c>
      <c r="G115" s="107">
        <v>1491.1242603550297</v>
      </c>
      <c r="H115" s="95" t="s">
        <v>39</v>
      </c>
      <c r="I115" s="94" t="s">
        <v>40</v>
      </c>
      <c r="J115" s="94" t="s">
        <v>41</v>
      </c>
      <c r="K115" s="94" t="s">
        <v>42</v>
      </c>
      <c r="L115" s="94" t="s">
        <v>62</v>
      </c>
      <c r="M115" s="95" t="s">
        <v>44</v>
      </c>
      <c r="N115" s="94" t="s">
        <v>45</v>
      </c>
      <c r="O115" s="95" t="s">
        <v>171</v>
      </c>
      <c r="P115" s="95" t="s">
        <v>171</v>
      </c>
      <c r="Q115" s="95" t="s">
        <v>891</v>
      </c>
      <c r="R115" s="105"/>
      <c r="S115" s="105"/>
      <c r="T115" s="105"/>
      <c r="U115" s="105"/>
      <c r="V115" s="105"/>
    </row>
    <row r="116" spans="2:22" s="104" customFormat="1" ht="84" x14ac:dyDescent="0.25">
      <c r="B116" s="94" t="s">
        <v>172</v>
      </c>
      <c r="C116" s="106" t="s">
        <v>518</v>
      </c>
      <c r="D116" s="107">
        <v>1824352</v>
      </c>
      <c r="E116" s="107">
        <v>2158996.4497041423</v>
      </c>
      <c r="F116" s="107">
        <v>1824352</v>
      </c>
      <c r="G116" s="107">
        <v>2158996.4497041423</v>
      </c>
      <c r="H116" s="95" t="s">
        <v>39</v>
      </c>
      <c r="I116" s="94" t="s">
        <v>40</v>
      </c>
      <c r="J116" s="94" t="s">
        <v>41</v>
      </c>
      <c r="K116" s="94" t="s">
        <v>42</v>
      </c>
      <c r="L116" s="94" t="s">
        <v>43</v>
      </c>
      <c r="M116" s="95" t="s">
        <v>50</v>
      </c>
      <c r="N116" s="94" t="s">
        <v>194</v>
      </c>
      <c r="O116" s="95" t="s">
        <v>171</v>
      </c>
      <c r="P116" s="95" t="s">
        <v>171</v>
      </c>
      <c r="Q116" s="95" t="s">
        <v>519</v>
      </c>
      <c r="R116" s="105"/>
      <c r="S116" s="105"/>
      <c r="T116" s="105"/>
      <c r="U116" s="105"/>
      <c r="V116" s="105"/>
    </row>
    <row r="117" spans="2:22" s="20" customFormat="1" ht="12" x14ac:dyDescent="0.25">
      <c r="B117" s="29"/>
      <c r="H117" s="30"/>
      <c r="I117" s="31"/>
      <c r="J117" s="32"/>
      <c r="K117" s="32"/>
      <c r="L117" s="33"/>
      <c r="M117" s="32"/>
      <c r="N117" s="34"/>
      <c r="O117" s="32"/>
      <c r="P117" s="32"/>
      <c r="Q117" s="32"/>
    </row>
    <row r="118" spans="2:22" s="20" customFormat="1" ht="12" x14ac:dyDescent="0.25">
      <c r="B118" s="20" t="s">
        <v>65</v>
      </c>
      <c r="H118" s="30"/>
      <c r="I118" s="31"/>
      <c r="J118" s="32"/>
      <c r="K118" s="32"/>
      <c r="L118" s="33"/>
      <c r="M118" s="32"/>
      <c r="N118" s="34"/>
      <c r="O118" s="32"/>
      <c r="P118" s="32"/>
      <c r="Q118" s="32"/>
    </row>
    <row r="119" spans="2:22" s="20" customFormat="1" ht="12" x14ac:dyDescent="0.25">
      <c r="B119" s="20" t="s">
        <v>66</v>
      </c>
      <c r="H119" s="30"/>
      <c r="I119" s="31"/>
      <c r="J119" s="32"/>
      <c r="K119" s="32"/>
      <c r="L119" s="33"/>
      <c r="M119" s="32"/>
      <c r="N119" s="34"/>
      <c r="O119" s="32"/>
      <c r="P119" s="32"/>
      <c r="Q119" s="32"/>
    </row>
    <row r="120" spans="2:22" s="20" customFormat="1" ht="12" x14ac:dyDescent="0.25">
      <c r="B120" s="1" t="s">
        <v>67</v>
      </c>
      <c r="C120" s="1"/>
      <c r="D120" s="1"/>
      <c r="E120" s="1"/>
      <c r="F120" s="1"/>
      <c r="G120" s="1"/>
      <c r="H120" s="1"/>
      <c r="I120" s="1"/>
      <c r="J120" s="1"/>
      <c r="K120" s="1"/>
      <c r="L120" s="1"/>
      <c r="M120" s="1"/>
      <c r="N120" s="1"/>
      <c r="O120" s="1"/>
      <c r="P120" s="1"/>
      <c r="Q120" s="1"/>
    </row>
    <row r="121" spans="2:22" s="20" customFormat="1" ht="14.4" x14ac:dyDescent="0.25">
      <c r="B121" s="35" t="s">
        <v>68</v>
      </c>
      <c r="H121" s="30"/>
      <c r="I121" s="31"/>
      <c r="J121" s="32"/>
      <c r="K121" s="32"/>
      <c r="L121" s="33"/>
      <c r="M121" s="32"/>
      <c r="N121" s="34"/>
      <c r="O121" s="32"/>
      <c r="P121" s="32"/>
      <c r="Q121" s="32"/>
    </row>
    <row r="122" spans="2:22" ht="14.4" x14ac:dyDescent="0.25">
      <c r="B122" s="35" t="s">
        <v>69</v>
      </c>
      <c r="D122" s="36"/>
    </row>
    <row r="123" spans="2:22" ht="14.4" x14ac:dyDescent="0.25">
      <c r="B123" s="35" t="s">
        <v>70</v>
      </c>
      <c r="C123" s="37"/>
      <c r="D123" s="38"/>
      <c r="E123" s="38"/>
      <c r="F123" s="38"/>
      <c r="G123" s="39"/>
    </row>
    <row r="124" spans="2:22" ht="14.4" x14ac:dyDescent="0.25">
      <c r="B124" s="35" t="s">
        <v>71</v>
      </c>
      <c r="C124" s="40"/>
    </row>
    <row r="125" spans="2:22" ht="14.4" x14ac:dyDescent="0.25">
      <c r="B125" s="35" t="s">
        <v>72</v>
      </c>
      <c r="C125" s="40"/>
    </row>
    <row r="126" spans="2:22" ht="14.4" x14ac:dyDescent="0.25">
      <c r="B126" s="35" t="s">
        <v>73</v>
      </c>
      <c r="C126" s="40"/>
    </row>
    <row r="127" spans="2:22" ht="14.4" x14ac:dyDescent="0.25">
      <c r="B127" s="35" t="s">
        <v>74</v>
      </c>
      <c r="C127" s="40"/>
    </row>
    <row r="128" spans="2:22" ht="14.4" x14ac:dyDescent="0.25">
      <c r="B128" s="35" t="s">
        <v>75</v>
      </c>
      <c r="C128" s="40"/>
    </row>
    <row r="129" spans="2:21" ht="14.4" x14ac:dyDescent="0.25">
      <c r="B129" s="35" t="s">
        <v>76</v>
      </c>
      <c r="C129" s="35"/>
      <c r="D129" s="35"/>
      <c r="E129" s="35"/>
      <c r="F129" s="35"/>
      <c r="G129" s="35"/>
      <c r="H129" s="35"/>
      <c r="I129" s="35"/>
      <c r="J129" s="35"/>
      <c r="K129" s="35"/>
      <c r="L129" s="35"/>
      <c r="M129" s="35"/>
      <c r="N129" s="35"/>
      <c r="O129" s="35"/>
      <c r="P129" s="35"/>
      <c r="Q129" s="35"/>
    </row>
    <row r="130" spans="2:21" ht="14.4" x14ac:dyDescent="0.25">
      <c r="B130" s="35" t="s">
        <v>77</v>
      </c>
      <c r="C130" s="40"/>
    </row>
    <row r="131" spans="2:21" ht="14.4" x14ac:dyDescent="0.25">
      <c r="B131" s="35" t="s">
        <v>78</v>
      </c>
      <c r="C131" s="40"/>
    </row>
    <row r="132" spans="2:21" ht="12" x14ac:dyDescent="0.25">
      <c r="B132" s="9"/>
      <c r="C132" s="40"/>
    </row>
    <row r="133" spans="2:21" s="93" customFormat="1" ht="14.4" x14ac:dyDescent="0.3">
      <c r="B133" s="102" t="s">
        <v>79</v>
      </c>
      <c r="T133" s="97"/>
      <c r="U133" s="97"/>
    </row>
    <row r="134" spans="2:21" s="93" customFormat="1" ht="15" x14ac:dyDescent="0.3">
      <c r="B134" s="103" t="s">
        <v>683</v>
      </c>
      <c r="T134" s="97"/>
      <c r="U134" s="97"/>
    </row>
    <row r="135" spans="2:21" ht="12" x14ac:dyDescent="0.25"/>
    <row r="136" spans="2:21" ht="12" x14ac:dyDescent="0.25"/>
    <row r="137" spans="2:21" ht="12" x14ac:dyDescent="0.25"/>
    <row r="138" spans="2:21" ht="12" x14ac:dyDescent="0.25"/>
    <row r="139" spans="2:21" ht="12" x14ac:dyDescent="0.25"/>
    <row r="140" spans="2:21" ht="12" x14ac:dyDescent="0.25"/>
    <row r="141" spans="2:21" ht="12" x14ac:dyDescent="0.25"/>
    <row r="142" spans="2:21" ht="12" x14ac:dyDescent="0.25"/>
    <row r="143" spans="2:21" ht="12" x14ac:dyDescent="0.25"/>
    <row r="144" spans="2:21" ht="12" x14ac:dyDescent="0.25"/>
    <row r="145" spans="1:1" ht="12" x14ac:dyDescent="0.25"/>
    <row r="146" spans="1:1" ht="12" x14ac:dyDescent="0.25"/>
    <row r="147" spans="1:1" ht="12" x14ac:dyDescent="0.25"/>
    <row r="148" spans="1:1" ht="12" x14ac:dyDescent="0.25"/>
    <row r="149" spans="1:1" ht="12" x14ac:dyDescent="0.25"/>
    <row r="150" spans="1:1" ht="12" x14ac:dyDescent="0.25">
      <c r="A150" s="41"/>
    </row>
    <row r="151" spans="1:1" ht="12" x14ac:dyDescent="0.25">
      <c r="A151" s="42"/>
    </row>
    <row r="152" spans="1:1" ht="14.4" x14ac:dyDescent="0.25">
      <c r="A152" s="43"/>
    </row>
    <row r="153" spans="1:1" ht="14.4" x14ac:dyDescent="0.25">
      <c r="A153" s="43"/>
    </row>
    <row r="154" spans="1:1" ht="14.4" x14ac:dyDescent="0.25">
      <c r="A154" s="43"/>
    </row>
    <row r="155" spans="1:1" ht="14.4" x14ac:dyDescent="0.25">
      <c r="A155" s="43"/>
    </row>
    <row r="156" spans="1:1" ht="14.4" x14ac:dyDescent="0.25">
      <c r="A156" s="43"/>
    </row>
    <row r="157" spans="1:1" ht="14.4" x14ac:dyDescent="0.25">
      <c r="A157" s="43"/>
    </row>
    <row r="158" spans="1:1" ht="14.4" x14ac:dyDescent="0.25">
      <c r="A158" s="43"/>
    </row>
    <row r="159" spans="1:1" ht="14.4" x14ac:dyDescent="0.25">
      <c r="A159" s="43"/>
    </row>
    <row r="160" spans="1:1" ht="14.4" x14ac:dyDescent="0.25">
      <c r="A160" s="43"/>
    </row>
    <row r="161" spans="1:1" ht="12" x14ac:dyDescent="0.25">
      <c r="A161" s="44"/>
    </row>
    <row r="162" spans="1:1" ht="12" x14ac:dyDescent="0.25">
      <c r="A162" s="45"/>
    </row>
    <row r="163" spans="1:1" ht="12" x14ac:dyDescent="0.25">
      <c r="A163" s="44"/>
    </row>
    <row r="164" spans="1:1" ht="12" x14ac:dyDescent="0.25">
      <c r="A164" s="44"/>
    </row>
    <row r="165" spans="1:1" ht="12" x14ac:dyDescent="0.25"/>
    <row r="166" spans="1:1" ht="12" x14ac:dyDescent="0.25"/>
    <row r="167" spans="1:1" ht="12" x14ac:dyDescent="0.25"/>
    <row r="168" spans="1:1" ht="12" x14ac:dyDescent="0.25"/>
    <row r="169" spans="1:1" ht="12" customHeight="1" x14ac:dyDescent="0.25"/>
    <row r="170" spans="1:1" ht="12" x14ac:dyDescent="0.25"/>
    <row r="171" spans="1:1" ht="12" x14ac:dyDescent="0.25"/>
    <row r="172" spans="1:1" ht="12" x14ac:dyDescent="0.25"/>
    <row r="173" spans="1:1" ht="12" x14ac:dyDescent="0.25"/>
    <row r="174" spans="1:1" ht="12" x14ac:dyDescent="0.25"/>
    <row r="175" spans="1:1" ht="12" x14ac:dyDescent="0.25"/>
    <row r="176" spans="1:1" ht="12" x14ac:dyDescent="0.25"/>
    <row r="177" ht="12" x14ac:dyDescent="0.25"/>
    <row r="178" ht="12" x14ac:dyDescent="0.25"/>
    <row r="179" ht="12" x14ac:dyDescent="0.25"/>
    <row r="180" ht="12" x14ac:dyDescent="0.25"/>
    <row r="181" ht="12" x14ac:dyDescent="0.25"/>
    <row r="182" ht="12" x14ac:dyDescent="0.25"/>
    <row r="183" ht="12" x14ac:dyDescent="0.25"/>
  </sheetData>
  <hyperlinks>
    <hyperlink ref="B5" location="'Index sheet'!A1" display="Back to index" xr:uid="{00000000-0004-0000-0200-000000000000}"/>
  </hyperlinks>
  <pageMargins left="0.7" right="0.7" top="0.75" bottom="0.75" header="0.3" footer="0.3"/>
  <pageSetup paperSize="9" orientation="portrait"/>
  <ignoredErrors>
    <ignoredError sqref="A1:Q9 A117:Q132 A135:Q17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4"/>
  <sheetViews>
    <sheetView showGridLines="0" zoomScaleNormal="100" workbookViewId="0">
      <selection activeCell="X1" sqref="X1"/>
    </sheetView>
  </sheetViews>
  <sheetFormatPr baseColWidth="10" defaultColWidth="9.109375" defaultRowHeight="11.55" customHeight="1" x14ac:dyDescent="0.25"/>
  <cols>
    <col min="1" max="1" width="2.44140625" style="1" customWidth="1"/>
    <col min="2" max="2" width="27.44140625" style="1" customWidth="1"/>
    <col min="3" max="23" width="9.109375" style="1" customWidth="1"/>
    <col min="24" max="24" width="10.109375" style="1" customWidth="1"/>
    <col min="25" max="25" width="10.44140625" style="1" customWidth="1"/>
    <col min="26" max="26" width="20.44140625" style="1" customWidth="1"/>
    <col min="27" max="27" width="9.109375" style="1" customWidth="1"/>
    <col min="28" max="16384" width="9.109375" style="1"/>
  </cols>
  <sheetData>
    <row r="1" spans="1:26" ht="16.05" customHeight="1" x14ac:dyDescent="0.3">
      <c r="B1" s="8" t="s">
        <v>94</v>
      </c>
    </row>
    <row r="2" spans="1:26" ht="16.05" customHeight="1" x14ac:dyDescent="0.3">
      <c r="B2" s="7" t="s">
        <v>15</v>
      </c>
      <c r="J2" s="46" t="s">
        <v>16</v>
      </c>
      <c r="K2" s="46" t="s">
        <v>95</v>
      </c>
    </row>
    <row r="3" spans="1:26" ht="16.05" customHeight="1" x14ac:dyDescent="0.25">
      <c r="B3" s="10" t="s">
        <v>18</v>
      </c>
      <c r="C3" s="11">
        <v>0.95</v>
      </c>
    </row>
    <row r="4" spans="1:26" ht="16.05" customHeight="1" x14ac:dyDescent="0.25">
      <c r="B4" s="12"/>
      <c r="C4" s="12"/>
    </row>
    <row r="5" spans="1:26" ht="12" x14ac:dyDescent="0.25">
      <c r="B5" s="13" t="s">
        <v>19</v>
      </c>
    </row>
    <row r="6" spans="1:26" ht="12" x14ac:dyDescent="0.25">
      <c r="B6" s="9"/>
    </row>
    <row r="7" spans="1:26" s="20" customFormat="1" ht="73.95" customHeight="1" x14ac:dyDescent="0.25">
      <c r="B7" s="47" t="s">
        <v>96</v>
      </c>
      <c r="C7" s="48" t="s">
        <v>97</v>
      </c>
      <c r="D7" s="48"/>
      <c r="E7" s="48"/>
      <c r="F7" s="48"/>
      <c r="G7" s="48"/>
      <c r="H7" s="48"/>
      <c r="I7" s="48"/>
      <c r="J7" s="48"/>
      <c r="K7" s="48"/>
      <c r="L7" s="48"/>
      <c r="M7" s="48"/>
      <c r="N7" s="48"/>
      <c r="O7" s="15" t="s">
        <v>98</v>
      </c>
      <c r="P7" s="15" t="s">
        <v>99</v>
      </c>
      <c r="Q7" s="15" t="s">
        <v>23</v>
      </c>
      <c r="R7" s="15" t="s">
        <v>24</v>
      </c>
      <c r="S7" s="15" t="s">
        <v>25</v>
      </c>
      <c r="T7" s="15" t="s">
        <v>100</v>
      </c>
      <c r="U7" s="15" t="s">
        <v>27</v>
      </c>
      <c r="V7" s="15" t="s">
        <v>101</v>
      </c>
      <c r="W7" s="15" t="s">
        <v>102</v>
      </c>
      <c r="X7" s="15" t="s">
        <v>103</v>
      </c>
      <c r="Y7" s="19" t="s">
        <v>104</v>
      </c>
      <c r="Z7" s="15" t="s">
        <v>105</v>
      </c>
    </row>
    <row r="8" spans="1:26" s="20" customFormat="1" ht="21" customHeight="1" x14ac:dyDescent="0.25">
      <c r="B8" s="49"/>
      <c r="C8" s="48" t="s">
        <v>106</v>
      </c>
      <c r="D8" s="48"/>
      <c r="E8" s="48"/>
      <c r="F8" s="48"/>
      <c r="G8" s="48"/>
      <c r="H8" s="48"/>
      <c r="I8" s="48"/>
      <c r="J8" s="48"/>
      <c r="K8" s="48" t="s">
        <v>107</v>
      </c>
      <c r="L8" s="48"/>
      <c r="M8" s="48"/>
      <c r="N8" s="48"/>
      <c r="O8" s="21"/>
      <c r="P8" s="21"/>
      <c r="Q8" s="21"/>
      <c r="R8" s="21"/>
      <c r="S8" s="21"/>
      <c r="T8" s="21"/>
      <c r="U8" s="21"/>
      <c r="V8" s="21"/>
      <c r="W8" s="21"/>
      <c r="X8" s="21"/>
      <c r="Y8" s="24"/>
      <c r="Z8" s="21"/>
    </row>
    <row r="9" spans="1:26" s="20" customFormat="1" ht="29.25" customHeight="1" x14ac:dyDescent="0.25">
      <c r="B9" s="49"/>
      <c r="C9" s="48" t="s">
        <v>108</v>
      </c>
      <c r="D9" s="48"/>
      <c r="E9" s="48"/>
      <c r="F9" s="48"/>
      <c r="G9" s="48" t="s">
        <v>109</v>
      </c>
      <c r="H9" s="48"/>
      <c r="I9" s="48"/>
      <c r="J9" s="48"/>
      <c r="K9" s="48" t="s">
        <v>109</v>
      </c>
      <c r="L9" s="48"/>
      <c r="M9" s="48"/>
      <c r="N9" s="48"/>
      <c r="O9" s="21"/>
      <c r="P9" s="21"/>
      <c r="Q9" s="21"/>
      <c r="R9" s="21"/>
      <c r="S9" s="21"/>
      <c r="T9" s="21"/>
      <c r="U9" s="21"/>
      <c r="V9" s="21"/>
      <c r="W9" s="21"/>
      <c r="X9" s="21"/>
      <c r="Y9" s="24"/>
      <c r="Z9" s="21"/>
    </row>
    <row r="10" spans="1:26" s="20" customFormat="1" ht="23.55" customHeight="1" x14ac:dyDescent="0.25">
      <c r="B10" s="49"/>
      <c r="C10" s="50" t="s">
        <v>33</v>
      </c>
      <c r="D10" s="50"/>
      <c r="E10" s="50" t="s">
        <v>34</v>
      </c>
      <c r="F10" s="50"/>
      <c r="G10" s="50" t="s">
        <v>33</v>
      </c>
      <c r="H10" s="50"/>
      <c r="I10" s="50" t="s">
        <v>34</v>
      </c>
      <c r="J10" s="50"/>
      <c r="K10" s="50" t="s">
        <v>33</v>
      </c>
      <c r="L10" s="50"/>
      <c r="M10" s="50" t="s">
        <v>34</v>
      </c>
      <c r="N10" s="50"/>
      <c r="O10" s="21"/>
      <c r="P10" s="21"/>
      <c r="Q10" s="21"/>
      <c r="R10" s="21"/>
      <c r="S10" s="21"/>
      <c r="T10" s="21"/>
      <c r="U10" s="21"/>
      <c r="V10" s="21"/>
      <c r="W10" s="21"/>
      <c r="X10" s="21"/>
      <c r="Y10" s="24"/>
      <c r="Z10" s="21"/>
    </row>
    <row r="11" spans="1:26" s="20" customFormat="1" ht="22.95" customHeight="1" x14ac:dyDescent="0.25">
      <c r="B11" s="49"/>
      <c r="C11" s="47" t="s">
        <v>35</v>
      </c>
      <c r="D11" s="51" t="s">
        <v>36</v>
      </c>
      <c r="E11" s="47" t="s">
        <v>35</v>
      </c>
      <c r="F11" s="51" t="s">
        <v>36</v>
      </c>
      <c r="G11" s="47" t="s">
        <v>35</v>
      </c>
      <c r="H11" s="51" t="s">
        <v>36</v>
      </c>
      <c r="I11" s="47" t="s">
        <v>35</v>
      </c>
      <c r="J11" s="51" t="s">
        <v>36</v>
      </c>
      <c r="K11" s="47" t="s">
        <v>35</v>
      </c>
      <c r="L11" s="51" t="s">
        <v>36</v>
      </c>
      <c r="M11" s="47" t="s">
        <v>35</v>
      </c>
      <c r="N11" s="51" t="s">
        <v>36</v>
      </c>
      <c r="O11" s="25"/>
      <c r="P11" s="25"/>
      <c r="Q11" s="25"/>
      <c r="R11" s="25"/>
      <c r="S11" s="25"/>
      <c r="T11" s="25"/>
      <c r="U11" s="25"/>
      <c r="V11" s="25"/>
      <c r="W11" s="25"/>
      <c r="X11" s="25"/>
      <c r="Y11" s="28"/>
      <c r="Z11" s="21"/>
    </row>
    <row r="12" spans="1:26" s="105" customFormat="1" ht="96" x14ac:dyDescent="0.25">
      <c r="A12" s="112"/>
      <c r="B12" s="95" t="s">
        <v>892</v>
      </c>
      <c r="C12" s="113" t="s">
        <v>893</v>
      </c>
      <c r="D12" s="114" t="s">
        <v>893</v>
      </c>
      <c r="E12" s="114" t="s">
        <v>893</v>
      </c>
      <c r="F12" s="114" t="s">
        <v>893</v>
      </c>
      <c r="G12" s="114" t="s">
        <v>893</v>
      </c>
      <c r="H12" s="114" t="s">
        <v>893</v>
      </c>
      <c r="I12" s="114" t="s">
        <v>893</v>
      </c>
      <c r="J12" s="114" t="s">
        <v>893</v>
      </c>
      <c r="K12" s="114">
        <v>23800000</v>
      </c>
      <c r="L12" s="114">
        <v>25052631.578947369</v>
      </c>
      <c r="M12" s="114" t="s">
        <v>894</v>
      </c>
      <c r="N12" s="114" t="s">
        <v>894</v>
      </c>
      <c r="O12" s="94" t="s">
        <v>388</v>
      </c>
      <c r="P12" s="94" t="s">
        <v>895</v>
      </c>
      <c r="Q12" s="94" t="s">
        <v>896</v>
      </c>
      <c r="R12" s="94" t="s">
        <v>897</v>
      </c>
      <c r="S12" s="94" t="s">
        <v>41</v>
      </c>
      <c r="T12" s="94" t="s">
        <v>898</v>
      </c>
      <c r="U12" s="94" t="s">
        <v>899</v>
      </c>
      <c r="V12" s="94" t="s">
        <v>54</v>
      </c>
      <c r="W12" s="94" t="s">
        <v>900</v>
      </c>
      <c r="X12" s="95" t="s">
        <v>171</v>
      </c>
      <c r="Y12" s="95" t="s">
        <v>171</v>
      </c>
      <c r="Z12" s="95" t="s">
        <v>901</v>
      </c>
    </row>
    <row r="13" spans="1:26" s="105" customFormat="1" ht="108" x14ac:dyDescent="0.25">
      <c r="A13" s="112"/>
      <c r="B13" s="95" t="s">
        <v>892</v>
      </c>
      <c r="C13" s="113" t="s">
        <v>893</v>
      </c>
      <c r="D13" s="114" t="s">
        <v>893</v>
      </c>
      <c r="E13" s="114" t="s">
        <v>893</v>
      </c>
      <c r="F13" s="114" t="s">
        <v>893</v>
      </c>
      <c r="G13" s="114" t="s">
        <v>893</v>
      </c>
      <c r="H13" s="114" t="s">
        <v>893</v>
      </c>
      <c r="I13" s="114" t="s">
        <v>893</v>
      </c>
      <c r="J13" s="114" t="s">
        <v>893</v>
      </c>
      <c r="K13" s="114">
        <v>24763940</v>
      </c>
      <c r="L13" s="114">
        <v>26067305.263157897</v>
      </c>
      <c r="M13" s="114" t="s">
        <v>894</v>
      </c>
      <c r="N13" s="114" t="s">
        <v>894</v>
      </c>
      <c r="O13" s="94" t="s">
        <v>902</v>
      </c>
      <c r="P13" s="94" t="s">
        <v>903</v>
      </c>
      <c r="Q13" s="94" t="s">
        <v>896</v>
      </c>
      <c r="R13" s="94" t="s">
        <v>897</v>
      </c>
      <c r="S13" s="94" t="s">
        <v>41</v>
      </c>
      <c r="T13" s="94" t="s">
        <v>898</v>
      </c>
      <c r="U13" s="94" t="s">
        <v>899</v>
      </c>
      <c r="V13" s="94" t="s">
        <v>193</v>
      </c>
      <c r="W13" s="94" t="s">
        <v>904</v>
      </c>
      <c r="X13" s="95" t="s">
        <v>171</v>
      </c>
      <c r="Y13" s="95" t="s">
        <v>171</v>
      </c>
      <c r="Z13" s="95" t="s">
        <v>905</v>
      </c>
    </row>
    <row r="14" spans="1:26" s="105" customFormat="1" ht="84" x14ac:dyDescent="0.25">
      <c r="A14" s="112"/>
      <c r="B14" s="95" t="s">
        <v>892</v>
      </c>
      <c r="C14" s="113" t="s">
        <v>893</v>
      </c>
      <c r="D14" s="114" t="s">
        <v>893</v>
      </c>
      <c r="E14" s="114" t="s">
        <v>893</v>
      </c>
      <c r="F14" s="114" t="s">
        <v>893</v>
      </c>
      <c r="G14" s="114" t="s">
        <v>893</v>
      </c>
      <c r="H14" s="114" t="s">
        <v>893</v>
      </c>
      <c r="I14" s="114" t="s">
        <v>893</v>
      </c>
      <c r="J14" s="114" t="s">
        <v>893</v>
      </c>
      <c r="K14" s="114">
        <v>50000000</v>
      </c>
      <c r="L14" s="114">
        <v>52631578.947368421</v>
      </c>
      <c r="M14" s="114" t="s">
        <v>894</v>
      </c>
      <c r="N14" s="114" t="s">
        <v>894</v>
      </c>
      <c r="O14" s="94" t="s">
        <v>789</v>
      </c>
      <c r="P14" s="94" t="s">
        <v>906</v>
      </c>
      <c r="Q14" s="94" t="s">
        <v>896</v>
      </c>
      <c r="R14" s="94" t="s">
        <v>897</v>
      </c>
      <c r="S14" s="94" t="s">
        <v>41</v>
      </c>
      <c r="T14" s="94" t="s">
        <v>898</v>
      </c>
      <c r="U14" s="94" t="s">
        <v>899</v>
      </c>
      <c r="V14" s="94" t="s">
        <v>49</v>
      </c>
      <c r="W14" s="94" t="s">
        <v>907</v>
      </c>
      <c r="X14" s="95" t="s">
        <v>171</v>
      </c>
      <c r="Y14" s="95" t="s">
        <v>171</v>
      </c>
      <c r="Z14" s="95" t="s">
        <v>908</v>
      </c>
    </row>
    <row r="15" spans="1:26" s="105" customFormat="1" ht="84" x14ac:dyDescent="0.25">
      <c r="A15" s="112"/>
      <c r="B15" s="95" t="s">
        <v>892</v>
      </c>
      <c r="C15" s="113" t="s">
        <v>893</v>
      </c>
      <c r="D15" s="114" t="s">
        <v>893</v>
      </c>
      <c r="E15" s="114" t="s">
        <v>893</v>
      </c>
      <c r="F15" s="114" t="s">
        <v>893</v>
      </c>
      <c r="G15" s="114" t="s">
        <v>893</v>
      </c>
      <c r="H15" s="114" t="s">
        <v>893</v>
      </c>
      <c r="I15" s="114" t="s">
        <v>893</v>
      </c>
      <c r="J15" s="114" t="s">
        <v>893</v>
      </c>
      <c r="K15" s="114">
        <v>100000000</v>
      </c>
      <c r="L15" s="114">
        <v>105263157.89473684</v>
      </c>
      <c r="M15" s="114" t="s">
        <v>894</v>
      </c>
      <c r="N15" s="114" t="s">
        <v>894</v>
      </c>
      <c r="O15" s="94" t="s">
        <v>789</v>
      </c>
      <c r="P15" s="94" t="s">
        <v>909</v>
      </c>
      <c r="Q15" s="94" t="s">
        <v>896</v>
      </c>
      <c r="R15" s="94" t="s">
        <v>897</v>
      </c>
      <c r="S15" s="94" t="s">
        <v>41</v>
      </c>
      <c r="T15" s="94" t="s">
        <v>898</v>
      </c>
      <c r="U15" s="94" t="s">
        <v>899</v>
      </c>
      <c r="V15" s="94" t="s">
        <v>54</v>
      </c>
      <c r="W15" s="94" t="s">
        <v>900</v>
      </c>
      <c r="X15" s="95" t="s">
        <v>171</v>
      </c>
      <c r="Y15" s="95" t="s">
        <v>171</v>
      </c>
      <c r="Z15" s="95" t="s">
        <v>910</v>
      </c>
    </row>
    <row r="16" spans="1:26" s="105" customFormat="1" ht="60" x14ac:dyDescent="0.25">
      <c r="A16" s="112"/>
      <c r="B16" s="95" t="s">
        <v>892</v>
      </c>
      <c r="C16" s="113" t="s">
        <v>893</v>
      </c>
      <c r="D16" s="114" t="s">
        <v>893</v>
      </c>
      <c r="E16" s="114" t="s">
        <v>893</v>
      </c>
      <c r="F16" s="114" t="s">
        <v>893</v>
      </c>
      <c r="G16" s="114" t="s">
        <v>893</v>
      </c>
      <c r="H16" s="114" t="s">
        <v>893</v>
      </c>
      <c r="I16" s="114" t="s">
        <v>893</v>
      </c>
      <c r="J16" s="114" t="s">
        <v>893</v>
      </c>
      <c r="K16" s="114">
        <v>120000</v>
      </c>
      <c r="L16" s="114">
        <v>126315.78947368421</v>
      </c>
      <c r="M16" s="114" t="s">
        <v>894</v>
      </c>
      <c r="N16" s="114" t="s">
        <v>894</v>
      </c>
      <c r="O16" s="94" t="s">
        <v>911</v>
      </c>
      <c r="P16" s="94" t="s">
        <v>912</v>
      </c>
      <c r="Q16" s="94" t="s">
        <v>896</v>
      </c>
      <c r="R16" s="94" t="s">
        <v>897</v>
      </c>
      <c r="S16" s="94" t="s">
        <v>41</v>
      </c>
      <c r="T16" s="94" t="s">
        <v>913</v>
      </c>
      <c r="U16" s="94" t="s">
        <v>899</v>
      </c>
      <c r="V16" s="94" t="s">
        <v>85</v>
      </c>
      <c r="W16" s="94" t="s">
        <v>914</v>
      </c>
      <c r="X16" s="95" t="s">
        <v>171</v>
      </c>
      <c r="Y16" s="95" t="s">
        <v>171</v>
      </c>
      <c r="Z16" s="95" t="s">
        <v>915</v>
      </c>
    </row>
    <row r="17" spans="1:26" s="105" customFormat="1" ht="60" x14ac:dyDescent="0.25">
      <c r="A17" s="112"/>
      <c r="B17" s="95" t="s">
        <v>892</v>
      </c>
      <c r="C17" s="113" t="s">
        <v>893</v>
      </c>
      <c r="D17" s="114" t="s">
        <v>893</v>
      </c>
      <c r="E17" s="114" t="s">
        <v>893</v>
      </c>
      <c r="F17" s="114" t="s">
        <v>893</v>
      </c>
      <c r="G17" s="114" t="s">
        <v>893</v>
      </c>
      <c r="H17" s="114" t="s">
        <v>893</v>
      </c>
      <c r="I17" s="114" t="s">
        <v>893</v>
      </c>
      <c r="J17" s="114" t="s">
        <v>893</v>
      </c>
      <c r="K17" s="114">
        <v>120000</v>
      </c>
      <c r="L17" s="114">
        <v>126315.78947368421</v>
      </c>
      <c r="M17" s="114" t="s">
        <v>894</v>
      </c>
      <c r="N17" s="114" t="s">
        <v>894</v>
      </c>
      <c r="O17" s="94" t="s">
        <v>911</v>
      </c>
      <c r="P17" s="94" t="s">
        <v>912</v>
      </c>
      <c r="Q17" s="94" t="s">
        <v>896</v>
      </c>
      <c r="R17" s="94" t="s">
        <v>897</v>
      </c>
      <c r="S17" s="94" t="s">
        <v>41</v>
      </c>
      <c r="T17" s="94" t="s">
        <v>913</v>
      </c>
      <c r="U17" s="94" t="s">
        <v>899</v>
      </c>
      <c r="V17" s="94" t="s">
        <v>85</v>
      </c>
      <c r="W17" s="94" t="s">
        <v>914</v>
      </c>
      <c r="X17" s="95" t="s">
        <v>171</v>
      </c>
      <c r="Y17" s="95" t="s">
        <v>171</v>
      </c>
      <c r="Z17" s="95" t="s">
        <v>916</v>
      </c>
    </row>
    <row r="18" spans="1:26" s="105" customFormat="1" ht="60" x14ac:dyDescent="0.25">
      <c r="A18" s="112"/>
      <c r="B18" s="95" t="s">
        <v>892</v>
      </c>
      <c r="C18" s="113" t="s">
        <v>893</v>
      </c>
      <c r="D18" s="114" t="s">
        <v>893</v>
      </c>
      <c r="E18" s="114" t="s">
        <v>893</v>
      </c>
      <c r="F18" s="114" t="s">
        <v>893</v>
      </c>
      <c r="G18" s="114" t="s">
        <v>893</v>
      </c>
      <c r="H18" s="114" t="s">
        <v>893</v>
      </c>
      <c r="I18" s="114" t="s">
        <v>893</v>
      </c>
      <c r="J18" s="114" t="s">
        <v>893</v>
      </c>
      <c r="K18" s="114">
        <v>120000</v>
      </c>
      <c r="L18" s="114">
        <v>126315.78947368421</v>
      </c>
      <c r="M18" s="114" t="s">
        <v>894</v>
      </c>
      <c r="N18" s="114" t="s">
        <v>894</v>
      </c>
      <c r="O18" s="94" t="s">
        <v>911</v>
      </c>
      <c r="P18" s="94" t="s">
        <v>912</v>
      </c>
      <c r="Q18" s="94" t="s">
        <v>896</v>
      </c>
      <c r="R18" s="94" t="s">
        <v>897</v>
      </c>
      <c r="S18" s="94" t="s">
        <v>41</v>
      </c>
      <c r="T18" s="94" t="s">
        <v>913</v>
      </c>
      <c r="U18" s="94" t="s">
        <v>899</v>
      </c>
      <c r="V18" s="94" t="s">
        <v>85</v>
      </c>
      <c r="W18" s="94" t="s">
        <v>914</v>
      </c>
      <c r="X18" s="95" t="s">
        <v>171</v>
      </c>
      <c r="Y18" s="95" t="s">
        <v>171</v>
      </c>
      <c r="Z18" s="95" t="s">
        <v>916</v>
      </c>
    </row>
    <row r="19" spans="1:26" s="105" customFormat="1" ht="60" x14ac:dyDescent="0.25">
      <c r="A19" s="112"/>
      <c r="B19" s="95" t="s">
        <v>892</v>
      </c>
      <c r="C19" s="113" t="s">
        <v>893</v>
      </c>
      <c r="D19" s="114" t="s">
        <v>893</v>
      </c>
      <c r="E19" s="114" t="s">
        <v>893</v>
      </c>
      <c r="F19" s="114" t="s">
        <v>893</v>
      </c>
      <c r="G19" s="114" t="s">
        <v>893</v>
      </c>
      <c r="H19" s="114" t="s">
        <v>893</v>
      </c>
      <c r="I19" s="114" t="s">
        <v>893</v>
      </c>
      <c r="J19" s="114" t="s">
        <v>893</v>
      </c>
      <c r="K19" s="114">
        <v>120000</v>
      </c>
      <c r="L19" s="114">
        <v>126315.78947368421</v>
      </c>
      <c r="M19" s="114" t="s">
        <v>894</v>
      </c>
      <c r="N19" s="114" t="s">
        <v>894</v>
      </c>
      <c r="O19" s="94" t="s">
        <v>911</v>
      </c>
      <c r="P19" s="94" t="s">
        <v>912</v>
      </c>
      <c r="Q19" s="94" t="s">
        <v>896</v>
      </c>
      <c r="R19" s="94" t="s">
        <v>897</v>
      </c>
      <c r="S19" s="94" t="s">
        <v>41</v>
      </c>
      <c r="T19" s="94" t="s">
        <v>913</v>
      </c>
      <c r="U19" s="94" t="s">
        <v>899</v>
      </c>
      <c r="V19" s="94" t="s">
        <v>85</v>
      </c>
      <c r="W19" s="94" t="s">
        <v>914</v>
      </c>
      <c r="X19" s="95" t="s">
        <v>171</v>
      </c>
      <c r="Y19" s="95" t="s">
        <v>171</v>
      </c>
      <c r="Z19" s="95" t="s">
        <v>916</v>
      </c>
    </row>
    <row r="20" spans="1:26" s="105" customFormat="1" ht="60" x14ac:dyDescent="0.25">
      <c r="A20" s="112"/>
      <c r="B20" s="95" t="s">
        <v>892</v>
      </c>
      <c r="C20" s="113" t="s">
        <v>893</v>
      </c>
      <c r="D20" s="114" t="s">
        <v>893</v>
      </c>
      <c r="E20" s="114" t="s">
        <v>893</v>
      </c>
      <c r="F20" s="114" t="s">
        <v>893</v>
      </c>
      <c r="G20" s="114" t="s">
        <v>893</v>
      </c>
      <c r="H20" s="114" t="s">
        <v>893</v>
      </c>
      <c r="I20" s="114" t="s">
        <v>893</v>
      </c>
      <c r="J20" s="114" t="s">
        <v>893</v>
      </c>
      <c r="K20" s="114">
        <v>120000</v>
      </c>
      <c r="L20" s="114">
        <v>126315.78947368421</v>
      </c>
      <c r="M20" s="114" t="s">
        <v>894</v>
      </c>
      <c r="N20" s="114" t="s">
        <v>894</v>
      </c>
      <c r="O20" s="94" t="s">
        <v>911</v>
      </c>
      <c r="P20" s="94" t="s">
        <v>912</v>
      </c>
      <c r="Q20" s="94" t="s">
        <v>896</v>
      </c>
      <c r="R20" s="94" t="s">
        <v>897</v>
      </c>
      <c r="S20" s="94" t="s">
        <v>41</v>
      </c>
      <c r="T20" s="94" t="s">
        <v>913</v>
      </c>
      <c r="U20" s="94" t="s">
        <v>899</v>
      </c>
      <c r="V20" s="94" t="s">
        <v>85</v>
      </c>
      <c r="W20" s="94" t="s">
        <v>914</v>
      </c>
      <c r="X20" s="95" t="s">
        <v>171</v>
      </c>
      <c r="Y20" s="95" t="s">
        <v>171</v>
      </c>
      <c r="Z20" s="95" t="s">
        <v>915</v>
      </c>
    </row>
    <row r="21" spans="1:26" s="105" customFormat="1" ht="108" x14ac:dyDescent="0.25">
      <c r="A21" s="112"/>
      <c r="B21" s="95" t="s">
        <v>892</v>
      </c>
      <c r="C21" s="113" t="s">
        <v>893</v>
      </c>
      <c r="D21" s="114" t="s">
        <v>893</v>
      </c>
      <c r="E21" s="114" t="s">
        <v>893</v>
      </c>
      <c r="F21" s="114" t="s">
        <v>893</v>
      </c>
      <c r="G21" s="114" t="s">
        <v>893</v>
      </c>
      <c r="H21" s="114" t="s">
        <v>893</v>
      </c>
      <c r="I21" s="114" t="s">
        <v>893</v>
      </c>
      <c r="J21" s="114" t="s">
        <v>893</v>
      </c>
      <c r="K21" s="114">
        <v>50000</v>
      </c>
      <c r="L21" s="114">
        <v>52631.57894736842</v>
      </c>
      <c r="M21" s="114" t="s">
        <v>894</v>
      </c>
      <c r="N21" s="114" t="s">
        <v>894</v>
      </c>
      <c r="O21" s="94" t="s">
        <v>917</v>
      </c>
      <c r="P21" s="94" t="s">
        <v>918</v>
      </c>
      <c r="Q21" s="94" t="s">
        <v>896</v>
      </c>
      <c r="R21" s="94" t="s">
        <v>897</v>
      </c>
      <c r="S21" s="94" t="s">
        <v>41</v>
      </c>
      <c r="T21" s="94" t="s">
        <v>913</v>
      </c>
      <c r="U21" s="94" t="s">
        <v>899</v>
      </c>
      <c r="V21" s="94" t="s">
        <v>85</v>
      </c>
      <c r="W21" s="94" t="s">
        <v>914</v>
      </c>
      <c r="X21" s="95" t="s">
        <v>171</v>
      </c>
      <c r="Y21" s="95" t="s">
        <v>171</v>
      </c>
      <c r="Z21" s="95" t="s">
        <v>919</v>
      </c>
    </row>
    <row r="22" spans="1:26" s="105" customFormat="1" ht="108" x14ac:dyDescent="0.25">
      <c r="A22" s="112"/>
      <c r="B22" s="95" t="s">
        <v>892</v>
      </c>
      <c r="C22" s="113" t="s">
        <v>893</v>
      </c>
      <c r="D22" s="114" t="s">
        <v>893</v>
      </c>
      <c r="E22" s="114" t="s">
        <v>893</v>
      </c>
      <c r="F22" s="114" t="s">
        <v>893</v>
      </c>
      <c r="G22" s="114" t="s">
        <v>893</v>
      </c>
      <c r="H22" s="114" t="s">
        <v>893</v>
      </c>
      <c r="I22" s="114" t="s">
        <v>893</v>
      </c>
      <c r="J22" s="114" t="s">
        <v>893</v>
      </c>
      <c r="K22" s="114">
        <v>50000</v>
      </c>
      <c r="L22" s="114">
        <v>52631.57894736842</v>
      </c>
      <c r="M22" s="114" t="s">
        <v>894</v>
      </c>
      <c r="N22" s="114" t="s">
        <v>894</v>
      </c>
      <c r="O22" s="94" t="s">
        <v>917</v>
      </c>
      <c r="P22" s="94" t="s">
        <v>918</v>
      </c>
      <c r="Q22" s="94" t="s">
        <v>896</v>
      </c>
      <c r="R22" s="94" t="s">
        <v>897</v>
      </c>
      <c r="S22" s="94" t="s">
        <v>41</v>
      </c>
      <c r="T22" s="94" t="s">
        <v>913</v>
      </c>
      <c r="U22" s="94" t="s">
        <v>899</v>
      </c>
      <c r="V22" s="94" t="s">
        <v>85</v>
      </c>
      <c r="W22" s="94" t="s">
        <v>914</v>
      </c>
      <c r="X22" s="95" t="s">
        <v>171</v>
      </c>
      <c r="Y22" s="95" t="s">
        <v>171</v>
      </c>
      <c r="Z22" s="95" t="s">
        <v>919</v>
      </c>
    </row>
    <row r="23" spans="1:26" s="105" customFormat="1" ht="108" x14ac:dyDescent="0.25">
      <c r="A23" s="112"/>
      <c r="B23" s="95" t="s">
        <v>892</v>
      </c>
      <c r="C23" s="113" t="s">
        <v>893</v>
      </c>
      <c r="D23" s="114" t="s">
        <v>893</v>
      </c>
      <c r="E23" s="114" t="s">
        <v>893</v>
      </c>
      <c r="F23" s="114" t="s">
        <v>893</v>
      </c>
      <c r="G23" s="114" t="s">
        <v>893</v>
      </c>
      <c r="H23" s="114" t="s">
        <v>893</v>
      </c>
      <c r="I23" s="114" t="s">
        <v>893</v>
      </c>
      <c r="J23" s="114" t="s">
        <v>893</v>
      </c>
      <c r="K23" s="114">
        <v>50000</v>
      </c>
      <c r="L23" s="114">
        <v>52631.57894736842</v>
      </c>
      <c r="M23" s="114" t="s">
        <v>894</v>
      </c>
      <c r="N23" s="114" t="s">
        <v>894</v>
      </c>
      <c r="O23" s="94" t="s">
        <v>917</v>
      </c>
      <c r="P23" s="94" t="s">
        <v>918</v>
      </c>
      <c r="Q23" s="94" t="s">
        <v>896</v>
      </c>
      <c r="R23" s="94" t="s">
        <v>897</v>
      </c>
      <c r="S23" s="94" t="s">
        <v>41</v>
      </c>
      <c r="T23" s="94" t="s">
        <v>913</v>
      </c>
      <c r="U23" s="94" t="s">
        <v>899</v>
      </c>
      <c r="V23" s="94" t="s">
        <v>85</v>
      </c>
      <c r="W23" s="94" t="s">
        <v>914</v>
      </c>
      <c r="X23" s="95" t="s">
        <v>171</v>
      </c>
      <c r="Y23" s="95" t="s">
        <v>171</v>
      </c>
      <c r="Z23" s="95" t="s">
        <v>919</v>
      </c>
    </row>
    <row r="24" spans="1:26" s="105" customFormat="1" ht="60" x14ac:dyDescent="0.25">
      <c r="A24" s="112"/>
      <c r="B24" s="95" t="s">
        <v>892</v>
      </c>
      <c r="C24" s="113" t="s">
        <v>893</v>
      </c>
      <c r="D24" s="114" t="s">
        <v>893</v>
      </c>
      <c r="E24" s="114" t="s">
        <v>893</v>
      </c>
      <c r="F24" s="114" t="s">
        <v>893</v>
      </c>
      <c r="G24" s="114" t="s">
        <v>893</v>
      </c>
      <c r="H24" s="114" t="s">
        <v>893</v>
      </c>
      <c r="I24" s="114" t="s">
        <v>893</v>
      </c>
      <c r="J24" s="114" t="s">
        <v>893</v>
      </c>
      <c r="K24" s="114">
        <v>59849830.560000002</v>
      </c>
      <c r="L24" s="114">
        <v>62999821.642105266</v>
      </c>
      <c r="M24" s="114" t="s">
        <v>894</v>
      </c>
      <c r="N24" s="114" t="s">
        <v>894</v>
      </c>
      <c r="O24" s="94" t="s">
        <v>211</v>
      </c>
      <c r="P24" s="94" t="s">
        <v>920</v>
      </c>
      <c r="Q24" s="94" t="s">
        <v>896</v>
      </c>
      <c r="R24" s="94" t="s">
        <v>897</v>
      </c>
      <c r="S24" s="94" t="s">
        <v>41</v>
      </c>
      <c r="T24" s="94" t="s">
        <v>898</v>
      </c>
      <c r="U24" s="94" t="s">
        <v>899</v>
      </c>
      <c r="V24" s="94" t="s">
        <v>54</v>
      </c>
      <c r="W24" s="94" t="s">
        <v>900</v>
      </c>
      <c r="X24" s="95" t="s">
        <v>171</v>
      </c>
      <c r="Y24" s="95" t="s">
        <v>171</v>
      </c>
      <c r="Z24" s="95" t="s">
        <v>921</v>
      </c>
    </row>
    <row r="25" spans="1:26" s="105" customFormat="1" ht="60" x14ac:dyDescent="0.25">
      <c r="A25" s="112"/>
      <c r="B25" s="95" t="s">
        <v>892</v>
      </c>
      <c r="C25" s="113" t="s">
        <v>893</v>
      </c>
      <c r="D25" s="114" t="s">
        <v>893</v>
      </c>
      <c r="E25" s="114" t="s">
        <v>893</v>
      </c>
      <c r="F25" s="114" t="s">
        <v>893</v>
      </c>
      <c r="G25" s="114" t="s">
        <v>893</v>
      </c>
      <c r="H25" s="114" t="s">
        <v>893</v>
      </c>
      <c r="I25" s="114" t="s">
        <v>893</v>
      </c>
      <c r="J25" s="114" t="s">
        <v>893</v>
      </c>
      <c r="K25" s="114">
        <v>100000000</v>
      </c>
      <c r="L25" s="114">
        <v>105263157.89473684</v>
      </c>
      <c r="M25" s="114" t="s">
        <v>894</v>
      </c>
      <c r="N25" s="114" t="s">
        <v>894</v>
      </c>
      <c r="O25" s="94" t="s">
        <v>211</v>
      </c>
      <c r="P25" s="94" t="s">
        <v>920</v>
      </c>
      <c r="Q25" s="94" t="s">
        <v>896</v>
      </c>
      <c r="R25" s="94" t="s">
        <v>897</v>
      </c>
      <c r="S25" s="94" t="s">
        <v>41</v>
      </c>
      <c r="T25" s="94" t="s">
        <v>898</v>
      </c>
      <c r="U25" s="94" t="s">
        <v>899</v>
      </c>
      <c r="V25" s="94" t="s">
        <v>54</v>
      </c>
      <c r="W25" s="94" t="s">
        <v>900</v>
      </c>
      <c r="X25" s="95" t="s">
        <v>171</v>
      </c>
      <c r="Y25" s="95" t="s">
        <v>171</v>
      </c>
      <c r="Z25" s="95" t="s">
        <v>921</v>
      </c>
    </row>
    <row r="26" spans="1:26" s="105" customFormat="1" ht="96" x14ac:dyDescent="0.25">
      <c r="A26" s="112"/>
      <c r="B26" s="95" t="s">
        <v>892</v>
      </c>
      <c r="C26" s="113" t="s">
        <v>893</v>
      </c>
      <c r="D26" s="114" t="s">
        <v>893</v>
      </c>
      <c r="E26" s="114" t="s">
        <v>893</v>
      </c>
      <c r="F26" s="114" t="s">
        <v>893</v>
      </c>
      <c r="G26" s="114" t="s">
        <v>893</v>
      </c>
      <c r="H26" s="114" t="s">
        <v>893</v>
      </c>
      <c r="I26" s="114" t="s">
        <v>893</v>
      </c>
      <c r="J26" s="114" t="s">
        <v>893</v>
      </c>
      <c r="K26" s="114">
        <v>5000000</v>
      </c>
      <c r="L26" s="114">
        <v>5263157.8947368423</v>
      </c>
      <c r="M26" s="114" t="s">
        <v>894</v>
      </c>
      <c r="N26" s="114" t="s">
        <v>894</v>
      </c>
      <c r="O26" s="94" t="s">
        <v>911</v>
      </c>
      <c r="P26" s="94" t="s">
        <v>922</v>
      </c>
      <c r="Q26" s="94" t="s">
        <v>896</v>
      </c>
      <c r="R26" s="94" t="s">
        <v>897</v>
      </c>
      <c r="S26" s="94" t="s">
        <v>41</v>
      </c>
      <c r="T26" s="94" t="s">
        <v>898</v>
      </c>
      <c r="U26" s="94" t="s">
        <v>923</v>
      </c>
      <c r="V26" s="94" t="s">
        <v>44</v>
      </c>
      <c r="W26" s="94" t="s">
        <v>924</v>
      </c>
      <c r="X26" s="95" t="s">
        <v>171</v>
      </c>
      <c r="Y26" s="95" t="s">
        <v>171</v>
      </c>
      <c r="Z26" s="95" t="s">
        <v>925</v>
      </c>
    </row>
    <row r="27" spans="1:26" s="105" customFormat="1" ht="72" x14ac:dyDescent="0.25">
      <c r="A27" s="112"/>
      <c r="B27" s="95" t="s">
        <v>892</v>
      </c>
      <c r="C27" s="113" t="s">
        <v>893</v>
      </c>
      <c r="D27" s="114" t="s">
        <v>893</v>
      </c>
      <c r="E27" s="114" t="s">
        <v>893</v>
      </c>
      <c r="F27" s="114" t="s">
        <v>893</v>
      </c>
      <c r="G27" s="114" t="s">
        <v>893</v>
      </c>
      <c r="H27" s="114" t="s">
        <v>893</v>
      </c>
      <c r="I27" s="114" t="s">
        <v>893</v>
      </c>
      <c r="J27" s="114" t="s">
        <v>893</v>
      </c>
      <c r="K27" s="114">
        <v>13320000</v>
      </c>
      <c r="L27" s="114">
        <v>14021052.631578948</v>
      </c>
      <c r="M27" s="114" t="s">
        <v>894</v>
      </c>
      <c r="N27" s="114" t="s">
        <v>894</v>
      </c>
      <c r="O27" s="94" t="s">
        <v>917</v>
      </c>
      <c r="P27" s="94" t="s">
        <v>926</v>
      </c>
      <c r="Q27" s="94" t="s">
        <v>896</v>
      </c>
      <c r="R27" s="94" t="s">
        <v>897</v>
      </c>
      <c r="S27" s="94" t="s">
        <v>41</v>
      </c>
      <c r="T27" s="94" t="s">
        <v>913</v>
      </c>
      <c r="U27" s="94" t="s">
        <v>899</v>
      </c>
      <c r="V27" s="94" t="s">
        <v>193</v>
      </c>
      <c r="W27" s="94" t="s">
        <v>904</v>
      </c>
      <c r="X27" s="95" t="s">
        <v>171</v>
      </c>
      <c r="Y27" s="95" t="s">
        <v>171</v>
      </c>
      <c r="Z27" s="95" t="s">
        <v>927</v>
      </c>
    </row>
    <row r="28" spans="1:26" s="105" customFormat="1" ht="72" x14ac:dyDescent="0.25">
      <c r="A28" s="112"/>
      <c r="B28" s="95" t="s">
        <v>892</v>
      </c>
      <c r="C28" s="113" t="s">
        <v>893</v>
      </c>
      <c r="D28" s="114" t="s">
        <v>893</v>
      </c>
      <c r="E28" s="114" t="s">
        <v>893</v>
      </c>
      <c r="F28" s="114" t="s">
        <v>893</v>
      </c>
      <c r="G28" s="114" t="s">
        <v>893</v>
      </c>
      <c r="H28" s="114" t="s">
        <v>893</v>
      </c>
      <c r="I28" s="114" t="s">
        <v>893</v>
      </c>
      <c r="J28" s="114" t="s">
        <v>893</v>
      </c>
      <c r="K28" s="114">
        <v>13320000</v>
      </c>
      <c r="L28" s="114">
        <v>14021052.631578948</v>
      </c>
      <c r="M28" s="114" t="s">
        <v>894</v>
      </c>
      <c r="N28" s="114" t="s">
        <v>894</v>
      </c>
      <c r="O28" s="94" t="s">
        <v>917</v>
      </c>
      <c r="P28" s="94" t="s">
        <v>926</v>
      </c>
      <c r="Q28" s="94" t="s">
        <v>896</v>
      </c>
      <c r="R28" s="94" t="s">
        <v>897</v>
      </c>
      <c r="S28" s="94" t="s">
        <v>41</v>
      </c>
      <c r="T28" s="94" t="s">
        <v>913</v>
      </c>
      <c r="U28" s="94" t="s">
        <v>899</v>
      </c>
      <c r="V28" s="94" t="s">
        <v>193</v>
      </c>
      <c r="W28" s="94" t="s">
        <v>904</v>
      </c>
      <c r="X28" s="95" t="s">
        <v>171</v>
      </c>
      <c r="Y28" s="95" t="s">
        <v>171</v>
      </c>
      <c r="Z28" s="95" t="s">
        <v>927</v>
      </c>
    </row>
    <row r="29" spans="1:26" s="105" customFormat="1" ht="96" x14ac:dyDescent="0.25">
      <c r="A29" s="112"/>
      <c r="B29" s="95" t="s">
        <v>892</v>
      </c>
      <c r="C29" s="113" t="s">
        <v>893</v>
      </c>
      <c r="D29" s="114" t="s">
        <v>893</v>
      </c>
      <c r="E29" s="114" t="s">
        <v>893</v>
      </c>
      <c r="F29" s="114" t="s">
        <v>893</v>
      </c>
      <c r="G29" s="114" t="s">
        <v>893</v>
      </c>
      <c r="H29" s="114" t="s">
        <v>893</v>
      </c>
      <c r="I29" s="114" t="s">
        <v>893</v>
      </c>
      <c r="J29" s="114" t="s">
        <v>893</v>
      </c>
      <c r="K29" s="114">
        <v>15000000</v>
      </c>
      <c r="L29" s="114">
        <v>15789473.684210528</v>
      </c>
      <c r="M29" s="114" t="s">
        <v>894</v>
      </c>
      <c r="N29" s="114" t="s">
        <v>894</v>
      </c>
      <c r="O29" s="94" t="s">
        <v>496</v>
      </c>
      <c r="P29" s="94" t="s">
        <v>928</v>
      </c>
      <c r="Q29" s="94" t="s">
        <v>896</v>
      </c>
      <c r="R29" s="94" t="s">
        <v>897</v>
      </c>
      <c r="S29" s="94" t="s">
        <v>41</v>
      </c>
      <c r="T29" s="94" t="s">
        <v>898</v>
      </c>
      <c r="U29" s="94" t="s">
        <v>899</v>
      </c>
      <c r="V29" s="94" t="s">
        <v>54</v>
      </c>
      <c r="W29" s="94" t="s">
        <v>900</v>
      </c>
      <c r="X29" s="95" t="s">
        <v>171</v>
      </c>
      <c r="Y29" s="95" t="s">
        <v>171</v>
      </c>
      <c r="Z29" s="95" t="s">
        <v>929</v>
      </c>
    </row>
    <row r="30" spans="1:26" s="105" customFormat="1" ht="108" x14ac:dyDescent="0.25">
      <c r="A30" s="112"/>
      <c r="B30" s="95" t="s">
        <v>892</v>
      </c>
      <c r="C30" s="113" t="s">
        <v>893</v>
      </c>
      <c r="D30" s="114" t="s">
        <v>893</v>
      </c>
      <c r="E30" s="114" t="s">
        <v>893</v>
      </c>
      <c r="F30" s="114" t="s">
        <v>893</v>
      </c>
      <c r="G30" s="114" t="s">
        <v>893</v>
      </c>
      <c r="H30" s="114" t="s">
        <v>893</v>
      </c>
      <c r="I30" s="114" t="s">
        <v>893</v>
      </c>
      <c r="J30" s="114" t="s">
        <v>893</v>
      </c>
      <c r="K30" s="114">
        <v>100000000</v>
      </c>
      <c r="L30" s="114">
        <v>105263157.89473684</v>
      </c>
      <c r="M30" s="114" t="s">
        <v>894</v>
      </c>
      <c r="N30" s="114" t="s">
        <v>894</v>
      </c>
      <c r="O30" s="94" t="s">
        <v>61</v>
      </c>
      <c r="P30" s="94" t="s">
        <v>930</v>
      </c>
      <c r="Q30" s="94" t="s">
        <v>896</v>
      </c>
      <c r="R30" s="94" t="s">
        <v>897</v>
      </c>
      <c r="S30" s="94" t="s">
        <v>41</v>
      </c>
      <c r="T30" s="94" t="s">
        <v>898</v>
      </c>
      <c r="U30" s="94" t="s">
        <v>899</v>
      </c>
      <c r="V30" s="94" t="s">
        <v>193</v>
      </c>
      <c r="W30" s="94" t="s">
        <v>931</v>
      </c>
      <c r="X30" s="95" t="s">
        <v>171</v>
      </c>
      <c r="Y30" s="95" t="s">
        <v>171</v>
      </c>
      <c r="Z30" s="95" t="s">
        <v>932</v>
      </c>
    </row>
    <row r="31" spans="1:26" s="105" customFormat="1" ht="156" x14ac:dyDescent="0.25">
      <c r="A31" s="112"/>
      <c r="B31" s="95" t="s">
        <v>892</v>
      </c>
      <c r="C31" s="113" t="s">
        <v>893</v>
      </c>
      <c r="D31" s="114" t="s">
        <v>893</v>
      </c>
      <c r="E31" s="114" t="s">
        <v>893</v>
      </c>
      <c r="F31" s="114" t="s">
        <v>893</v>
      </c>
      <c r="G31" s="114" t="s">
        <v>893</v>
      </c>
      <c r="H31" s="114" t="s">
        <v>893</v>
      </c>
      <c r="I31" s="114" t="s">
        <v>893</v>
      </c>
      <c r="J31" s="114" t="s">
        <v>893</v>
      </c>
      <c r="K31" s="114">
        <v>227500</v>
      </c>
      <c r="L31" s="114">
        <v>239473.68421052632</v>
      </c>
      <c r="M31" s="114" t="s">
        <v>894</v>
      </c>
      <c r="N31" s="114" t="s">
        <v>894</v>
      </c>
      <c r="O31" s="94" t="s">
        <v>635</v>
      </c>
      <c r="P31" s="94" t="s">
        <v>933</v>
      </c>
      <c r="Q31" s="94" t="s">
        <v>896</v>
      </c>
      <c r="R31" s="94" t="s">
        <v>897</v>
      </c>
      <c r="S31" s="94" t="s">
        <v>41</v>
      </c>
      <c r="T31" s="94" t="s">
        <v>898</v>
      </c>
      <c r="U31" s="94" t="s">
        <v>899</v>
      </c>
      <c r="V31" s="94" t="s">
        <v>44</v>
      </c>
      <c r="W31" s="94" t="s">
        <v>924</v>
      </c>
      <c r="X31" s="95" t="s">
        <v>171</v>
      </c>
      <c r="Y31" s="95" t="s">
        <v>171</v>
      </c>
      <c r="Z31" s="95" t="s">
        <v>934</v>
      </c>
    </row>
    <row r="32" spans="1:26" s="105" customFormat="1" ht="60" x14ac:dyDescent="0.25">
      <c r="A32" s="112"/>
      <c r="B32" s="95" t="s">
        <v>892</v>
      </c>
      <c r="C32" s="113" t="s">
        <v>893</v>
      </c>
      <c r="D32" s="114" t="s">
        <v>893</v>
      </c>
      <c r="E32" s="114" t="s">
        <v>893</v>
      </c>
      <c r="F32" s="114" t="s">
        <v>893</v>
      </c>
      <c r="G32" s="114" t="s">
        <v>893</v>
      </c>
      <c r="H32" s="114" t="s">
        <v>893</v>
      </c>
      <c r="I32" s="114" t="s">
        <v>893</v>
      </c>
      <c r="J32" s="114" t="s">
        <v>893</v>
      </c>
      <c r="K32" s="114">
        <v>23800000</v>
      </c>
      <c r="L32" s="114">
        <v>25052631.578947369</v>
      </c>
      <c r="M32" s="114" t="s">
        <v>894</v>
      </c>
      <c r="N32" s="114" t="s">
        <v>894</v>
      </c>
      <c r="O32" s="94" t="s">
        <v>298</v>
      </c>
      <c r="P32" s="94" t="s">
        <v>935</v>
      </c>
      <c r="Q32" s="94" t="s">
        <v>896</v>
      </c>
      <c r="R32" s="94" t="s">
        <v>897</v>
      </c>
      <c r="S32" s="94" t="s">
        <v>41</v>
      </c>
      <c r="T32" s="94" t="s">
        <v>898</v>
      </c>
      <c r="U32" s="94" t="s">
        <v>899</v>
      </c>
      <c r="V32" s="94" t="s">
        <v>54</v>
      </c>
      <c r="W32" s="94" t="s">
        <v>900</v>
      </c>
      <c r="X32" s="95" t="s">
        <v>171</v>
      </c>
      <c r="Y32" s="95" t="s">
        <v>171</v>
      </c>
      <c r="Z32" s="95" t="s">
        <v>936</v>
      </c>
    </row>
    <row r="33" spans="1:26" s="105" customFormat="1" ht="156" x14ac:dyDescent="0.25">
      <c r="A33" s="112"/>
      <c r="B33" s="95" t="s">
        <v>892</v>
      </c>
      <c r="C33" s="113" t="s">
        <v>893</v>
      </c>
      <c r="D33" s="114" t="s">
        <v>893</v>
      </c>
      <c r="E33" s="114" t="s">
        <v>893</v>
      </c>
      <c r="F33" s="114" t="s">
        <v>893</v>
      </c>
      <c r="G33" s="114" t="s">
        <v>893</v>
      </c>
      <c r="H33" s="114" t="s">
        <v>893</v>
      </c>
      <c r="I33" s="114" t="s">
        <v>893</v>
      </c>
      <c r="J33" s="114" t="s">
        <v>893</v>
      </c>
      <c r="K33" s="114">
        <v>3935641.0500000003</v>
      </c>
      <c r="L33" s="114">
        <v>4142780.0526315793</v>
      </c>
      <c r="M33" s="114" t="s">
        <v>894</v>
      </c>
      <c r="N33" s="114" t="s">
        <v>894</v>
      </c>
      <c r="O33" s="94" t="s">
        <v>496</v>
      </c>
      <c r="P33" s="94" t="s">
        <v>937</v>
      </c>
      <c r="Q33" s="94" t="s">
        <v>896</v>
      </c>
      <c r="R33" s="94" t="s">
        <v>897</v>
      </c>
      <c r="S33" s="94" t="s">
        <v>41</v>
      </c>
      <c r="T33" s="94" t="s">
        <v>898</v>
      </c>
      <c r="U33" s="94" t="s">
        <v>923</v>
      </c>
      <c r="V33" s="94" t="s">
        <v>44</v>
      </c>
      <c r="W33" s="94" t="s">
        <v>938</v>
      </c>
      <c r="X33" s="95" t="s">
        <v>171</v>
      </c>
      <c r="Y33" s="95" t="s">
        <v>171</v>
      </c>
      <c r="Z33" s="95" t="s">
        <v>939</v>
      </c>
    </row>
    <row r="34" spans="1:26" s="105" customFormat="1" ht="228" x14ac:dyDescent="0.25">
      <c r="A34" s="112"/>
      <c r="B34" s="95" t="s">
        <v>892</v>
      </c>
      <c r="C34" s="113" t="s">
        <v>893</v>
      </c>
      <c r="D34" s="114" t="s">
        <v>893</v>
      </c>
      <c r="E34" s="114" t="s">
        <v>893</v>
      </c>
      <c r="F34" s="114" t="s">
        <v>893</v>
      </c>
      <c r="G34" s="114" t="s">
        <v>893</v>
      </c>
      <c r="H34" s="114" t="s">
        <v>893</v>
      </c>
      <c r="I34" s="114" t="s">
        <v>893</v>
      </c>
      <c r="J34" s="114" t="s">
        <v>893</v>
      </c>
      <c r="K34" s="114">
        <v>20000000</v>
      </c>
      <c r="L34" s="114">
        <v>21052631.578947369</v>
      </c>
      <c r="M34" s="114" t="s">
        <v>894</v>
      </c>
      <c r="N34" s="114" t="s">
        <v>894</v>
      </c>
      <c r="O34" s="94" t="s">
        <v>879</v>
      </c>
      <c r="P34" s="94" t="s">
        <v>940</v>
      </c>
      <c r="Q34" s="94" t="s">
        <v>896</v>
      </c>
      <c r="R34" s="94" t="s">
        <v>897</v>
      </c>
      <c r="S34" s="94" t="s">
        <v>41</v>
      </c>
      <c r="T34" s="94" t="s">
        <v>898</v>
      </c>
      <c r="U34" s="94" t="s">
        <v>899</v>
      </c>
      <c r="V34" s="94" t="s">
        <v>193</v>
      </c>
      <c r="W34" s="94" t="s">
        <v>941</v>
      </c>
      <c r="X34" s="95" t="s">
        <v>171</v>
      </c>
      <c r="Y34" s="95" t="s">
        <v>171</v>
      </c>
      <c r="Z34" s="95" t="s">
        <v>942</v>
      </c>
    </row>
    <row r="35" spans="1:26" s="105" customFormat="1" ht="60" x14ac:dyDescent="0.25">
      <c r="A35" s="112"/>
      <c r="B35" s="95" t="s">
        <v>892</v>
      </c>
      <c r="C35" s="113" t="s">
        <v>893</v>
      </c>
      <c r="D35" s="114" t="s">
        <v>893</v>
      </c>
      <c r="E35" s="114" t="s">
        <v>893</v>
      </c>
      <c r="F35" s="114" t="s">
        <v>893</v>
      </c>
      <c r="G35" s="114" t="s">
        <v>893</v>
      </c>
      <c r="H35" s="114" t="s">
        <v>893</v>
      </c>
      <c r="I35" s="114" t="s">
        <v>893</v>
      </c>
      <c r="J35" s="114" t="s">
        <v>893</v>
      </c>
      <c r="K35" s="114">
        <v>8400000</v>
      </c>
      <c r="L35" s="114">
        <v>8842105.2631578948</v>
      </c>
      <c r="M35" s="114" t="s">
        <v>894</v>
      </c>
      <c r="N35" s="114" t="s">
        <v>894</v>
      </c>
      <c r="O35" s="94" t="s">
        <v>943</v>
      </c>
      <c r="P35" s="94" t="s">
        <v>944</v>
      </c>
      <c r="Q35" s="94" t="s">
        <v>896</v>
      </c>
      <c r="R35" s="94" t="s">
        <v>897</v>
      </c>
      <c r="S35" s="94" t="s">
        <v>41</v>
      </c>
      <c r="T35" s="94" t="s">
        <v>898</v>
      </c>
      <c r="U35" s="94" t="s">
        <v>945</v>
      </c>
      <c r="V35" s="94" t="s">
        <v>63</v>
      </c>
      <c r="W35" s="94" t="s">
        <v>946</v>
      </c>
      <c r="X35" s="95" t="s">
        <v>171</v>
      </c>
      <c r="Y35" s="95" t="s">
        <v>171</v>
      </c>
      <c r="Z35" s="95" t="s">
        <v>947</v>
      </c>
    </row>
    <row r="36" spans="1:26" s="105" customFormat="1" ht="204" x14ac:dyDescent="0.25">
      <c r="A36" s="112"/>
      <c r="B36" s="95" t="s">
        <v>892</v>
      </c>
      <c r="C36" s="113" t="s">
        <v>893</v>
      </c>
      <c r="D36" s="114" t="s">
        <v>893</v>
      </c>
      <c r="E36" s="114" t="s">
        <v>893</v>
      </c>
      <c r="F36" s="114" t="s">
        <v>893</v>
      </c>
      <c r="G36" s="114" t="s">
        <v>893</v>
      </c>
      <c r="H36" s="114" t="s">
        <v>893</v>
      </c>
      <c r="I36" s="114" t="s">
        <v>893</v>
      </c>
      <c r="J36" s="114" t="s">
        <v>893</v>
      </c>
      <c r="K36" s="114">
        <v>46250000</v>
      </c>
      <c r="L36" s="114">
        <v>48684210.526315793</v>
      </c>
      <c r="M36" s="114" t="s">
        <v>894</v>
      </c>
      <c r="N36" s="114" t="s">
        <v>894</v>
      </c>
      <c r="O36" s="94" t="s">
        <v>789</v>
      </c>
      <c r="P36" s="94" t="s">
        <v>948</v>
      </c>
      <c r="Q36" s="94" t="s">
        <v>896</v>
      </c>
      <c r="R36" s="94" t="s">
        <v>897</v>
      </c>
      <c r="S36" s="94" t="s">
        <v>41</v>
      </c>
      <c r="T36" s="94" t="s">
        <v>898</v>
      </c>
      <c r="U36" s="94" t="s">
        <v>899</v>
      </c>
      <c r="V36" s="94" t="s">
        <v>50</v>
      </c>
      <c r="W36" s="94" t="s">
        <v>949</v>
      </c>
      <c r="X36" s="95" t="s">
        <v>171</v>
      </c>
      <c r="Y36" s="95" t="s">
        <v>171</v>
      </c>
      <c r="Z36" s="95" t="s">
        <v>950</v>
      </c>
    </row>
    <row r="37" spans="1:26" s="105" customFormat="1" ht="252" x14ac:dyDescent="0.25">
      <c r="A37" s="112"/>
      <c r="B37" s="95" t="s">
        <v>892</v>
      </c>
      <c r="C37" s="113" t="s">
        <v>893</v>
      </c>
      <c r="D37" s="114" t="s">
        <v>893</v>
      </c>
      <c r="E37" s="114" t="s">
        <v>893</v>
      </c>
      <c r="F37" s="114" t="s">
        <v>893</v>
      </c>
      <c r="G37" s="114" t="s">
        <v>893</v>
      </c>
      <c r="H37" s="114" t="s">
        <v>893</v>
      </c>
      <c r="I37" s="114" t="s">
        <v>893</v>
      </c>
      <c r="J37" s="114" t="s">
        <v>893</v>
      </c>
      <c r="K37" s="114">
        <v>3200000</v>
      </c>
      <c r="L37" s="114">
        <v>3368421.0526315789</v>
      </c>
      <c r="M37" s="114" t="s">
        <v>894</v>
      </c>
      <c r="N37" s="114" t="s">
        <v>894</v>
      </c>
      <c r="O37" s="94" t="s">
        <v>240</v>
      </c>
      <c r="P37" s="94" t="s">
        <v>951</v>
      </c>
      <c r="Q37" s="94" t="s">
        <v>896</v>
      </c>
      <c r="R37" s="94" t="s">
        <v>897</v>
      </c>
      <c r="S37" s="94" t="s">
        <v>41</v>
      </c>
      <c r="T37" s="94" t="s">
        <v>898</v>
      </c>
      <c r="U37" s="94" t="s">
        <v>923</v>
      </c>
      <c r="V37" s="94" t="s">
        <v>44</v>
      </c>
      <c r="W37" s="94" t="s">
        <v>924</v>
      </c>
      <c r="X37" s="95" t="s">
        <v>171</v>
      </c>
      <c r="Y37" s="95" t="s">
        <v>171</v>
      </c>
      <c r="Z37" s="95" t="s">
        <v>952</v>
      </c>
    </row>
    <row r="38" spans="1:26" s="105" customFormat="1" ht="108" x14ac:dyDescent="0.25">
      <c r="A38" s="112"/>
      <c r="B38" s="95" t="s">
        <v>892</v>
      </c>
      <c r="C38" s="113" t="s">
        <v>893</v>
      </c>
      <c r="D38" s="114" t="s">
        <v>893</v>
      </c>
      <c r="E38" s="114" t="s">
        <v>893</v>
      </c>
      <c r="F38" s="114" t="s">
        <v>893</v>
      </c>
      <c r="G38" s="114" t="s">
        <v>893</v>
      </c>
      <c r="H38" s="114" t="s">
        <v>893</v>
      </c>
      <c r="I38" s="114" t="s">
        <v>893</v>
      </c>
      <c r="J38" s="114" t="s">
        <v>893</v>
      </c>
      <c r="K38" s="114">
        <v>2132017.7400000002</v>
      </c>
      <c r="L38" s="114">
        <v>2244229.2000000002</v>
      </c>
      <c r="M38" s="114" t="s">
        <v>894</v>
      </c>
      <c r="N38" s="114" t="s">
        <v>894</v>
      </c>
      <c r="O38" s="94" t="s">
        <v>381</v>
      </c>
      <c r="P38" s="94" t="s">
        <v>953</v>
      </c>
      <c r="Q38" s="94" t="s">
        <v>896</v>
      </c>
      <c r="R38" s="94" t="s">
        <v>897</v>
      </c>
      <c r="S38" s="94" t="s">
        <v>41</v>
      </c>
      <c r="T38" s="94" t="s">
        <v>898</v>
      </c>
      <c r="U38" s="94" t="s">
        <v>945</v>
      </c>
      <c r="V38" s="94" t="s">
        <v>44</v>
      </c>
      <c r="W38" s="94" t="s">
        <v>954</v>
      </c>
      <c r="X38" s="95" t="s">
        <v>171</v>
      </c>
      <c r="Y38" s="95" t="s">
        <v>171</v>
      </c>
      <c r="Z38" s="95" t="s">
        <v>955</v>
      </c>
    </row>
    <row r="39" spans="1:26" s="105" customFormat="1" ht="108" x14ac:dyDescent="0.25">
      <c r="A39" s="112"/>
      <c r="B39" s="95" t="s">
        <v>892</v>
      </c>
      <c r="C39" s="113" t="s">
        <v>893</v>
      </c>
      <c r="D39" s="114" t="s">
        <v>893</v>
      </c>
      <c r="E39" s="114" t="s">
        <v>893</v>
      </c>
      <c r="F39" s="114" t="s">
        <v>893</v>
      </c>
      <c r="G39" s="114" t="s">
        <v>893</v>
      </c>
      <c r="H39" s="114" t="s">
        <v>893</v>
      </c>
      <c r="I39" s="114" t="s">
        <v>893</v>
      </c>
      <c r="J39" s="114" t="s">
        <v>893</v>
      </c>
      <c r="K39" s="114">
        <v>501592.30987525004</v>
      </c>
      <c r="L39" s="114">
        <v>527991.90513184213</v>
      </c>
      <c r="M39" s="114" t="s">
        <v>894</v>
      </c>
      <c r="N39" s="114" t="s">
        <v>894</v>
      </c>
      <c r="O39" s="94" t="s">
        <v>956</v>
      </c>
      <c r="P39" s="94" t="s">
        <v>957</v>
      </c>
      <c r="Q39" s="94" t="s">
        <v>896</v>
      </c>
      <c r="R39" s="94" t="s">
        <v>897</v>
      </c>
      <c r="S39" s="94" t="s">
        <v>41</v>
      </c>
      <c r="T39" s="94" t="s">
        <v>898</v>
      </c>
      <c r="U39" s="94" t="s">
        <v>945</v>
      </c>
      <c r="V39" s="94" t="s">
        <v>44</v>
      </c>
      <c r="W39" s="94" t="s">
        <v>924</v>
      </c>
      <c r="X39" s="95" t="s">
        <v>171</v>
      </c>
      <c r="Y39" s="95" t="s">
        <v>171</v>
      </c>
      <c r="Z39" s="95" t="s">
        <v>958</v>
      </c>
    </row>
    <row r="40" spans="1:26" s="105" customFormat="1" ht="396" x14ac:dyDescent="0.25">
      <c r="A40" s="112"/>
      <c r="B40" s="95" t="s">
        <v>892</v>
      </c>
      <c r="C40" s="113" t="s">
        <v>893</v>
      </c>
      <c r="D40" s="114" t="s">
        <v>893</v>
      </c>
      <c r="E40" s="114" t="s">
        <v>893</v>
      </c>
      <c r="F40" s="114" t="s">
        <v>893</v>
      </c>
      <c r="G40" s="114" t="s">
        <v>893</v>
      </c>
      <c r="H40" s="114" t="s">
        <v>893</v>
      </c>
      <c r="I40" s="114" t="s">
        <v>893</v>
      </c>
      <c r="J40" s="114" t="s">
        <v>893</v>
      </c>
      <c r="K40" s="114">
        <v>431184.80000000005</v>
      </c>
      <c r="L40" s="114">
        <v>453878.73684210534</v>
      </c>
      <c r="M40" s="114" t="s">
        <v>894</v>
      </c>
      <c r="N40" s="114" t="s">
        <v>894</v>
      </c>
      <c r="O40" s="94" t="s">
        <v>917</v>
      </c>
      <c r="P40" s="94" t="s">
        <v>959</v>
      </c>
      <c r="Q40" s="94" t="s">
        <v>896</v>
      </c>
      <c r="R40" s="94" t="s">
        <v>897</v>
      </c>
      <c r="S40" s="94" t="s">
        <v>41</v>
      </c>
      <c r="T40" s="94" t="s">
        <v>913</v>
      </c>
      <c r="U40" s="94" t="s">
        <v>899</v>
      </c>
      <c r="V40" s="94" t="s">
        <v>193</v>
      </c>
      <c r="W40" s="94" t="s">
        <v>904</v>
      </c>
      <c r="X40" s="95" t="s">
        <v>171</v>
      </c>
      <c r="Y40" s="95" t="s">
        <v>171</v>
      </c>
      <c r="Z40" s="95" t="s">
        <v>960</v>
      </c>
    </row>
    <row r="41" spans="1:26" s="105" customFormat="1" ht="180" x14ac:dyDescent="0.25">
      <c r="A41" s="112"/>
      <c r="B41" s="95" t="s">
        <v>892</v>
      </c>
      <c r="C41" s="113" t="s">
        <v>893</v>
      </c>
      <c r="D41" s="114" t="s">
        <v>893</v>
      </c>
      <c r="E41" s="114" t="s">
        <v>893</v>
      </c>
      <c r="F41" s="114" t="s">
        <v>893</v>
      </c>
      <c r="G41" s="114" t="s">
        <v>893</v>
      </c>
      <c r="H41" s="114" t="s">
        <v>893</v>
      </c>
      <c r="I41" s="114" t="s">
        <v>893</v>
      </c>
      <c r="J41" s="114" t="s">
        <v>893</v>
      </c>
      <c r="K41" s="114">
        <v>1562836.0492456001</v>
      </c>
      <c r="L41" s="114">
        <v>1645090.5781532633</v>
      </c>
      <c r="M41" s="114" t="s">
        <v>894</v>
      </c>
      <c r="N41" s="114" t="s">
        <v>894</v>
      </c>
      <c r="O41" s="94" t="s">
        <v>961</v>
      </c>
      <c r="P41" s="94" t="s">
        <v>962</v>
      </c>
      <c r="Q41" s="94" t="s">
        <v>896</v>
      </c>
      <c r="R41" s="94" t="s">
        <v>897</v>
      </c>
      <c r="S41" s="94" t="s">
        <v>41</v>
      </c>
      <c r="T41" s="94" t="s">
        <v>898</v>
      </c>
      <c r="U41" s="94" t="s">
        <v>945</v>
      </c>
      <c r="V41" s="94" t="s">
        <v>44</v>
      </c>
      <c r="W41" s="94" t="s">
        <v>924</v>
      </c>
      <c r="X41" s="95" t="s">
        <v>171</v>
      </c>
      <c r="Y41" s="95" t="s">
        <v>171</v>
      </c>
      <c r="Z41" s="95" t="s">
        <v>963</v>
      </c>
    </row>
    <row r="42" spans="1:26" s="105" customFormat="1" ht="192" x14ac:dyDescent="0.25">
      <c r="A42" s="112"/>
      <c r="B42" s="95" t="s">
        <v>892</v>
      </c>
      <c r="C42" s="113" t="s">
        <v>893</v>
      </c>
      <c r="D42" s="114" t="s">
        <v>893</v>
      </c>
      <c r="E42" s="114" t="s">
        <v>893</v>
      </c>
      <c r="F42" s="114" t="s">
        <v>893</v>
      </c>
      <c r="G42" s="114" t="s">
        <v>893</v>
      </c>
      <c r="H42" s="114" t="s">
        <v>893</v>
      </c>
      <c r="I42" s="114" t="s">
        <v>893</v>
      </c>
      <c r="J42" s="114" t="s">
        <v>893</v>
      </c>
      <c r="K42" s="114">
        <v>15082848</v>
      </c>
      <c r="L42" s="114">
        <v>15876682.105263159</v>
      </c>
      <c r="M42" s="114" t="s">
        <v>894</v>
      </c>
      <c r="N42" s="114" t="s">
        <v>894</v>
      </c>
      <c r="O42" s="94" t="s">
        <v>388</v>
      </c>
      <c r="P42" s="94" t="s">
        <v>964</v>
      </c>
      <c r="Q42" s="94" t="s">
        <v>896</v>
      </c>
      <c r="R42" s="94" t="s">
        <v>897</v>
      </c>
      <c r="S42" s="94" t="s">
        <v>41</v>
      </c>
      <c r="T42" s="94" t="s">
        <v>898</v>
      </c>
      <c r="U42" s="94" t="s">
        <v>899</v>
      </c>
      <c r="V42" s="94" t="s">
        <v>54</v>
      </c>
      <c r="W42" s="94" t="s">
        <v>900</v>
      </c>
      <c r="X42" s="95" t="s">
        <v>171</v>
      </c>
      <c r="Y42" s="95" t="s">
        <v>171</v>
      </c>
      <c r="Z42" s="95" t="s">
        <v>965</v>
      </c>
    </row>
    <row r="43" spans="1:26" s="105" customFormat="1" ht="72" x14ac:dyDescent="0.25">
      <c r="A43" s="112"/>
      <c r="B43" s="95" t="s">
        <v>892</v>
      </c>
      <c r="C43" s="113" t="s">
        <v>893</v>
      </c>
      <c r="D43" s="114" t="s">
        <v>893</v>
      </c>
      <c r="E43" s="114" t="s">
        <v>893</v>
      </c>
      <c r="F43" s="114" t="s">
        <v>893</v>
      </c>
      <c r="G43" s="114" t="s">
        <v>893</v>
      </c>
      <c r="H43" s="114" t="s">
        <v>893</v>
      </c>
      <c r="I43" s="114" t="s">
        <v>893</v>
      </c>
      <c r="J43" s="114" t="s">
        <v>893</v>
      </c>
      <c r="K43" s="114">
        <v>2400000</v>
      </c>
      <c r="L43" s="114">
        <v>2526315.7894736845</v>
      </c>
      <c r="M43" s="114" t="s">
        <v>894</v>
      </c>
      <c r="N43" s="114" t="s">
        <v>894</v>
      </c>
      <c r="O43" s="94" t="s">
        <v>61</v>
      </c>
      <c r="P43" s="94" t="s">
        <v>966</v>
      </c>
      <c r="Q43" s="94" t="s">
        <v>896</v>
      </c>
      <c r="R43" s="94" t="s">
        <v>897</v>
      </c>
      <c r="S43" s="94" t="s">
        <v>41</v>
      </c>
      <c r="T43" s="94" t="s">
        <v>898</v>
      </c>
      <c r="U43" s="94" t="s">
        <v>923</v>
      </c>
      <c r="V43" s="94" t="s">
        <v>44</v>
      </c>
      <c r="W43" s="94" t="s">
        <v>924</v>
      </c>
      <c r="X43" s="95" t="s">
        <v>171</v>
      </c>
      <c r="Y43" s="95" t="s">
        <v>171</v>
      </c>
      <c r="Z43" s="95" t="s">
        <v>967</v>
      </c>
    </row>
    <row r="44" spans="1:26" s="105" customFormat="1" ht="132" x14ac:dyDescent="0.25">
      <c r="A44" s="112"/>
      <c r="B44" s="95" t="s">
        <v>892</v>
      </c>
      <c r="C44" s="113" t="s">
        <v>893</v>
      </c>
      <c r="D44" s="114" t="s">
        <v>893</v>
      </c>
      <c r="E44" s="114" t="s">
        <v>893</v>
      </c>
      <c r="F44" s="114" t="s">
        <v>893</v>
      </c>
      <c r="G44" s="114" t="s">
        <v>893</v>
      </c>
      <c r="H44" s="114" t="s">
        <v>893</v>
      </c>
      <c r="I44" s="114" t="s">
        <v>893</v>
      </c>
      <c r="J44" s="114" t="s">
        <v>893</v>
      </c>
      <c r="K44" s="114">
        <v>7934233.8200000003</v>
      </c>
      <c r="L44" s="114">
        <v>8351825.0736842109</v>
      </c>
      <c r="M44" s="114" t="s">
        <v>894</v>
      </c>
      <c r="N44" s="114" t="s">
        <v>894</v>
      </c>
      <c r="O44" s="94" t="s">
        <v>943</v>
      </c>
      <c r="P44" s="94" t="s">
        <v>968</v>
      </c>
      <c r="Q44" s="94" t="s">
        <v>896</v>
      </c>
      <c r="R44" s="94" t="s">
        <v>897</v>
      </c>
      <c r="S44" s="94" t="s">
        <v>41</v>
      </c>
      <c r="T44" s="94" t="s">
        <v>898</v>
      </c>
      <c r="U44" s="94" t="s">
        <v>899</v>
      </c>
      <c r="V44" s="94" t="s">
        <v>54</v>
      </c>
      <c r="W44" s="94" t="s">
        <v>900</v>
      </c>
      <c r="X44" s="95" t="s">
        <v>171</v>
      </c>
      <c r="Y44" s="95" t="s">
        <v>171</v>
      </c>
      <c r="Z44" s="95" t="s">
        <v>969</v>
      </c>
    </row>
    <row r="45" spans="1:26" s="105" customFormat="1" ht="228" x14ac:dyDescent="0.25">
      <c r="A45" s="112"/>
      <c r="B45" s="95" t="s">
        <v>892</v>
      </c>
      <c r="C45" s="113" t="s">
        <v>893</v>
      </c>
      <c r="D45" s="114" t="s">
        <v>893</v>
      </c>
      <c r="E45" s="114" t="s">
        <v>893</v>
      </c>
      <c r="F45" s="114" t="s">
        <v>893</v>
      </c>
      <c r="G45" s="114" t="s">
        <v>893</v>
      </c>
      <c r="H45" s="114" t="s">
        <v>893</v>
      </c>
      <c r="I45" s="114" t="s">
        <v>893</v>
      </c>
      <c r="J45" s="114" t="s">
        <v>893</v>
      </c>
      <c r="K45" s="114">
        <v>7475362.0788000003</v>
      </c>
      <c r="L45" s="114">
        <v>7868802.1882105265</v>
      </c>
      <c r="M45" s="114" t="s">
        <v>894</v>
      </c>
      <c r="N45" s="114" t="s">
        <v>894</v>
      </c>
      <c r="O45" s="94" t="s">
        <v>270</v>
      </c>
      <c r="P45" s="94" t="s">
        <v>970</v>
      </c>
      <c r="Q45" s="94" t="s">
        <v>896</v>
      </c>
      <c r="R45" s="94" t="s">
        <v>897</v>
      </c>
      <c r="S45" s="94" t="s">
        <v>679</v>
      </c>
      <c r="T45" s="94" t="s">
        <v>898</v>
      </c>
      <c r="U45" s="94" t="s">
        <v>899</v>
      </c>
      <c r="V45" s="94" t="s">
        <v>193</v>
      </c>
      <c r="W45" s="94" t="s">
        <v>971</v>
      </c>
      <c r="X45" s="95" t="s">
        <v>171</v>
      </c>
      <c r="Y45" s="95" t="s">
        <v>171</v>
      </c>
      <c r="Z45" s="95" t="s">
        <v>972</v>
      </c>
    </row>
    <row r="46" spans="1:26" s="105" customFormat="1" ht="60" x14ac:dyDescent="0.25">
      <c r="A46" s="112"/>
      <c r="B46" s="95" t="s">
        <v>892</v>
      </c>
      <c r="C46" s="113" t="s">
        <v>893</v>
      </c>
      <c r="D46" s="114" t="s">
        <v>893</v>
      </c>
      <c r="E46" s="114" t="s">
        <v>893</v>
      </c>
      <c r="F46" s="114" t="s">
        <v>893</v>
      </c>
      <c r="G46" s="114" t="s">
        <v>893</v>
      </c>
      <c r="H46" s="114" t="s">
        <v>893</v>
      </c>
      <c r="I46" s="114" t="s">
        <v>893</v>
      </c>
      <c r="J46" s="114" t="s">
        <v>893</v>
      </c>
      <c r="K46" s="114">
        <v>3454528.7238980001</v>
      </c>
      <c r="L46" s="114">
        <v>3636346.0251557897</v>
      </c>
      <c r="M46" s="114" t="s">
        <v>894</v>
      </c>
      <c r="N46" s="114" t="s">
        <v>894</v>
      </c>
      <c r="O46" s="94" t="s">
        <v>973</v>
      </c>
      <c r="P46" s="94" t="s">
        <v>974</v>
      </c>
      <c r="Q46" s="94" t="s">
        <v>896</v>
      </c>
      <c r="R46" s="94" t="s">
        <v>897</v>
      </c>
      <c r="S46" s="94" t="s">
        <v>41</v>
      </c>
      <c r="T46" s="94" t="s">
        <v>913</v>
      </c>
      <c r="U46" s="94" t="s">
        <v>945</v>
      </c>
      <c r="V46" s="94" t="s">
        <v>85</v>
      </c>
      <c r="W46" s="94" t="s">
        <v>975</v>
      </c>
      <c r="X46" s="95" t="s">
        <v>171</v>
      </c>
      <c r="Y46" s="95" t="s">
        <v>171</v>
      </c>
      <c r="Z46" s="95" t="s">
        <v>976</v>
      </c>
    </row>
    <row r="47" spans="1:26" s="105" customFormat="1" ht="72" x14ac:dyDescent="0.25">
      <c r="A47" s="112"/>
      <c r="B47" s="95" t="s">
        <v>892</v>
      </c>
      <c r="C47" s="113" t="s">
        <v>893</v>
      </c>
      <c r="D47" s="114" t="s">
        <v>893</v>
      </c>
      <c r="E47" s="114" t="s">
        <v>893</v>
      </c>
      <c r="F47" s="114" t="s">
        <v>893</v>
      </c>
      <c r="G47" s="114" t="s">
        <v>893</v>
      </c>
      <c r="H47" s="114" t="s">
        <v>893</v>
      </c>
      <c r="I47" s="114" t="s">
        <v>893</v>
      </c>
      <c r="J47" s="114" t="s">
        <v>893</v>
      </c>
      <c r="K47" s="114">
        <v>2420000</v>
      </c>
      <c r="L47" s="114">
        <v>2547368.4210526319</v>
      </c>
      <c r="M47" s="114" t="s">
        <v>894</v>
      </c>
      <c r="N47" s="114" t="s">
        <v>894</v>
      </c>
      <c r="O47" s="94" t="s">
        <v>917</v>
      </c>
      <c r="P47" s="94" t="s">
        <v>977</v>
      </c>
      <c r="Q47" s="94" t="s">
        <v>896</v>
      </c>
      <c r="R47" s="94" t="s">
        <v>897</v>
      </c>
      <c r="S47" s="94" t="s">
        <v>41</v>
      </c>
      <c r="T47" s="94" t="s">
        <v>913</v>
      </c>
      <c r="U47" s="94" t="s">
        <v>945</v>
      </c>
      <c r="V47" s="94" t="s">
        <v>85</v>
      </c>
      <c r="W47" s="94" t="s">
        <v>975</v>
      </c>
      <c r="X47" s="95" t="s">
        <v>171</v>
      </c>
      <c r="Y47" s="95" t="s">
        <v>171</v>
      </c>
      <c r="Z47" s="95" t="s">
        <v>978</v>
      </c>
    </row>
    <row r="48" spans="1:26" s="105" customFormat="1" ht="72" x14ac:dyDescent="0.25">
      <c r="A48" s="112"/>
      <c r="B48" s="95" t="s">
        <v>892</v>
      </c>
      <c r="C48" s="113" t="s">
        <v>893</v>
      </c>
      <c r="D48" s="114" t="s">
        <v>893</v>
      </c>
      <c r="E48" s="114" t="s">
        <v>893</v>
      </c>
      <c r="F48" s="114" t="s">
        <v>893</v>
      </c>
      <c r="G48" s="114" t="s">
        <v>893</v>
      </c>
      <c r="H48" s="114" t="s">
        <v>893</v>
      </c>
      <c r="I48" s="114" t="s">
        <v>893</v>
      </c>
      <c r="J48" s="114" t="s">
        <v>893</v>
      </c>
      <c r="K48" s="114">
        <v>2420000</v>
      </c>
      <c r="L48" s="114">
        <v>2547368.4210526319</v>
      </c>
      <c r="M48" s="114" t="s">
        <v>894</v>
      </c>
      <c r="N48" s="114" t="s">
        <v>894</v>
      </c>
      <c r="O48" s="94" t="s">
        <v>917</v>
      </c>
      <c r="P48" s="94" t="s">
        <v>977</v>
      </c>
      <c r="Q48" s="94" t="s">
        <v>896</v>
      </c>
      <c r="R48" s="94" t="s">
        <v>897</v>
      </c>
      <c r="S48" s="94" t="s">
        <v>41</v>
      </c>
      <c r="T48" s="94" t="s">
        <v>913</v>
      </c>
      <c r="U48" s="94" t="s">
        <v>945</v>
      </c>
      <c r="V48" s="94" t="s">
        <v>85</v>
      </c>
      <c r="W48" s="94" t="s">
        <v>975</v>
      </c>
      <c r="X48" s="95" t="s">
        <v>171</v>
      </c>
      <c r="Y48" s="95" t="s">
        <v>171</v>
      </c>
      <c r="Z48" s="95" t="s">
        <v>978</v>
      </c>
    </row>
    <row r="49" spans="1:26" s="105" customFormat="1" ht="96" x14ac:dyDescent="0.25">
      <c r="A49" s="112"/>
      <c r="B49" s="95" t="s">
        <v>892</v>
      </c>
      <c r="C49" s="113" t="s">
        <v>893</v>
      </c>
      <c r="D49" s="114" t="s">
        <v>893</v>
      </c>
      <c r="E49" s="114" t="s">
        <v>893</v>
      </c>
      <c r="F49" s="114" t="s">
        <v>893</v>
      </c>
      <c r="G49" s="114" t="s">
        <v>893</v>
      </c>
      <c r="H49" s="114" t="s">
        <v>893</v>
      </c>
      <c r="I49" s="114" t="s">
        <v>893</v>
      </c>
      <c r="J49" s="114" t="s">
        <v>893</v>
      </c>
      <c r="K49" s="114">
        <v>5617939.0800000001</v>
      </c>
      <c r="L49" s="114">
        <v>5913620.0842105271</v>
      </c>
      <c r="M49" s="114" t="s">
        <v>894</v>
      </c>
      <c r="N49" s="114" t="s">
        <v>894</v>
      </c>
      <c r="O49" s="94" t="s">
        <v>81</v>
      </c>
      <c r="P49" s="94" t="s">
        <v>979</v>
      </c>
      <c r="Q49" s="94" t="s">
        <v>896</v>
      </c>
      <c r="R49" s="94" t="s">
        <v>897</v>
      </c>
      <c r="S49" s="94" t="s">
        <v>41</v>
      </c>
      <c r="T49" s="94" t="s">
        <v>898</v>
      </c>
      <c r="U49" s="94" t="s">
        <v>899</v>
      </c>
      <c r="V49" s="94" t="s">
        <v>193</v>
      </c>
      <c r="W49" s="94" t="s">
        <v>980</v>
      </c>
      <c r="X49" s="95" t="s">
        <v>171</v>
      </c>
      <c r="Y49" s="95" t="s">
        <v>171</v>
      </c>
      <c r="Z49" s="95" t="s">
        <v>981</v>
      </c>
    </row>
    <row r="50" spans="1:26" s="105" customFormat="1" ht="60" x14ac:dyDescent="0.25">
      <c r="A50" s="112"/>
      <c r="B50" s="95" t="s">
        <v>892</v>
      </c>
      <c r="C50" s="113" t="s">
        <v>893</v>
      </c>
      <c r="D50" s="114" t="s">
        <v>893</v>
      </c>
      <c r="E50" s="114" t="s">
        <v>893</v>
      </c>
      <c r="F50" s="114" t="s">
        <v>893</v>
      </c>
      <c r="G50" s="114" t="s">
        <v>893</v>
      </c>
      <c r="H50" s="114" t="s">
        <v>893</v>
      </c>
      <c r="I50" s="114" t="s">
        <v>893</v>
      </c>
      <c r="J50" s="114" t="s">
        <v>893</v>
      </c>
      <c r="K50" s="114">
        <v>133699999.99999999</v>
      </c>
      <c r="L50" s="114">
        <v>140736842.10526314</v>
      </c>
      <c r="M50" s="114" t="s">
        <v>894</v>
      </c>
      <c r="N50" s="114" t="s">
        <v>894</v>
      </c>
      <c r="O50" s="94" t="s">
        <v>789</v>
      </c>
      <c r="P50" s="94" t="s">
        <v>982</v>
      </c>
      <c r="Q50" s="94" t="s">
        <v>896</v>
      </c>
      <c r="R50" s="94" t="s">
        <v>897</v>
      </c>
      <c r="S50" s="94" t="s">
        <v>41</v>
      </c>
      <c r="T50" s="94" t="s">
        <v>898</v>
      </c>
      <c r="U50" s="94" t="s">
        <v>945</v>
      </c>
      <c r="V50" s="94" t="s">
        <v>63</v>
      </c>
      <c r="W50" s="94" t="s">
        <v>975</v>
      </c>
      <c r="X50" s="95" t="s">
        <v>171</v>
      </c>
      <c r="Y50" s="95" t="s">
        <v>171</v>
      </c>
      <c r="Z50" s="95" t="s">
        <v>983</v>
      </c>
    </row>
    <row r="51" spans="1:26" s="105" customFormat="1" ht="60" x14ac:dyDescent="0.25">
      <c r="A51" s="112"/>
      <c r="B51" s="95" t="s">
        <v>892</v>
      </c>
      <c r="C51" s="113" t="s">
        <v>893</v>
      </c>
      <c r="D51" s="114" t="s">
        <v>893</v>
      </c>
      <c r="E51" s="114" t="s">
        <v>893</v>
      </c>
      <c r="F51" s="114" t="s">
        <v>893</v>
      </c>
      <c r="G51" s="114" t="s">
        <v>893</v>
      </c>
      <c r="H51" s="114" t="s">
        <v>893</v>
      </c>
      <c r="I51" s="114" t="s">
        <v>893</v>
      </c>
      <c r="J51" s="114" t="s">
        <v>893</v>
      </c>
      <c r="K51" s="114">
        <v>1651154.9600000002</v>
      </c>
      <c r="L51" s="114">
        <v>1738057.8526315792</v>
      </c>
      <c r="M51" s="114" t="s">
        <v>894</v>
      </c>
      <c r="N51" s="114" t="s">
        <v>894</v>
      </c>
      <c r="O51" s="94" t="s">
        <v>425</v>
      </c>
      <c r="P51" s="94" t="s">
        <v>984</v>
      </c>
      <c r="Q51" s="94" t="s">
        <v>896</v>
      </c>
      <c r="R51" s="94" t="s">
        <v>897</v>
      </c>
      <c r="S51" s="94" t="s">
        <v>679</v>
      </c>
      <c r="T51" s="94" t="s">
        <v>898</v>
      </c>
      <c r="U51" s="94" t="s">
        <v>923</v>
      </c>
      <c r="V51" s="94" t="s">
        <v>54</v>
      </c>
      <c r="W51" s="94" t="e">
        <v>#N/A</v>
      </c>
      <c r="X51" s="95" t="s">
        <v>171</v>
      </c>
      <c r="Y51" s="95" t="s">
        <v>171</v>
      </c>
      <c r="Z51" s="95" t="s">
        <v>985</v>
      </c>
    </row>
    <row r="52" spans="1:26" s="105" customFormat="1" ht="108" x14ac:dyDescent="0.25">
      <c r="A52" s="112"/>
      <c r="B52" s="95" t="s">
        <v>892</v>
      </c>
      <c r="C52" s="113" t="s">
        <v>893</v>
      </c>
      <c r="D52" s="114" t="s">
        <v>893</v>
      </c>
      <c r="E52" s="114" t="s">
        <v>893</v>
      </c>
      <c r="F52" s="114" t="s">
        <v>893</v>
      </c>
      <c r="G52" s="114" t="s">
        <v>893</v>
      </c>
      <c r="H52" s="114" t="s">
        <v>893</v>
      </c>
      <c r="I52" s="114" t="s">
        <v>893</v>
      </c>
      <c r="J52" s="114" t="s">
        <v>893</v>
      </c>
      <c r="K52" s="114">
        <v>993105.16800239997</v>
      </c>
      <c r="L52" s="114">
        <v>1045373.861055158</v>
      </c>
      <c r="M52" s="114" t="s">
        <v>894</v>
      </c>
      <c r="N52" s="114" t="s">
        <v>894</v>
      </c>
      <c r="O52" s="94" t="s">
        <v>917</v>
      </c>
      <c r="P52" s="94" t="s">
        <v>986</v>
      </c>
      <c r="Q52" s="94" t="s">
        <v>896</v>
      </c>
      <c r="R52" s="94" t="s">
        <v>897</v>
      </c>
      <c r="S52" s="94" t="s">
        <v>41</v>
      </c>
      <c r="T52" s="94" t="s">
        <v>913</v>
      </c>
      <c r="U52" s="94" t="s">
        <v>899</v>
      </c>
      <c r="V52" s="94" t="s">
        <v>49</v>
      </c>
      <c r="W52" s="94" t="s">
        <v>904</v>
      </c>
      <c r="X52" s="95" t="s">
        <v>171</v>
      </c>
      <c r="Y52" s="95" t="s">
        <v>171</v>
      </c>
      <c r="Z52" s="95" t="s">
        <v>987</v>
      </c>
    </row>
    <row r="53" spans="1:26" s="105" customFormat="1" ht="60" x14ac:dyDescent="0.25">
      <c r="A53" s="112"/>
      <c r="B53" s="95" t="s">
        <v>892</v>
      </c>
      <c r="C53" s="113" t="s">
        <v>893</v>
      </c>
      <c r="D53" s="114" t="s">
        <v>893</v>
      </c>
      <c r="E53" s="114" t="s">
        <v>893</v>
      </c>
      <c r="F53" s="114" t="s">
        <v>893</v>
      </c>
      <c r="G53" s="114" t="s">
        <v>893</v>
      </c>
      <c r="H53" s="114" t="s">
        <v>893</v>
      </c>
      <c r="I53" s="114" t="s">
        <v>893</v>
      </c>
      <c r="J53" s="114" t="s">
        <v>893</v>
      </c>
      <c r="K53" s="114">
        <v>4609742</v>
      </c>
      <c r="L53" s="114">
        <v>4852360</v>
      </c>
      <c r="M53" s="114" t="s">
        <v>894</v>
      </c>
      <c r="N53" s="114" t="s">
        <v>894</v>
      </c>
      <c r="O53" s="94" t="s">
        <v>789</v>
      </c>
      <c r="P53" s="94" t="s">
        <v>988</v>
      </c>
      <c r="Q53" s="94" t="s">
        <v>896</v>
      </c>
      <c r="R53" s="94" t="s">
        <v>897</v>
      </c>
      <c r="S53" s="94" t="s">
        <v>41</v>
      </c>
      <c r="T53" s="94" t="s">
        <v>898</v>
      </c>
      <c r="U53" s="94" t="s">
        <v>899</v>
      </c>
      <c r="V53" s="94" t="s">
        <v>54</v>
      </c>
      <c r="W53" s="94" t="s">
        <v>989</v>
      </c>
      <c r="X53" s="95" t="s">
        <v>171</v>
      </c>
      <c r="Y53" s="95" t="s">
        <v>171</v>
      </c>
      <c r="Z53" s="95" t="s">
        <v>990</v>
      </c>
    </row>
    <row r="54" spans="1:26" s="105" customFormat="1" ht="60" x14ac:dyDescent="0.25">
      <c r="A54" s="112"/>
      <c r="B54" s="95" t="s">
        <v>892</v>
      </c>
      <c r="C54" s="113" t="s">
        <v>893</v>
      </c>
      <c r="D54" s="114" t="s">
        <v>893</v>
      </c>
      <c r="E54" s="114" t="s">
        <v>893</v>
      </c>
      <c r="F54" s="114" t="s">
        <v>893</v>
      </c>
      <c r="G54" s="114" t="s">
        <v>893</v>
      </c>
      <c r="H54" s="114" t="s">
        <v>893</v>
      </c>
      <c r="I54" s="114" t="s">
        <v>893</v>
      </c>
      <c r="J54" s="114" t="s">
        <v>893</v>
      </c>
      <c r="K54" s="114">
        <v>5643541</v>
      </c>
      <c r="L54" s="114">
        <v>5940569.4736842113</v>
      </c>
      <c r="M54" s="114" t="s">
        <v>894</v>
      </c>
      <c r="N54" s="114" t="s">
        <v>894</v>
      </c>
      <c r="O54" s="94" t="s">
        <v>291</v>
      </c>
      <c r="P54" s="94" t="s">
        <v>991</v>
      </c>
      <c r="Q54" s="94" t="s">
        <v>896</v>
      </c>
      <c r="R54" s="94" t="s">
        <v>897</v>
      </c>
      <c r="S54" s="94" t="s">
        <v>679</v>
      </c>
      <c r="T54" s="94" t="s">
        <v>898</v>
      </c>
      <c r="U54" s="94" t="s">
        <v>899</v>
      </c>
      <c r="V54" s="94" t="s">
        <v>193</v>
      </c>
      <c r="W54" s="94" t="s">
        <v>941</v>
      </c>
      <c r="X54" s="95" t="s">
        <v>171</v>
      </c>
      <c r="Y54" s="95" t="s">
        <v>171</v>
      </c>
      <c r="Z54" s="95" t="s">
        <v>992</v>
      </c>
    </row>
    <row r="55" spans="1:26" s="105" customFormat="1" ht="72" x14ac:dyDescent="0.25">
      <c r="A55" s="112"/>
      <c r="B55" s="95" t="s">
        <v>892</v>
      </c>
      <c r="C55" s="113" t="s">
        <v>893</v>
      </c>
      <c r="D55" s="114" t="s">
        <v>893</v>
      </c>
      <c r="E55" s="114" t="s">
        <v>893</v>
      </c>
      <c r="F55" s="114" t="s">
        <v>893</v>
      </c>
      <c r="G55" s="114" t="s">
        <v>893</v>
      </c>
      <c r="H55" s="114" t="s">
        <v>893</v>
      </c>
      <c r="I55" s="114" t="s">
        <v>893</v>
      </c>
      <c r="J55" s="114" t="s">
        <v>893</v>
      </c>
      <c r="K55" s="114">
        <v>169442.97859900002</v>
      </c>
      <c r="L55" s="114">
        <v>178361.03010421057</v>
      </c>
      <c r="M55" s="114" t="s">
        <v>894</v>
      </c>
      <c r="N55" s="114" t="s">
        <v>894</v>
      </c>
      <c r="O55" s="94" t="s">
        <v>917</v>
      </c>
      <c r="P55" s="94" t="s">
        <v>993</v>
      </c>
      <c r="Q55" s="94" t="s">
        <v>896</v>
      </c>
      <c r="R55" s="94" t="s">
        <v>897</v>
      </c>
      <c r="S55" s="94" t="s">
        <v>41</v>
      </c>
      <c r="T55" s="94" t="s">
        <v>913</v>
      </c>
      <c r="U55" s="94" t="s">
        <v>899</v>
      </c>
      <c r="V55" s="94" t="s">
        <v>193</v>
      </c>
      <c r="W55" s="94" t="s">
        <v>904</v>
      </c>
      <c r="X55" s="95" t="s">
        <v>171</v>
      </c>
      <c r="Y55" s="95" t="s">
        <v>171</v>
      </c>
      <c r="Z55" s="95" t="s">
        <v>994</v>
      </c>
    </row>
    <row r="56" spans="1:26" s="105" customFormat="1" ht="120" x14ac:dyDescent="0.25">
      <c r="A56" s="112"/>
      <c r="B56" s="95" t="s">
        <v>892</v>
      </c>
      <c r="C56" s="113" t="s">
        <v>893</v>
      </c>
      <c r="D56" s="114" t="s">
        <v>893</v>
      </c>
      <c r="E56" s="114" t="s">
        <v>893</v>
      </c>
      <c r="F56" s="114" t="s">
        <v>893</v>
      </c>
      <c r="G56" s="114" t="s">
        <v>893</v>
      </c>
      <c r="H56" s="114" t="s">
        <v>893</v>
      </c>
      <c r="I56" s="114" t="s">
        <v>893</v>
      </c>
      <c r="J56" s="114" t="s">
        <v>893</v>
      </c>
      <c r="K56" s="114">
        <v>754316.85899184004</v>
      </c>
      <c r="L56" s="114">
        <v>794017.74630720005</v>
      </c>
      <c r="M56" s="114" t="s">
        <v>894</v>
      </c>
      <c r="N56" s="114" t="s">
        <v>894</v>
      </c>
      <c r="O56" s="94" t="s">
        <v>789</v>
      </c>
      <c r="P56" s="94" t="s">
        <v>995</v>
      </c>
      <c r="Q56" s="94" t="s">
        <v>896</v>
      </c>
      <c r="R56" s="94" t="s">
        <v>897</v>
      </c>
      <c r="S56" s="94" t="e">
        <v>#N/A</v>
      </c>
      <c r="T56" s="94" t="s">
        <v>996</v>
      </c>
      <c r="U56" s="94" t="s">
        <v>899</v>
      </c>
      <c r="V56" s="94" t="s">
        <v>193</v>
      </c>
      <c r="W56" s="94" t="s">
        <v>997</v>
      </c>
      <c r="X56" s="95" t="s">
        <v>171</v>
      </c>
      <c r="Y56" s="95" t="s">
        <v>171</v>
      </c>
      <c r="Z56" s="95" t="s">
        <v>998</v>
      </c>
    </row>
    <row r="57" spans="1:26" s="105" customFormat="1" ht="168" x14ac:dyDescent="0.25">
      <c r="A57" s="112"/>
      <c r="B57" s="95" t="s">
        <v>892</v>
      </c>
      <c r="C57" s="113" t="s">
        <v>893</v>
      </c>
      <c r="D57" s="114" t="s">
        <v>893</v>
      </c>
      <c r="E57" s="114" t="s">
        <v>893</v>
      </c>
      <c r="F57" s="114" t="s">
        <v>893</v>
      </c>
      <c r="G57" s="114" t="s">
        <v>893</v>
      </c>
      <c r="H57" s="114" t="s">
        <v>893</v>
      </c>
      <c r="I57" s="114" t="s">
        <v>893</v>
      </c>
      <c r="J57" s="114" t="s">
        <v>893</v>
      </c>
      <c r="K57" s="114">
        <v>750000</v>
      </c>
      <c r="L57" s="114">
        <v>789473.68421052641</v>
      </c>
      <c r="M57" s="114" t="s">
        <v>894</v>
      </c>
      <c r="N57" s="114" t="s">
        <v>894</v>
      </c>
      <c r="O57" s="94" t="s">
        <v>61</v>
      </c>
      <c r="P57" s="94" t="s">
        <v>999</v>
      </c>
      <c r="Q57" s="94" t="s">
        <v>896</v>
      </c>
      <c r="R57" s="94" t="s">
        <v>897</v>
      </c>
      <c r="S57" s="94" t="s">
        <v>41</v>
      </c>
      <c r="T57" s="94" t="s">
        <v>898</v>
      </c>
      <c r="U57" s="94" t="s">
        <v>923</v>
      </c>
      <c r="V57" s="94" t="s">
        <v>44</v>
      </c>
      <c r="W57" s="94" t="s">
        <v>1000</v>
      </c>
      <c r="X57" s="95" t="s">
        <v>171</v>
      </c>
      <c r="Y57" s="95" t="s">
        <v>171</v>
      </c>
      <c r="Z57" s="95" t="s">
        <v>1001</v>
      </c>
    </row>
    <row r="58" spans="1:26" s="105" customFormat="1" ht="72" x14ac:dyDescent="0.25">
      <c r="A58" s="112"/>
      <c r="B58" s="95" t="s">
        <v>892</v>
      </c>
      <c r="C58" s="113" t="s">
        <v>893</v>
      </c>
      <c r="D58" s="114" t="s">
        <v>893</v>
      </c>
      <c r="E58" s="114" t="s">
        <v>893</v>
      </c>
      <c r="F58" s="114" t="s">
        <v>893</v>
      </c>
      <c r="G58" s="114" t="s">
        <v>893</v>
      </c>
      <c r="H58" s="114" t="s">
        <v>893</v>
      </c>
      <c r="I58" s="114" t="s">
        <v>893</v>
      </c>
      <c r="J58" s="114" t="s">
        <v>893</v>
      </c>
      <c r="K58" s="114">
        <v>6000000</v>
      </c>
      <c r="L58" s="114">
        <v>6315789.4736842113</v>
      </c>
      <c r="M58" s="114" t="s">
        <v>894</v>
      </c>
      <c r="N58" s="114" t="s">
        <v>894</v>
      </c>
      <c r="O58" s="94" t="s">
        <v>597</v>
      </c>
      <c r="P58" s="94" t="s">
        <v>1002</v>
      </c>
      <c r="Q58" s="94" t="s">
        <v>896</v>
      </c>
      <c r="R58" s="94" t="s">
        <v>897</v>
      </c>
      <c r="S58" s="94" t="s">
        <v>41</v>
      </c>
      <c r="T58" s="94" t="s">
        <v>898</v>
      </c>
      <c r="U58" s="94" t="s">
        <v>899</v>
      </c>
      <c r="V58" s="94" t="s">
        <v>54</v>
      </c>
      <c r="W58" s="94" t="s">
        <v>900</v>
      </c>
      <c r="X58" s="95" t="s">
        <v>171</v>
      </c>
      <c r="Y58" s="95" t="s">
        <v>171</v>
      </c>
      <c r="Z58" s="95" t="s">
        <v>1003</v>
      </c>
    </row>
    <row r="59" spans="1:26" s="105" customFormat="1" ht="84" x14ac:dyDescent="0.25">
      <c r="A59" s="112"/>
      <c r="B59" s="95" t="s">
        <v>892</v>
      </c>
      <c r="C59" s="113" t="s">
        <v>893</v>
      </c>
      <c r="D59" s="114" t="s">
        <v>893</v>
      </c>
      <c r="E59" s="114" t="s">
        <v>893</v>
      </c>
      <c r="F59" s="114" t="s">
        <v>893</v>
      </c>
      <c r="G59" s="114" t="s">
        <v>893</v>
      </c>
      <c r="H59" s="114" t="s">
        <v>893</v>
      </c>
      <c r="I59" s="114" t="s">
        <v>893</v>
      </c>
      <c r="J59" s="114" t="s">
        <v>893</v>
      </c>
      <c r="K59" s="114">
        <v>6948252</v>
      </c>
      <c r="L59" s="114">
        <v>7313949.4736842113</v>
      </c>
      <c r="M59" s="114" t="s">
        <v>894</v>
      </c>
      <c r="N59" s="114" t="s">
        <v>894</v>
      </c>
      <c r="O59" s="94" t="s">
        <v>425</v>
      </c>
      <c r="P59" s="94" t="s">
        <v>1004</v>
      </c>
      <c r="Q59" s="94" t="s">
        <v>896</v>
      </c>
      <c r="R59" s="94" t="s">
        <v>897</v>
      </c>
      <c r="S59" s="94" t="s">
        <v>41</v>
      </c>
      <c r="T59" s="94" t="s">
        <v>898</v>
      </c>
      <c r="U59" s="94" t="s">
        <v>899</v>
      </c>
      <c r="V59" s="94" t="s">
        <v>193</v>
      </c>
      <c r="W59" s="94" t="s">
        <v>971</v>
      </c>
      <c r="X59" s="95" t="s">
        <v>171</v>
      </c>
      <c r="Y59" s="95" t="s">
        <v>171</v>
      </c>
      <c r="Z59" s="95" t="s">
        <v>1005</v>
      </c>
    </row>
    <row r="60" spans="1:26" s="105" customFormat="1" ht="84" x14ac:dyDescent="0.25">
      <c r="A60" s="112"/>
      <c r="B60" s="95" t="s">
        <v>892</v>
      </c>
      <c r="C60" s="113" t="s">
        <v>893</v>
      </c>
      <c r="D60" s="114" t="s">
        <v>893</v>
      </c>
      <c r="E60" s="114" t="s">
        <v>893</v>
      </c>
      <c r="F60" s="114" t="s">
        <v>893</v>
      </c>
      <c r="G60" s="114" t="s">
        <v>893</v>
      </c>
      <c r="H60" s="114" t="s">
        <v>893</v>
      </c>
      <c r="I60" s="114" t="s">
        <v>893</v>
      </c>
      <c r="J60" s="114" t="s">
        <v>893</v>
      </c>
      <c r="K60" s="114">
        <v>13200000</v>
      </c>
      <c r="L60" s="114">
        <v>13894736.842105264</v>
      </c>
      <c r="M60" s="114" t="s">
        <v>894</v>
      </c>
      <c r="N60" s="114" t="s">
        <v>894</v>
      </c>
      <c r="O60" s="94" t="s">
        <v>1006</v>
      </c>
      <c r="P60" s="94" t="s">
        <v>1004</v>
      </c>
      <c r="Q60" s="94" t="s">
        <v>896</v>
      </c>
      <c r="R60" s="94" t="s">
        <v>897</v>
      </c>
      <c r="S60" s="94" t="s">
        <v>41</v>
      </c>
      <c r="T60" s="94" t="s">
        <v>898</v>
      </c>
      <c r="U60" s="94" t="s">
        <v>899</v>
      </c>
      <c r="V60" s="94" t="s">
        <v>193</v>
      </c>
      <c r="W60" s="94" t="s">
        <v>971</v>
      </c>
      <c r="X60" s="95" t="s">
        <v>171</v>
      </c>
      <c r="Y60" s="95" t="s">
        <v>171</v>
      </c>
      <c r="Z60" s="95" t="s">
        <v>1005</v>
      </c>
    </row>
    <row r="61" spans="1:26" s="105" customFormat="1" ht="276" x14ac:dyDescent="0.25">
      <c r="A61" s="112"/>
      <c r="B61" s="95" t="s">
        <v>892</v>
      </c>
      <c r="C61" s="113" t="s">
        <v>893</v>
      </c>
      <c r="D61" s="114" t="s">
        <v>893</v>
      </c>
      <c r="E61" s="114" t="s">
        <v>893</v>
      </c>
      <c r="F61" s="114" t="s">
        <v>893</v>
      </c>
      <c r="G61" s="114" t="s">
        <v>893</v>
      </c>
      <c r="H61" s="114" t="s">
        <v>893</v>
      </c>
      <c r="I61" s="114" t="s">
        <v>893</v>
      </c>
      <c r="J61" s="114" t="s">
        <v>893</v>
      </c>
      <c r="K61" s="114">
        <v>300000</v>
      </c>
      <c r="L61" s="114">
        <v>315789.47368421056</v>
      </c>
      <c r="M61" s="114" t="s">
        <v>894</v>
      </c>
      <c r="N61" s="114" t="s">
        <v>894</v>
      </c>
      <c r="O61" s="94" t="s">
        <v>240</v>
      </c>
      <c r="P61" s="94" t="s">
        <v>1007</v>
      </c>
      <c r="Q61" s="94" t="s">
        <v>896</v>
      </c>
      <c r="R61" s="94" t="s">
        <v>897</v>
      </c>
      <c r="S61" s="94" t="s">
        <v>41</v>
      </c>
      <c r="T61" s="94" t="s">
        <v>898</v>
      </c>
      <c r="U61" s="94" t="s">
        <v>899</v>
      </c>
      <c r="V61" s="94" t="s">
        <v>49</v>
      </c>
      <c r="W61" s="94" t="s">
        <v>1008</v>
      </c>
      <c r="X61" s="95" t="s">
        <v>171</v>
      </c>
      <c r="Y61" s="95" t="s">
        <v>171</v>
      </c>
      <c r="Z61" s="95" t="s">
        <v>1009</v>
      </c>
    </row>
    <row r="62" spans="1:26" s="105" customFormat="1" ht="409.6" x14ac:dyDescent="0.25">
      <c r="A62" s="112"/>
      <c r="B62" s="95" t="s">
        <v>892</v>
      </c>
      <c r="C62" s="113" t="s">
        <v>893</v>
      </c>
      <c r="D62" s="114" t="s">
        <v>893</v>
      </c>
      <c r="E62" s="114" t="s">
        <v>893</v>
      </c>
      <c r="F62" s="114" t="s">
        <v>893</v>
      </c>
      <c r="G62" s="114" t="s">
        <v>893</v>
      </c>
      <c r="H62" s="114" t="s">
        <v>893</v>
      </c>
      <c r="I62" s="114" t="s">
        <v>893</v>
      </c>
      <c r="J62" s="114" t="s">
        <v>893</v>
      </c>
      <c r="K62" s="114">
        <v>6250000</v>
      </c>
      <c r="L62" s="114">
        <v>6578947.3684210526</v>
      </c>
      <c r="M62" s="114" t="s">
        <v>894</v>
      </c>
      <c r="N62" s="114" t="s">
        <v>894</v>
      </c>
      <c r="O62" s="94" t="s">
        <v>61</v>
      </c>
      <c r="P62" s="94" t="s">
        <v>1010</v>
      </c>
      <c r="Q62" s="94" t="s">
        <v>896</v>
      </c>
      <c r="R62" s="94" t="s">
        <v>897</v>
      </c>
      <c r="S62" s="94" t="s">
        <v>41</v>
      </c>
      <c r="T62" s="94" t="s">
        <v>898</v>
      </c>
      <c r="U62" s="94" t="s">
        <v>899</v>
      </c>
      <c r="V62" s="94" t="s">
        <v>50</v>
      </c>
      <c r="W62" s="94" t="s">
        <v>1011</v>
      </c>
      <c r="X62" s="95" t="s">
        <v>171</v>
      </c>
      <c r="Y62" s="95" t="s">
        <v>171</v>
      </c>
      <c r="Z62" s="95" t="s">
        <v>1012</v>
      </c>
    </row>
    <row r="63" spans="1:26" s="105" customFormat="1" ht="216" x14ac:dyDescent="0.25">
      <c r="A63" s="112"/>
      <c r="B63" s="95" t="s">
        <v>892</v>
      </c>
      <c r="C63" s="113" t="s">
        <v>893</v>
      </c>
      <c r="D63" s="114" t="s">
        <v>893</v>
      </c>
      <c r="E63" s="114" t="s">
        <v>893</v>
      </c>
      <c r="F63" s="114" t="s">
        <v>893</v>
      </c>
      <c r="G63" s="114" t="s">
        <v>893</v>
      </c>
      <c r="H63" s="114" t="s">
        <v>893</v>
      </c>
      <c r="I63" s="114" t="s">
        <v>893</v>
      </c>
      <c r="J63" s="114" t="s">
        <v>893</v>
      </c>
      <c r="K63" s="114">
        <v>4172679.9999999995</v>
      </c>
      <c r="L63" s="114">
        <v>4392294.7368421052</v>
      </c>
      <c r="M63" s="114" t="s">
        <v>894</v>
      </c>
      <c r="N63" s="114" t="s">
        <v>894</v>
      </c>
      <c r="O63" s="94" t="s">
        <v>943</v>
      </c>
      <c r="P63" s="94" t="s">
        <v>1013</v>
      </c>
      <c r="Q63" s="94" t="s">
        <v>896</v>
      </c>
      <c r="R63" s="94" t="s">
        <v>897</v>
      </c>
      <c r="S63" s="94" t="s">
        <v>41</v>
      </c>
      <c r="T63" s="94" t="s">
        <v>898</v>
      </c>
      <c r="U63" s="94" t="s">
        <v>899</v>
      </c>
      <c r="V63" s="94" t="s">
        <v>193</v>
      </c>
      <c r="W63" s="94" t="s">
        <v>997</v>
      </c>
      <c r="X63" s="95" t="s">
        <v>171</v>
      </c>
      <c r="Y63" s="95" t="s">
        <v>171</v>
      </c>
      <c r="Z63" s="95" t="s">
        <v>1014</v>
      </c>
    </row>
    <row r="64" spans="1:26" s="105" customFormat="1" ht="216" x14ac:dyDescent="0.25">
      <c r="A64" s="112"/>
      <c r="B64" s="95" t="s">
        <v>892</v>
      </c>
      <c r="C64" s="113" t="s">
        <v>893</v>
      </c>
      <c r="D64" s="114" t="s">
        <v>893</v>
      </c>
      <c r="E64" s="114" t="s">
        <v>893</v>
      </c>
      <c r="F64" s="114" t="s">
        <v>893</v>
      </c>
      <c r="G64" s="114" t="s">
        <v>893</v>
      </c>
      <c r="H64" s="114" t="s">
        <v>893</v>
      </c>
      <c r="I64" s="114" t="s">
        <v>893</v>
      </c>
      <c r="J64" s="114" t="s">
        <v>893</v>
      </c>
      <c r="K64" s="114">
        <v>444729.68190000008</v>
      </c>
      <c r="L64" s="114">
        <v>468136.50726315798</v>
      </c>
      <c r="M64" s="114" t="s">
        <v>894</v>
      </c>
      <c r="N64" s="114" t="s">
        <v>894</v>
      </c>
      <c r="O64" s="94" t="s">
        <v>265</v>
      </c>
      <c r="P64" s="94" t="s">
        <v>1015</v>
      </c>
      <c r="Q64" s="94" t="s">
        <v>896</v>
      </c>
      <c r="R64" s="94" t="s">
        <v>897</v>
      </c>
      <c r="S64" s="94" t="s">
        <v>41</v>
      </c>
      <c r="T64" s="94" t="s">
        <v>898</v>
      </c>
      <c r="U64" s="94" t="s">
        <v>923</v>
      </c>
      <c r="V64" s="94" t="s">
        <v>44</v>
      </c>
      <c r="W64" s="94" t="s">
        <v>938</v>
      </c>
      <c r="X64" s="95" t="s">
        <v>171</v>
      </c>
      <c r="Y64" s="95" t="s">
        <v>171</v>
      </c>
      <c r="Z64" s="95" t="s">
        <v>1016</v>
      </c>
    </row>
    <row r="65" spans="1:26" s="105" customFormat="1" ht="216" x14ac:dyDescent="0.25">
      <c r="A65" s="112"/>
      <c r="B65" s="95" t="s">
        <v>892</v>
      </c>
      <c r="C65" s="113" t="s">
        <v>893</v>
      </c>
      <c r="D65" s="114" t="s">
        <v>893</v>
      </c>
      <c r="E65" s="114" t="s">
        <v>893</v>
      </c>
      <c r="F65" s="114" t="s">
        <v>893</v>
      </c>
      <c r="G65" s="114" t="s">
        <v>893</v>
      </c>
      <c r="H65" s="114" t="s">
        <v>893</v>
      </c>
      <c r="I65" s="114" t="s">
        <v>893</v>
      </c>
      <c r="J65" s="114" t="s">
        <v>893</v>
      </c>
      <c r="K65" s="114">
        <v>450000</v>
      </c>
      <c r="L65" s="114">
        <v>473684.21052631579</v>
      </c>
      <c r="M65" s="114" t="s">
        <v>894</v>
      </c>
      <c r="N65" s="114" t="s">
        <v>894</v>
      </c>
      <c r="O65" s="94" t="s">
        <v>585</v>
      </c>
      <c r="P65" s="94" t="s">
        <v>1017</v>
      </c>
      <c r="Q65" s="94" t="s">
        <v>896</v>
      </c>
      <c r="R65" s="94" t="s">
        <v>897</v>
      </c>
      <c r="S65" s="94" t="s">
        <v>41</v>
      </c>
      <c r="T65" s="94" t="s">
        <v>898</v>
      </c>
      <c r="U65" s="94" t="s">
        <v>899</v>
      </c>
      <c r="V65" s="94" t="s">
        <v>193</v>
      </c>
      <c r="W65" s="94" t="s">
        <v>904</v>
      </c>
      <c r="X65" s="95" t="s">
        <v>171</v>
      </c>
      <c r="Y65" s="95" t="s">
        <v>171</v>
      </c>
      <c r="Z65" s="95" t="s">
        <v>1018</v>
      </c>
    </row>
    <row r="66" spans="1:26" s="105" customFormat="1" ht="120" x14ac:dyDescent="0.25">
      <c r="A66" s="112"/>
      <c r="B66" s="95" t="s">
        <v>892</v>
      </c>
      <c r="C66" s="113" t="s">
        <v>893</v>
      </c>
      <c r="D66" s="114" t="s">
        <v>893</v>
      </c>
      <c r="E66" s="114" t="s">
        <v>893</v>
      </c>
      <c r="F66" s="114" t="s">
        <v>893</v>
      </c>
      <c r="G66" s="114" t="s">
        <v>893</v>
      </c>
      <c r="H66" s="114" t="s">
        <v>893</v>
      </c>
      <c r="I66" s="114" t="s">
        <v>893</v>
      </c>
      <c r="J66" s="114" t="s">
        <v>893</v>
      </c>
      <c r="K66" s="114">
        <v>11402521.719865201</v>
      </c>
      <c r="L66" s="114">
        <v>12002654.441963371</v>
      </c>
      <c r="M66" s="114" t="s">
        <v>894</v>
      </c>
      <c r="N66" s="114" t="s">
        <v>894</v>
      </c>
      <c r="O66" s="94" t="s">
        <v>1019</v>
      </c>
      <c r="P66" s="94" t="s">
        <v>1020</v>
      </c>
      <c r="Q66" s="94" t="s">
        <v>896</v>
      </c>
      <c r="R66" s="94" t="s">
        <v>897</v>
      </c>
      <c r="S66" s="94" t="s">
        <v>41</v>
      </c>
      <c r="T66" s="94" t="s">
        <v>898</v>
      </c>
      <c r="U66" s="94" t="s">
        <v>945</v>
      </c>
      <c r="V66" s="94" t="s">
        <v>49</v>
      </c>
      <c r="W66" s="94" t="s">
        <v>1021</v>
      </c>
      <c r="X66" s="95" t="s">
        <v>171</v>
      </c>
      <c r="Y66" s="95" t="s">
        <v>171</v>
      </c>
      <c r="Z66" s="95" t="s">
        <v>1022</v>
      </c>
    </row>
    <row r="67" spans="1:26" s="105" customFormat="1" ht="84" x14ac:dyDescent="0.25">
      <c r="A67" s="112"/>
      <c r="B67" s="95" t="s">
        <v>892</v>
      </c>
      <c r="C67" s="113" t="s">
        <v>893</v>
      </c>
      <c r="D67" s="114" t="s">
        <v>893</v>
      </c>
      <c r="E67" s="114" t="s">
        <v>893</v>
      </c>
      <c r="F67" s="114" t="s">
        <v>893</v>
      </c>
      <c r="G67" s="114" t="s">
        <v>893</v>
      </c>
      <c r="H67" s="114" t="s">
        <v>893</v>
      </c>
      <c r="I67" s="114" t="s">
        <v>893</v>
      </c>
      <c r="J67" s="114" t="s">
        <v>893</v>
      </c>
      <c r="K67" s="114">
        <v>12418452.143999998</v>
      </c>
      <c r="L67" s="114">
        <v>13072054.888421051</v>
      </c>
      <c r="M67" s="114" t="s">
        <v>894</v>
      </c>
      <c r="N67" s="114" t="s">
        <v>894</v>
      </c>
      <c r="O67" s="94" t="s">
        <v>1006</v>
      </c>
      <c r="P67" s="94" t="s">
        <v>1023</v>
      </c>
      <c r="Q67" s="94" t="s">
        <v>896</v>
      </c>
      <c r="R67" s="94" t="s">
        <v>897</v>
      </c>
      <c r="S67" s="94" t="s">
        <v>41</v>
      </c>
      <c r="T67" s="94" t="s">
        <v>898</v>
      </c>
      <c r="U67" s="94" t="s">
        <v>899</v>
      </c>
      <c r="V67" s="94" t="s">
        <v>193</v>
      </c>
      <c r="W67" s="94" t="s">
        <v>971</v>
      </c>
      <c r="X67" s="95" t="s">
        <v>171</v>
      </c>
      <c r="Y67" s="95" t="s">
        <v>171</v>
      </c>
      <c r="Z67" s="95" t="s">
        <v>1024</v>
      </c>
    </row>
    <row r="68" spans="1:26" s="105" customFormat="1" ht="276" x14ac:dyDescent="0.25">
      <c r="A68" s="112"/>
      <c r="B68" s="95" t="s">
        <v>892</v>
      </c>
      <c r="C68" s="113" t="s">
        <v>893</v>
      </c>
      <c r="D68" s="114" t="s">
        <v>893</v>
      </c>
      <c r="E68" s="114" t="s">
        <v>893</v>
      </c>
      <c r="F68" s="114" t="s">
        <v>893</v>
      </c>
      <c r="G68" s="114" t="s">
        <v>893</v>
      </c>
      <c r="H68" s="114" t="s">
        <v>893</v>
      </c>
      <c r="I68" s="114" t="s">
        <v>893</v>
      </c>
      <c r="J68" s="114" t="s">
        <v>893</v>
      </c>
      <c r="K68" s="114">
        <v>82632915.639999986</v>
      </c>
      <c r="L68" s="114">
        <v>86982016.463157877</v>
      </c>
      <c r="M68" s="114" t="s">
        <v>894</v>
      </c>
      <c r="N68" s="114" t="s">
        <v>894</v>
      </c>
      <c r="O68" s="94" t="s">
        <v>902</v>
      </c>
      <c r="P68" s="94" t="s">
        <v>1025</v>
      </c>
      <c r="Q68" s="94" t="s">
        <v>896</v>
      </c>
      <c r="R68" s="94" t="s">
        <v>897</v>
      </c>
      <c r="S68" s="94" t="s">
        <v>41</v>
      </c>
      <c r="T68" s="94" t="s">
        <v>898</v>
      </c>
      <c r="U68" s="94" t="s">
        <v>945</v>
      </c>
      <c r="V68" s="94" t="s">
        <v>85</v>
      </c>
      <c r="W68" s="94" t="s">
        <v>1026</v>
      </c>
      <c r="X68" s="95" t="s">
        <v>171</v>
      </c>
      <c r="Y68" s="95" t="s">
        <v>171</v>
      </c>
      <c r="Z68" s="95" t="s">
        <v>1027</v>
      </c>
    </row>
    <row r="69" spans="1:26" s="105" customFormat="1" ht="288" x14ac:dyDescent="0.25">
      <c r="A69" s="112"/>
      <c r="B69" s="95" t="s">
        <v>892</v>
      </c>
      <c r="C69" s="113" t="s">
        <v>893</v>
      </c>
      <c r="D69" s="114" t="s">
        <v>893</v>
      </c>
      <c r="E69" s="114" t="s">
        <v>893</v>
      </c>
      <c r="F69" s="114" t="s">
        <v>893</v>
      </c>
      <c r="G69" s="114" t="s">
        <v>893</v>
      </c>
      <c r="H69" s="114" t="s">
        <v>893</v>
      </c>
      <c r="I69" s="114" t="s">
        <v>893</v>
      </c>
      <c r="J69" s="114" t="s">
        <v>893</v>
      </c>
      <c r="K69" s="114">
        <v>2291940.33</v>
      </c>
      <c r="L69" s="114">
        <v>2412568.768421053</v>
      </c>
      <c r="M69" s="114" t="s">
        <v>894</v>
      </c>
      <c r="N69" s="114" t="s">
        <v>894</v>
      </c>
      <c r="O69" s="94" t="s">
        <v>1028</v>
      </c>
      <c r="P69" s="94" t="s">
        <v>1029</v>
      </c>
      <c r="Q69" s="94" t="s">
        <v>896</v>
      </c>
      <c r="R69" s="94" t="s">
        <v>897</v>
      </c>
      <c r="S69" s="94" t="s">
        <v>41</v>
      </c>
      <c r="T69" s="94" t="s">
        <v>898</v>
      </c>
      <c r="U69" s="94" t="s">
        <v>923</v>
      </c>
      <c r="V69" s="94" t="s">
        <v>63</v>
      </c>
      <c r="W69" s="94" t="s">
        <v>1030</v>
      </c>
      <c r="X69" s="95" t="s">
        <v>171</v>
      </c>
      <c r="Y69" s="95" t="s">
        <v>171</v>
      </c>
      <c r="Z69" s="95" t="s">
        <v>1031</v>
      </c>
    </row>
    <row r="70" spans="1:26" s="105" customFormat="1" ht="48" x14ac:dyDescent="0.25">
      <c r="A70" s="112"/>
      <c r="B70" s="95" t="s">
        <v>892</v>
      </c>
      <c r="C70" s="113" t="s">
        <v>893</v>
      </c>
      <c r="D70" s="114" t="s">
        <v>893</v>
      </c>
      <c r="E70" s="114" t="s">
        <v>893</v>
      </c>
      <c r="F70" s="114" t="s">
        <v>893</v>
      </c>
      <c r="G70" s="114" t="s">
        <v>893</v>
      </c>
      <c r="H70" s="114" t="s">
        <v>893</v>
      </c>
      <c r="I70" s="114" t="s">
        <v>893</v>
      </c>
      <c r="J70" s="114" t="s">
        <v>893</v>
      </c>
      <c r="K70" s="114">
        <v>2790000.7127689999</v>
      </c>
      <c r="L70" s="114">
        <v>2936842.8555463157</v>
      </c>
      <c r="M70" s="114" t="s">
        <v>894</v>
      </c>
      <c r="N70" s="114" t="s">
        <v>894</v>
      </c>
      <c r="O70" s="94" t="s">
        <v>1019</v>
      </c>
      <c r="P70" s="94" t="s">
        <v>1032</v>
      </c>
      <c r="Q70" s="94" t="s">
        <v>896</v>
      </c>
      <c r="R70" s="94" t="s">
        <v>897</v>
      </c>
      <c r="S70" s="94" t="s">
        <v>41</v>
      </c>
      <c r="T70" s="94" t="s">
        <v>913</v>
      </c>
      <c r="U70" s="94" t="s">
        <v>945</v>
      </c>
      <c r="V70" s="94" t="s">
        <v>49</v>
      </c>
      <c r="W70" s="94" t="s">
        <v>1033</v>
      </c>
      <c r="X70" s="95" t="s">
        <v>171</v>
      </c>
      <c r="Y70" s="95" t="s">
        <v>171</v>
      </c>
      <c r="Z70" s="95" t="s">
        <v>1034</v>
      </c>
    </row>
    <row r="71" spans="1:26" s="105" customFormat="1" ht="60" x14ac:dyDescent="0.25">
      <c r="A71" s="112"/>
      <c r="B71" s="95" t="s">
        <v>892</v>
      </c>
      <c r="C71" s="113" t="s">
        <v>893</v>
      </c>
      <c r="D71" s="114" t="s">
        <v>893</v>
      </c>
      <c r="E71" s="114" t="s">
        <v>893</v>
      </c>
      <c r="F71" s="114" t="s">
        <v>893</v>
      </c>
      <c r="G71" s="114" t="s">
        <v>893</v>
      </c>
      <c r="H71" s="114" t="s">
        <v>893</v>
      </c>
      <c r="I71" s="114" t="s">
        <v>893</v>
      </c>
      <c r="J71" s="114" t="s">
        <v>893</v>
      </c>
      <c r="K71" s="114">
        <v>100000000</v>
      </c>
      <c r="L71" s="114">
        <v>105263157.89473684</v>
      </c>
      <c r="M71" s="114" t="s">
        <v>894</v>
      </c>
      <c r="N71" s="114" t="s">
        <v>894</v>
      </c>
      <c r="O71" s="94" t="s">
        <v>616</v>
      </c>
      <c r="P71" s="94" t="s">
        <v>1035</v>
      </c>
      <c r="Q71" s="94" t="s">
        <v>896</v>
      </c>
      <c r="R71" s="94" t="s">
        <v>897</v>
      </c>
      <c r="S71" s="94" t="s">
        <v>41</v>
      </c>
      <c r="T71" s="94" t="s">
        <v>898</v>
      </c>
      <c r="U71" s="94" t="s">
        <v>899</v>
      </c>
      <c r="V71" s="94" t="s">
        <v>54</v>
      </c>
      <c r="W71" s="94" t="s">
        <v>900</v>
      </c>
      <c r="X71" s="95" t="s">
        <v>171</v>
      </c>
      <c r="Y71" s="95" t="s">
        <v>171</v>
      </c>
      <c r="Z71" s="95" t="s">
        <v>1036</v>
      </c>
    </row>
    <row r="72" spans="1:26" s="105" customFormat="1" ht="36" x14ac:dyDescent="0.25">
      <c r="A72" s="112"/>
      <c r="B72" s="95" t="s">
        <v>892</v>
      </c>
      <c r="C72" s="113" t="s">
        <v>893</v>
      </c>
      <c r="D72" s="114" t="s">
        <v>893</v>
      </c>
      <c r="E72" s="114" t="s">
        <v>893</v>
      </c>
      <c r="F72" s="114" t="s">
        <v>893</v>
      </c>
      <c r="G72" s="114" t="s">
        <v>893</v>
      </c>
      <c r="H72" s="114" t="s">
        <v>893</v>
      </c>
      <c r="I72" s="114" t="s">
        <v>893</v>
      </c>
      <c r="J72" s="114" t="s">
        <v>893</v>
      </c>
      <c r="K72" s="114">
        <v>5000000</v>
      </c>
      <c r="L72" s="114">
        <v>5263157.8947368423</v>
      </c>
      <c r="M72" s="114" t="s">
        <v>894</v>
      </c>
      <c r="N72" s="114" t="s">
        <v>894</v>
      </c>
      <c r="O72" s="94" t="s">
        <v>1037</v>
      </c>
      <c r="P72" s="94" t="s">
        <v>1038</v>
      </c>
      <c r="Q72" s="94" t="s">
        <v>896</v>
      </c>
      <c r="R72" s="94" t="s">
        <v>897</v>
      </c>
      <c r="S72" s="94" t="s">
        <v>41</v>
      </c>
      <c r="T72" s="94" t="s">
        <v>898</v>
      </c>
      <c r="U72" s="94" t="s">
        <v>899</v>
      </c>
      <c r="V72" s="94" t="s">
        <v>54</v>
      </c>
      <c r="W72" s="94" t="s">
        <v>900</v>
      </c>
      <c r="X72" s="95" t="s">
        <v>171</v>
      </c>
      <c r="Y72" s="95" t="s">
        <v>171</v>
      </c>
      <c r="Z72" s="95" t="s">
        <v>1039</v>
      </c>
    </row>
    <row r="73" spans="1:26" s="105" customFormat="1" ht="60" x14ac:dyDescent="0.25">
      <c r="A73" s="112"/>
      <c r="B73" s="95" t="s">
        <v>892</v>
      </c>
      <c r="C73" s="113" t="s">
        <v>893</v>
      </c>
      <c r="D73" s="114" t="s">
        <v>893</v>
      </c>
      <c r="E73" s="114" t="s">
        <v>893</v>
      </c>
      <c r="F73" s="114" t="s">
        <v>893</v>
      </c>
      <c r="G73" s="114" t="s">
        <v>893</v>
      </c>
      <c r="H73" s="114" t="s">
        <v>893</v>
      </c>
      <c r="I73" s="114" t="s">
        <v>893</v>
      </c>
      <c r="J73" s="114" t="s">
        <v>893</v>
      </c>
      <c r="K73" s="114">
        <v>645891.57183675002</v>
      </c>
      <c r="L73" s="114">
        <v>679885.86509131582</v>
      </c>
      <c r="M73" s="114" t="s">
        <v>894</v>
      </c>
      <c r="N73" s="114" t="s">
        <v>894</v>
      </c>
      <c r="O73" s="94" t="s">
        <v>606</v>
      </c>
      <c r="P73" s="94" t="s">
        <v>1040</v>
      </c>
      <c r="Q73" s="94" t="s">
        <v>896</v>
      </c>
      <c r="R73" s="94" t="s">
        <v>897</v>
      </c>
      <c r="S73" s="94" t="s">
        <v>41</v>
      </c>
      <c r="T73" s="94" t="s">
        <v>913</v>
      </c>
      <c r="U73" s="94" t="s">
        <v>899</v>
      </c>
      <c r="V73" s="94" t="s">
        <v>50</v>
      </c>
      <c r="W73" s="94" t="s">
        <v>997</v>
      </c>
      <c r="X73" s="95" t="s">
        <v>171</v>
      </c>
      <c r="Y73" s="95" t="s">
        <v>171</v>
      </c>
      <c r="Z73" s="95" t="s">
        <v>1041</v>
      </c>
    </row>
    <row r="74" spans="1:26" s="105" customFormat="1" ht="168" x14ac:dyDescent="0.25">
      <c r="A74" s="112"/>
      <c r="B74" s="95" t="s">
        <v>892</v>
      </c>
      <c r="C74" s="113" t="s">
        <v>893</v>
      </c>
      <c r="D74" s="114" t="s">
        <v>893</v>
      </c>
      <c r="E74" s="114" t="s">
        <v>893</v>
      </c>
      <c r="F74" s="114" t="s">
        <v>893</v>
      </c>
      <c r="G74" s="114" t="s">
        <v>893</v>
      </c>
      <c r="H74" s="114" t="s">
        <v>893</v>
      </c>
      <c r="I74" s="114" t="s">
        <v>893</v>
      </c>
      <c r="J74" s="114" t="s">
        <v>893</v>
      </c>
      <c r="K74" s="114">
        <v>3161984.58</v>
      </c>
      <c r="L74" s="114">
        <v>3328404.8210526318</v>
      </c>
      <c r="M74" s="114" t="s">
        <v>894</v>
      </c>
      <c r="N74" s="114" t="s">
        <v>894</v>
      </c>
      <c r="O74" s="94" t="s">
        <v>1042</v>
      </c>
      <c r="P74" s="94" t="s">
        <v>1043</v>
      </c>
      <c r="Q74" s="94" t="s">
        <v>896</v>
      </c>
      <c r="R74" s="94" t="s">
        <v>897</v>
      </c>
      <c r="S74" s="94" t="s">
        <v>41</v>
      </c>
      <c r="T74" s="94" t="s">
        <v>898</v>
      </c>
      <c r="U74" s="94" t="s">
        <v>899</v>
      </c>
      <c r="V74" s="94" t="s">
        <v>49</v>
      </c>
      <c r="W74" s="94" t="s">
        <v>904</v>
      </c>
      <c r="X74" s="95" t="s">
        <v>171</v>
      </c>
      <c r="Y74" s="95" t="s">
        <v>171</v>
      </c>
      <c r="Z74" s="95" t="s">
        <v>1044</v>
      </c>
    </row>
    <row r="75" spans="1:26" s="105" customFormat="1" ht="84" x14ac:dyDescent="0.25">
      <c r="A75" s="112"/>
      <c r="B75" s="95" t="s">
        <v>892</v>
      </c>
      <c r="C75" s="113" t="s">
        <v>893</v>
      </c>
      <c r="D75" s="114" t="s">
        <v>893</v>
      </c>
      <c r="E75" s="114" t="s">
        <v>893</v>
      </c>
      <c r="F75" s="114" t="s">
        <v>893</v>
      </c>
      <c r="G75" s="114" t="s">
        <v>893</v>
      </c>
      <c r="H75" s="114" t="s">
        <v>893</v>
      </c>
      <c r="I75" s="114" t="s">
        <v>893</v>
      </c>
      <c r="J75" s="114" t="s">
        <v>893</v>
      </c>
      <c r="K75" s="114">
        <v>1942811.5970906501</v>
      </c>
      <c r="L75" s="114">
        <v>2045064.8390427898</v>
      </c>
      <c r="M75" s="114" t="s">
        <v>894</v>
      </c>
      <c r="N75" s="114" t="s">
        <v>894</v>
      </c>
      <c r="O75" s="94" t="s">
        <v>491</v>
      </c>
      <c r="P75" s="94" t="s">
        <v>1045</v>
      </c>
      <c r="Q75" s="94" t="s">
        <v>896</v>
      </c>
      <c r="R75" s="94" t="s">
        <v>897</v>
      </c>
      <c r="S75" s="94" t="s">
        <v>679</v>
      </c>
      <c r="T75" s="94" t="s">
        <v>898</v>
      </c>
      <c r="U75" s="94" t="s">
        <v>923</v>
      </c>
      <c r="V75" s="94" t="s">
        <v>49</v>
      </c>
      <c r="W75" s="94" t="s">
        <v>1046</v>
      </c>
      <c r="X75" s="95" t="s">
        <v>171</v>
      </c>
      <c r="Y75" s="95" t="s">
        <v>171</v>
      </c>
      <c r="Z75" s="95" t="s">
        <v>1047</v>
      </c>
    </row>
    <row r="76" spans="1:26" s="105" customFormat="1" ht="72" x14ac:dyDescent="0.25">
      <c r="A76" s="112"/>
      <c r="B76" s="95" t="s">
        <v>892</v>
      </c>
      <c r="C76" s="113" t="s">
        <v>893</v>
      </c>
      <c r="D76" s="114" t="s">
        <v>893</v>
      </c>
      <c r="E76" s="114" t="s">
        <v>893</v>
      </c>
      <c r="F76" s="114" t="s">
        <v>893</v>
      </c>
      <c r="G76" s="114" t="s">
        <v>893</v>
      </c>
      <c r="H76" s="114" t="s">
        <v>893</v>
      </c>
      <c r="I76" s="114" t="s">
        <v>893</v>
      </c>
      <c r="J76" s="114" t="s">
        <v>893</v>
      </c>
      <c r="K76" s="114">
        <v>325911.10719065001</v>
      </c>
      <c r="L76" s="114">
        <v>343064.32335857896</v>
      </c>
      <c r="M76" s="114" t="s">
        <v>894</v>
      </c>
      <c r="N76" s="114" t="s">
        <v>894</v>
      </c>
      <c r="O76" s="94" t="s">
        <v>917</v>
      </c>
      <c r="P76" s="94" t="s">
        <v>1048</v>
      </c>
      <c r="Q76" s="94" t="s">
        <v>896</v>
      </c>
      <c r="R76" s="94" t="s">
        <v>897</v>
      </c>
      <c r="S76" s="94" t="s">
        <v>41</v>
      </c>
      <c r="T76" s="94" t="s">
        <v>913</v>
      </c>
      <c r="U76" s="94" t="s">
        <v>899</v>
      </c>
      <c r="V76" s="94" t="s">
        <v>63</v>
      </c>
      <c r="W76" s="94" t="s">
        <v>1049</v>
      </c>
      <c r="X76" s="95" t="s">
        <v>171</v>
      </c>
      <c r="Y76" s="95" t="s">
        <v>171</v>
      </c>
      <c r="Z76" s="95" t="s">
        <v>1050</v>
      </c>
    </row>
    <row r="77" spans="1:26" s="105" customFormat="1" ht="84" x14ac:dyDescent="0.25">
      <c r="A77" s="112"/>
      <c r="B77" s="95" t="s">
        <v>892</v>
      </c>
      <c r="C77" s="113" t="s">
        <v>893</v>
      </c>
      <c r="D77" s="114" t="s">
        <v>893</v>
      </c>
      <c r="E77" s="114" t="s">
        <v>893</v>
      </c>
      <c r="F77" s="114" t="s">
        <v>893</v>
      </c>
      <c r="G77" s="114" t="s">
        <v>893</v>
      </c>
      <c r="H77" s="114" t="s">
        <v>893</v>
      </c>
      <c r="I77" s="114" t="s">
        <v>893</v>
      </c>
      <c r="J77" s="114" t="s">
        <v>893</v>
      </c>
      <c r="K77" s="114">
        <v>1690072.9038415002</v>
      </c>
      <c r="L77" s="114">
        <v>1779024.1093068423</v>
      </c>
      <c r="M77" s="114" t="s">
        <v>894</v>
      </c>
      <c r="N77" s="114" t="s">
        <v>894</v>
      </c>
      <c r="O77" s="94" t="s">
        <v>1051</v>
      </c>
      <c r="P77" s="94" t="s">
        <v>1052</v>
      </c>
      <c r="Q77" s="94" t="s">
        <v>896</v>
      </c>
      <c r="R77" s="94" t="s">
        <v>897</v>
      </c>
      <c r="S77" s="94" t="s">
        <v>41</v>
      </c>
      <c r="T77" s="94" t="s">
        <v>913</v>
      </c>
      <c r="U77" s="94" t="s">
        <v>899</v>
      </c>
      <c r="V77" s="94" t="s">
        <v>49</v>
      </c>
      <c r="W77" s="94" t="s">
        <v>904</v>
      </c>
      <c r="X77" s="95" t="s">
        <v>171</v>
      </c>
      <c r="Y77" s="95" t="s">
        <v>171</v>
      </c>
      <c r="Z77" s="95" t="s">
        <v>1053</v>
      </c>
    </row>
    <row r="78" spans="1:26" s="105" customFormat="1" ht="84" x14ac:dyDescent="0.25">
      <c r="A78" s="112"/>
      <c r="B78" s="95" t="s">
        <v>892</v>
      </c>
      <c r="C78" s="113" t="s">
        <v>893</v>
      </c>
      <c r="D78" s="114" t="s">
        <v>893</v>
      </c>
      <c r="E78" s="114" t="s">
        <v>893</v>
      </c>
      <c r="F78" s="114" t="s">
        <v>893</v>
      </c>
      <c r="G78" s="114" t="s">
        <v>893</v>
      </c>
      <c r="H78" s="114" t="s">
        <v>893</v>
      </c>
      <c r="I78" s="114" t="s">
        <v>893</v>
      </c>
      <c r="J78" s="114" t="s">
        <v>893</v>
      </c>
      <c r="K78" s="114">
        <v>1690072.9038415002</v>
      </c>
      <c r="L78" s="114">
        <v>1779024.1093068423</v>
      </c>
      <c r="M78" s="114" t="s">
        <v>894</v>
      </c>
      <c r="N78" s="114" t="s">
        <v>894</v>
      </c>
      <c r="O78" s="94" t="s">
        <v>1051</v>
      </c>
      <c r="P78" s="94" t="s">
        <v>1052</v>
      </c>
      <c r="Q78" s="94" t="s">
        <v>896</v>
      </c>
      <c r="R78" s="94" t="s">
        <v>897</v>
      </c>
      <c r="S78" s="94" t="s">
        <v>41</v>
      </c>
      <c r="T78" s="94" t="s">
        <v>913</v>
      </c>
      <c r="U78" s="94" t="s">
        <v>899</v>
      </c>
      <c r="V78" s="94" t="s">
        <v>49</v>
      </c>
      <c r="W78" s="94" t="s">
        <v>904</v>
      </c>
      <c r="X78" s="95" t="s">
        <v>171</v>
      </c>
      <c r="Y78" s="95" t="s">
        <v>171</v>
      </c>
      <c r="Z78" s="95" t="s">
        <v>1053</v>
      </c>
    </row>
    <row r="79" spans="1:26" s="105" customFormat="1" ht="204" x14ac:dyDescent="0.25">
      <c r="A79" s="112"/>
      <c r="B79" s="95" t="s">
        <v>892</v>
      </c>
      <c r="C79" s="113" t="s">
        <v>893</v>
      </c>
      <c r="D79" s="114" t="s">
        <v>893</v>
      </c>
      <c r="E79" s="114" t="s">
        <v>893</v>
      </c>
      <c r="F79" s="114" t="s">
        <v>893</v>
      </c>
      <c r="G79" s="114" t="s">
        <v>893</v>
      </c>
      <c r="H79" s="114" t="s">
        <v>893</v>
      </c>
      <c r="I79" s="114" t="s">
        <v>893</v>
      </c>
      <c r="J79" s="114" t="s">
        <v>893</v>
      </c>
      <c r="K79" s="114">
        <v>1460000</v>
      </c>
      <c r="L79" s="114">
        <v>1536842.105263158</v>
      </c>
      <c r="M79" s="114" t="s">
        <v>894</v>
      </c>
      <c r="N79" s="114" t="s">
        <v>894</v>
      </c>
      <c r="O79" s="94" t="s">
        <v>431</v>
      </c>
      <c r="P79" s="94" t="s">
        <v>1054</v>
      </c>
      <c r="Q79" s="94" t="s">
        <v>896</v>
      </c>
      <c r="R79" s="94" t="s">
        <v>897</v>
      </c>
      <c r="S79" s="94" t="s">
        <v>41</v>
      </c>
      <c r="T79" s="94" t="s">
        <v>898</v>
      </c>
      <c r="U79" s="94" t="s">
        <v>899</v>
      </c>
      <c r="V79" s="94" t="s">
        <v>50</v>
      </c>
      <c r="W79" s="94" t="s">
        <v>997</v>
      </c>
      <c r="X79" s="95" t="s">
        <v>171</v>
      </c>
      <c r="Y79" s="95" t="s">
        <v>171</v>
      </c>
      <c r="Z79" s="95" t="s">
        <v>1055</v>
      </c>
    </row>
    <row r="80" spans="1:26" s="105" customFormat="1" ht="96" x14ac:dyDescent="0.25">
      <c r="A80" s="112"/>
      <c r="B80" s="95" t="s">
        <v>892</v>
      </c>
      <c r="C80" s="113" t="s">
        <v>893</v>
      </c>
      <c r="D80" s="114" t="s">
        <v>893</v>
      </c>
      <c r="E80" s="114" t="s">
        <v>893</v>
      </c>
      <c r="F80" s="114" t="s">
        <v>893</v>
      </c>
      <c r="G80" s="114" t="s">
        <v>893</v>
      </c>
      <c r="H80" s="114" t="s">
        <v>893</v>
      </c>
      <c r="I80" s="114" t="s">
        <v>893</v>
      </c>
      <c r="J80" s="114" t="s">
        <v>893</v>
      </c>
      <c r="K80" s="114">
        <v>422500</v>
      </c>
      <c r="L80" s="114">
        <v>444736.8421052632</v>
      </c>
      <c r="M80" s="114" t="s">
        <v>894</v>
      </c>
      <c r="N80" s="114" t="s">
        <v>894</v>
      </c>
      <c r="O80" s="94" t="s">
        <v>613</v>
      </c>
      <c r="P80" s="94" t="s">
        <v>1056</v>
      </c>
      <c r="Q80" s="94" t="s">
        <v>896</v>
      </c>
      <c r="R80" s="94" t="s">
        <v>897</v>
      </c>
      <c r="S80" s="94" t="s">
        <v>41</v>
      </c>
      <c r="T80" s="94" t="s">
        <v>898</v>
      </c>
      <c r="U80" s="94" t="s">
        <v>923</v>
      </c>
      <c r="V80" s="94" t="s">
        <v>44</v>
      </c>
      <c r="W80" s="94" t="s">
        <v>938</v>
      </c>
      <c r="X80" s="95" t="s">
        <v>171</v>
      </c>
      <c r="Y80" s="95" t="s">
        <v>171</v>
      </c>
      <c r="Z80" s="95" t="s">
        <v>1057</v>
      </c>
    </row>
    <row r="81" spans="1:26" s="105" customFormat="1" ht="84" x14ac:dyDescent="0.25">
      <c r="A81" s="112"/>
      <c r="B81" s="95" t="s">
        <v>892</v>
      </c>
      <c r="C81" s="113" t="s">
        <v>893</v>
      </c>
      <c r="D81" s="114" t="s">
        <v>893</v>
      </c>
      <c r="E81" s="114" t="s">
        <v>893</v>
      </c>
      <c r="F81" s="114" t="s">
        <v>893</v>
      </c>
      <c r="G81" s="114" t="s">
        <v>893</v>
      </c>
      <c r="H81" s="114" t="s">
        <v>893</v>
      </c>
      <c r="I81" s="114" t="s">
        <v>893</v>
      </c>
      <c r="J81" s="114" t="s">
        <v>893</v>
      </c>
      <c r="K81" s="114">
        <v>551610.99833907001</v>
      </c>
      <c r="L81" s="114">
        <v>580643.15614638955</v>
      </c>
      <c r="M81" s="114" t="s">
        <v>894</v>
      </c>
      <c r="N81" s="114" t="s">
        <v>894</v>
      </c>
      <c r="O81" s="94" t="s">
        <v>917</v>
      </c>
      <c r="P81" s="94" t="s">
        <v>1058</v>
      </c>
      <c r="Q81" s="94" t="s">
        <v>896</v>
      </c>
      <c r="R81" s="94" t="s">
        <v>897</v>
      </c>
      <c r="S81" s="94" t="s">
        <v>41</v>
      </c>
      <c r="T81" s="94" t="s">
        <v>913</v>
      </c>
      <c r="U81" s="94" t="s">
        <v>899</v>
      </c>
      <c r="V81" s="94" t="s">
        <v>193</v>
      </c>
      <c r="W81" s="94" t="s">
        <v>904</v>
      </c>
      <c r="X81" s="95" t="s">
        <v>171</v>
      </c>
      <c r="Y81" s="95" t="s">
        <v>171</v>
      </c>
      <c r="Z81" s="95" t="s">
        <v>1059</v>
      </c>
    </row>
    <row r="82" spans="1:26" s="105" customFormat="1" ht="84" x14ac:dyDescent="0.25">
      <c r="A82" s="112"/>
      <c r="B82" s="95" t="s">
        <v>892</v>
      </c>
      <c r="C82" s="113" t="s">
        <v>893</v>
      </c>
      <c r="D82" s="114" t="s">
        <v>893</v>
      </c>
      <c r="E82" s="114" t="s">
        <v>893</v>
      </c>
      <c r="F82" s="114" t="s">
        <v>893</v>
      </c>
      <c r="G82" s="114" t="s">
        <v>893</v>
      </c>
      <c r="H82" s="114" t="s">
        <v>893</v>
      </c>
      <c r="I82" s="114" t="s">
        <v>893</v>
      </c>
      <c r="J82" s="114" t="s">
        <v>893</v>
      </c>
      <c r="K82" s="114">
        <v>551610.99833907001</v>
      </c>
      <c r="L82" s="114">
        <v>580643.15614638955</v>
      </c>
      <c r="M82" s="114" t="s">
        <v>894</v>
      </c>
      <c r="N82" s="114" t="s">
        <v>894</v>
      </c>
      <c r="O82" s="94" t="s">
        <v>917</v>
      </c>
      <c r="P82" s="94" t="s">
        <v>1058</v>
      </c>
      <c r="Q82" s="94" t="s">
        <v>896</v>
      </c>
      <c r="R82" s="94" t="s">
        <v>897</v>
      </c>
      <c r="S82" s="94" t="s">
        <v>41</v>
      </c>
      <c r="T82" s="94" t="s">
        <v>913</v>
      </c>
      <c r="U82" s="94" t="s">
        <v>899</v>
      </c>
      <c r="V82" s="94" t="s">
        <v>193</v>
      </c>
      <c r="W82" s="94" t="s">
        <v>904</v>
      </c>
      <c r="X82" s="95" t="s">
        <v>171</v>
      </c>
      <c r="Y82" s="95" t="s">
        <v>171</v>
      </c>
      <c r="Z82" s="95" t="s">
        <v>1059</v>
      </c>
    </row>
    <row r="83" spans="1:26" s="105" customFormat="1" ht="84" x14ac:dyDescent="0.25">
      <c r="A83" s="112"/>
      <c r="B83" s="95" t="s">
        <v>892</v>
      </c>
      <c r="C83" s="113" t="s">
        <v>893</v>
      </c>
      <c r="D83" s="114" t="s">
        <v>893</v>
      </c>
      <c r="E83" s="114" t="s">
        <v>893</v>
      </c>
      <c r="F83" s="114" t="s">
        <v>893</v>
      </c>
      <c r="G83" s="114" t="s">
        <v>893</v>
      </c>
      <c r="H83" s="114" t="s">
        <v>893</v>
      </c>
      <c r="I83" s="114" t="s">
        <v>893</v>
      </c>
      <c r="J83" s="114" t="s">
        <v>893</v>
      </c>
      <c r="K83" s="114">
        <v>551610.99833907001</v>
      </c>
      <c r="L83" s="114">
        <v>580643.15614638955</v>
      </c>
      <c r="M83" s="114" t="s">
        <v>894</v>
      </c>
      <c r="N83" s="114" t="s">
        <v>894</v>
      </c>
      <c r="O83" s="94" t="s">
        <v>917</v>
      </c>
      <c r="P83" s="94" t="s">
        <v>1058</v>
      </c>
      <c r="Q83" s="94" t="s">
        <v>896</v>
      </c>
      <c r="R83" s="94" t="s">
        <v>897</v>
      </c>
      <c r="S83" s="94" t="s">
        <v>41</v>
      </c>
      <c r="T83" s="94" t="s">
        <v>913</v>
      </c>
      <c r="U83" s="94" t="s">
        <v>899</v>
      </c>
      <c r="V83" s="94" t="s">
        <v>193</v>
      </c>
      <c r="W83" s="94" t="s">
        <v>904</v>
      </c>
      <c r="X83" s="95" t="s">
        <v>171</v>
      </c>
      <c r="Y83" s="95" t="s">
        <v>171</v>
      </c>
      <c r="Z83" s="95" t="s">
        <v>1059</v>
      </c>
    </row>
    <row r="84" spans="1:26" s="105" customFormat="1" ht="96" x14ac:dyDescent="0.25">
      <c r="A84" s="112"/>
      <c r="B84" s="95" t="s">
        <v>892</v>
      </c>
      <c r="C84" s="113" t="s">
        <v>893</v>
      </c>
      <c r="D84" s="114" t="s">
        <v>893</v>
      </c>
      <c r="E84" s="114" t="s">
        <v>893</v>
      </c>
      <c r="F84" s="114" t="s">
        <v>893</v>
      </c>
      <c r="G84" s="114" t="s">
        <v>893</v>
      </c>
      <c r="H84" s="114" t="s">
        <v>893</v>
      </c>
      <c r="I84" s="114" t="s">
        <v>893</v>
      </c>
      <c r="J84" s="114" t="s">
        <v>893</v>
      </c>
      <c r="K84" s="114">
        <v>100000000</v>
      </c>
      <c r="L84" s="114">
        <v>105263157.89473684</v>
      </c>
      <c r="M84" s="114" t="s">
        <v>894</v>
      </c>
      <c r="N84" s="114" t="s">
        <v>894</v>
      </c>
      <c r="O84" s="94" t="s">
        <v>616</v>
      </c>
      <c r="P84" s="94" t="s">
        <v>1060</v>
      </c>
      <c r="Q84" s="94" t="s">
        <v>896</v>
      </c>
      <c r="R84" s="94" t="s">
        <v>897</v>
      </c>
      <c r="S84" s="94" t="s">
        <v>41</v>
      </c>
      <c r="T84" s="94" t="s">
        <v>898</v>
      </c>
      <c r="U84" s="94" t="s">
        <v>899</v>
      </c>
      <c r="V84" s="94" t="s">
        <v>193</v>
      </c>
      <c r="W84" s="94" t="s">
        <v>904</v>
      </c>
      <c r="X84" s="95" t="s">
        <v>171</v>
      </c>
      <c r="Y84" s="95" t="s">
        <v>171</v>
      </c>
      <c r="Z84" s="95" t="s">
        <v>1061</v>
      </c>
    </row>
    <row r="85" spans="1:26" s="105" customFormat="1" ht="132" x14ac:dyDescent="0.25">
      <c r="A85" s="112"/>
      <c r="B85" s="95" t="s">
        <v>892</v>
      </c>
      <c r="C85" s="113" t="s">
        <v>893</v>
      </c>
      <c r="D85" s="114" t="s">
        <v>893</v>
      </c>
      <c r="E85" s="114" t="s">
        <v>893</v>
      </c>
      <c r="F85" s="114" t="s">
        <v>893</v>
      </c>
      <c r="G85" s="114" t="s">
        <v>893</v>
      </c>
      <c r="H85" s="114" t="s">
        <v>893</v>
      </c>
      <c r="I85" s="114" t="s">
        <v>893</v>
      </c>
      <c r="J85" s="114" t="s">
        <v>893</v>
      </c>
      <c r="K85" s="114">
        <v>10216051.933799999</v>
      </c>
      <c r="L85" s="114">
        <v>10753738.877684209</v>
      </c>
      <c r="M85" s="114" t="s">
        <v>894</v>
      </c>
      <c r="N85" s="114" t="s">
        <v>894</v>
      </c>
      <c r="O85" s="94" t="s">
        <v>1062</v>
      </c>
      <c r="P85" s="94" t="s">
        <v>1063</v>
      </c>
      <c r="Q85" s="94" t="s">
        <v>896</v>
      </c>
      <c r="R85" s="94" t="s">
        <v>897</v>
      </c>
      <c r="S85" s="94" t="s">
        <v>41</v>
      </c>
      <c r="T85" s="94" t="s">
        <v>898</v>
      </c>
      <c r="U85" s="94" t="s">
        <v>899</v>
      </c>
      <c r="V85" s="94" t="s">
        <v>193</v>
      </c>
      <c r="W85" s="94" t="s">
        <v>971</v>
      </c>
      <c r="X85" s="95" t="s">
        <v>171</v>
      </c>
      <c r="Y85" s="95" t="s">
        <v>171</v>
      </c>
      <c r="Z85" s="95" t="s">
        <v>1064</v>
      </c>
    </row>
    <row r="86" spans="1:26" s="105" customFormat="1" ht="108" x14ac:dyDescent="0.25">
      <c r="A86" s="112"/>
      <c r="B86" s="95" t="s">
        <v>892</v>
      </c>
      <c r="C86" s="113" t="s">
        <v>893</v>
      </c>
      <c r="D86" s="114" t="s">
        <v>893</v>
      </c>
      <c r="E86" s="114" t="s">
        <v>893</v>
      </c>
      <c r="F86" s="114" t="s">
        <v>893</v>
      </c>
      <c r="G86" s="114" t="s">
        <v>893</v>
      </c>
      <c r="H86" s="114" t="s">
        <v>893</v>
      </c>
      <c r="I86" s="114" t="s">
        <v>893</v>
      </c>
      <c r="J86" s="114" t="s">
        <v>893</v>
      </c>
      <c r="K86" s="114">
        <v>9134544.2081599999</v>
      </c>
      <c r="L86" s="114">
        <v>9615309.6928000003</v>
      </c>
      <c r="M86" s="114" t="s">
        <v>894</v>
      </c>
      <c r="N86" s="114" t="s">
        <v>894</v>
      </c>
      <c r="O86" s="94" t="s">
        <v>211</v>
      </c>
      <c r="P86" s="94" t="s">
        <v>1065</v>
      </c>
      <c r="Q86" s="94" t="s">
        <v>896</v>
      </c>
      <c r="R86" s="94" t="s">
        <v>897</v>
      </c>
      <c r="S86" s="94" t="s">
        <v>41</v>
      </c>
      <c r="T86" s="94" t="s">
        <v>898</v>
      </c>
      <c r="U86" s="94" t="s">
        <v>899</v>
      </c>
      <c r="V86" s="94" t="s">
        <v>44</v>
      </c>
      <c r="W86" s="94" t="s">
        <v>924</v>
      </c>
      <c r="X86" s="95" t="s">
        <v>171</v>
      </c>
      <c r="Y86" s="95" t="s">
        <v>171</v>
      </c>
      <c r="Z86" s="95" t="s">
        <v>1066</v>
      </c>
    </row>
    <row r="87" spans="1:26" s="105" customFormat="1" ht="72" x14ac:dyDescent="0.25">
      <c r="A87" s="112"/>
      <c r="B87" s="95" t="s">
        <v>892</v>
      </c>
      <c r="C87" s="113" t="s">
        <v>893</v>
      </c>
      <c r="D87" s="114" t="s">
        <v>893</v>
      </c>
      <c r="E87" s="114" t="s">
        <v>893</v>
      </c>
      <c r="F87" s="114" t="s">
        <v>893</v>
      </c>
      <c r="G87" s="114" t="s">
        <v>893</v>
      </c>
      <c r="H87" s="114" t="s">
        <v>893</v>
      </c>
      <c r="I87" s="114" t="s">
        <v>893</v>
      </c>
      <c r="J87" s="114" t="s">
        <v>893</v>
      </c>
      <c r="K87" s="114">
        <v>6417788.1645520004</v>
      </c>
      <c r="L87" s="114">
        <v>6755566.4890021058</v>
      </c>
      <c r="M87" s="114" t="s">
        <v>894</v>
      </c>
      <c r="N87" s="114" t="s">
        <v>894</v>
      </c>
      <c r="O87" s="94" t="s">
        <v>917</v>
      </c>
      <c r="P87" s="94" t="s">
        <v>1067</v>
      </c>
      <c r="Q87" s="94" t="s">
        <v>896</v>
      </c>
      <c r="R87" s="94" t="s">
        <v>897</v>
      </c>
      <c r="S87" s="94" t="s">
        <v>41</v>
      </c>
      <c r="T87" s="94" t="s">
        <v>913</v>
      </c>
      <c r="U87" s="94" t="s">
        <v>899</v>
      </c>
      <c r="V87" s="94" t="s">
        <v>193</v>
      </c>
      <c r="W87" s="94" t="s">
        <v>904</v>
      </c>
      <c r="X87" s="95" t="s">
        <v>171</v>
      </c>
      <c r="Y87" s="95" t="s">
        <v>171</v>
      </c>
      <c r="Z87" s="95" t="s">
        <v>1068</v>
      </c>
    </row>
    <row r="88" spans="1:26" s="105" customFormat="1" ht="72" x14ac:dyDescent="0.25">
      <c r="A88" s="112"/>
      <c r="B88" s="95" t="s">
        <v>892</v>
      </c>
      <c r="C88" s="113" t="s">
        <v>893</v>
      </c>
      <c r="D88" s="114" t="s">
        <v>893</v>
      </c>
      <c r="E88" s="114" t="s">
        <v>893</v>
      </c>
      <c r="F88" s="114" t="s">
        <v>893</v>
      </c>
      <c r="G88" s="114" t="s">
        <v>893</v>
      </c>
      <c r="H88" s="114" t="s">
        <v>893</v>
      </c>
      <c r="I88" s="114" t="s">
        <v>893</v>
      </c>
      <c r="J88" s="114" t="s">
        <v>893</v>
      </c>
      <c r="K88" s="114">
        <v>803722.71106400003</v>
      </c>
      <c r="L88" s="114">
        <v>846023.90638315794</v>
      </c>
      <c r="M88" s="114" t="s">
        <v>894</v>
      </c>
      <c r="N88" s="114" t="s">
        <v>894</v>
      </c>
      <c r="O88" s="94" t="s">
        <v>1069</v>
      </c>
      <c r="P88" s="94" t="s">
        <v>1070</v>
      </c>
      <c r="Q88" s="94" t="s">
        <v>896</v>
      </c>
      <c r="R88" s="94" t="s">
        <v>897</v>
      </c>
      <c r="S88" s="94" t="s">
        <v>41</v>
      </c>
      <c r="T88" s="94" t="s">
        <v>913</v>
      </c>
      <c r="U88" s="94" t="s">
        <v>899</v>
      </c>
      <c r="V88" s="94" t="s">
        <v>193</v>
      </c>
      <c r="W88" s="94" t="s">
        <v>997</v>
      </c>
      <c r="X88" s="95" t="s">
        <v>171</v>
      </c>
      <c r="Y88" s="95" t="s">
        <v>171</v>
      </c>
      <c r="Z88" s="95" t="s">
        <v>1071</v>
      </c>
    </row>
    <row r="89" spans="1:26" s="105" customFormat="1" ht="72" x14ac:dyDescent="0.25">
      <c r="A89" s="112"/>
      <c r="B89" s="95" t="s">
        <v>892</v>
      </c>
      <c r="C89" s="113" t="s">
        <v>893</v>
      </c>
      <c r="D89" s="114" t="s">
        <v>893</v>
      </c>
      <c r="E89" s="114" t="s">
        <v>893</v>
      </c>
      <c r="F89" s="114" t="s">
        <v>893</v>
      </c>
      <c r="G89" s="114" t="s">
        <v>893</v>
      </c>
      <c r="H89" s="114" t="s">
        <v>893</v>
      </c>
      <c r="I89" s="114" t="s">
        <v>893</v>
      </c>
      <c r="J89" s="114" t="s">
        <v>893</v>
      </c>
      <c r="K89" s="114">
        <v>803722.71106400003</v>
      </c>
      <c r="L89" s="114">
        <v>846023.90638315794</v>
      </c>
      <c r="M89" s="114" t="s">
        <v>894</v>
      </c>
      <c r="N89" s="114" t="s">
        <v>894</v>
      </c>
      <c r="O89" s="94" t="s">
        <v>1069</v>
      </c>
      <c r="P89" s="94" t="s">
        <v>1070</v>
      </c>
      <c r="Q89" s="94" t="s">
        <v>896</v>
      </c>
      <c r="R89" s="94" t="s">
        <v>897</v>
      </c>
      <c r="S89" s="94" t="s">
        <v>41</v>
      </c>
      <c r="T89" s="94" t="s">
        <v>913</v>
      </c>
      <c r="U89" s="94" t="s">
        <v>899</v>
      </c>
      <c r="V89" s="94" t="s">
        <v>193</v>
      </c>
      <c r="W89" s="94" t="s">
        <v>997</v>
      </c>
      <c r="X89" s="95" t="s">
        <v>171</v>
      </c>
      <c r="Y89" s="95" t="s">
        <v>171</v>
      </c>
      <c r="Z89" s="95" t="s">
        <v>1071</v>
      </c>
    </row>
    <row r="90" spans="1:26" s="105" customFormat="1" ht="72" x14ac:dyDescent="0.25">
      <c r="A90" s="112"/>
      <c r="B90" s="95" t="s">
        <v>892</v>
      </c>
      <c r="C90" s="113" t="s">
        <v>893</v>
      </c>
      <c r="D90" s="114" t="s">
        <v>893</v>
      </c>
      <c r="E90" s="114" t="s">
        <v>893</v>
      </c>
      <c r="F90" s="114" t="s">
        <v>893</v>
      </c>
      <c r="G90" s="114" t="s">
        <v>893</v>
      </c>
      <c r="H90" s="114" t="s">
        <v>893</v>
      </c>
      <c r="I90" s="114" t="s">
        <v>893</v>
      </c>
      <c r="J90" s="114" t="s">
        <v>893</v>
      </c>
      <c r="K90" s="114">
        <v>4745026.5248883003</v>
      </c>
      <c r="L90" s="114">
        <v>4994764.7630403163</v>
      </c>
      <c r="M90" s="114" t="s">
        <v>894</v>
      </c>
      <c r="N90" s="114" t="s">
        <v>894</v>
      </c>
      <c r="O90" s="94" t="s">
        <v>889</v>
      </c>
      <c r="P90" s="94" t="s">
        <v>1072</v>
      </c>
      <c r="Q90" s="94" t="s">
        <v>896</v>
      </c>
      <c r="R90" s="94" t="s">
        <v>897</v>
      </c>
      <c r="S90" s="94" t="s">
        <v>41</v>
      </c>
      <c r="T90" s="94" t="s">
        <v>898</v>
      </c>
      <c r="U90" s="94" t="s">
        <v>945</v>
      </c>
      <c r="V90" s="94" t="s">
        <v>44</v>
      </c>
      <c r="W90" s="94" t="s">
        <v>924</v>
      </c>
      <c r="X90" s="95" t="s">
        <v>171</v>
      </c>
      <c r="Y90" s="95" t="s">
        <v>171</v>
      </c>
      <c r="Z90" s="95" t="s">
        <v>1073</v>
      </c>
    </row>
    <row r="91" spans="1:26" s="105" customFormat="1" ht="144" x14ac:dyDescent="0.25">
      <c r="A91" s="112"/>
      <c r="B91" s="95" t="s">
        <v>892</v>
      </c>
      <c r="C91" s="113" t="s">
        <v>893</v>
      </c>
      <c r="D91" s="114" t="s">
        <v>893</v>
      </c>
      <c r="E91" s="114" t="s">
        <v>893</v>
      </c>
      <c r="F91" s="114" t="s">
        <v>893</v>
      </c>
      <c r="G91" s="114" t="s">
        <v>893</v>
      </c>
      <c r="H91" s="114" t="s">
        <v>893</v>
      </c>
      <c r="I91" s="114" t="s">
        <v>893</v>
      </c>
      <c r="J91" s="114" t="s">
        <v>893</v>
      </c>
      <c r="K91" s="114">
        <v>132737.1</v>
      </c>
      <c r="L91" s="114">
        <v>139723.26315789475</v>
      </c>
      <c r="M91" s="114" t="s">
        <v>894</v>
      </c>
      <c r="N91" s="114" t="s">
        <v>894</v>
      </c>
      <c r="O91" s="94" t="s">
        <v>246</v>
      </c>
      <c r="P91" s="94" t="s">
        <v>1074</v>
      </c>
      <c r="Q91" s="94" t="s">
        <v>896</v>
      </c>
      <c r="R91" s="94" t="s">
        <v>897</v>
      </c>
      <c r="S91" s="94" t="s">
        <v>41</v>
      </c>
      <c r="T91" s="94" t="s">
        <v>898</v>
      </c>
      <c r="U91" s="94" t="s">
        <v>899</v>
      </c>
      <c r="V91" s="94" t="s">
        <v>49</v>
      </c>
      <c r="W91" s="94" t="s">
        <v>1008</v>
      </c>
      <c r="X91" s="95" t="s">
        <v>171</v>
      </c>
      <c r="Y91" s="95" t="s">
        <v>171</v>
      </c>
      <c r="Z91" s="95" t="s">
        <v>1075</v>
      </c>
    </row>
    <row r="92" spans="1:26" s="105" customFormat="1" ht="156" x14ac:dyDescent="0.25">
      <c r="A92" s="112"/>
      <c r="B92" s="95" t="s">
        <v>892</v>
      </c>
      <c r="C92" s="113" t="s">
        <v>893</v>
      </c>
      <c r="D92" s="114" t="s">
        <v>893</v>
      </c>
      <c r="E92" s="114" t="s">
        <v>893</v>
      </c>
      <c r="F92" s="114" t="s">
        <v>893</v>
      </c>
      <c r="G92" s="114" t="s">
        <v>893</v>
      </c>
      <c r="H92" s="114" t="s">
        <v>893</v>
      </c>
      <c r="I92" s="114" t="s">
        <v>893</v>
      </c>
      <c r="J92" s="114" t="s">
        <v>893</v>
      </c>
      <c r="K92" s="114">
        <v>2727590.3150754995</v>
      </c>
      <c r="L92" s="114">
        <v>2871147.7000794732</v>
      </c>
      <c r="M92" s="114" t="s">
        <v>894</v>
      </c>
      <c r="N92" s="114" t="s">
        <v>894</v>
      </c>
      <c r="O92" s="94" t="s">
        <v>917</v>
      </c>
      <c r="P92" s="94" t="s">
        <v>1076</v>
      </c>
      <c r="Q92" s="94" t="s">
        <v>896</v>
      </c>
      <c r="R92" s="94" t="s">
        <v>897</v>
      </c>
      <c r="S92" s="94" t="s">
        <v>41</v>
      </c>
      <c r="T92" s="94" t="s">
        <v>913</v>
      </c>
      <c r="U92" s="94" t="s">
        <v>945</v>
      </c>
      <c r="V92" s="94" t="s">
        <v>49</v>
      </c>
      <c r="W92" s="94" t="s">
        <v>1077</v>
      </c>
      <c r="X92" s="95" t="s">
        <v>171</v>
      </c>
      <c r="Y92" s="95" t="s">
        <v>171</v>
      </c>
      <c r="Z92" s="95" t="s">
        <v>1078</v>
      </c>
    </row>
    <row r="93" spans="1:26" s="105" customFormat="1" ht="72" x14ac:dyDescent="0.25">
      <c r="A93" s="112"/>
      <c r="B93" s="95" t="s">
        <v>892</v>
      </c>
      <c r="C93" s="113" t="s">
        <v>893</v>
      </c>
      <c r="D93" s="114" t="s">
        <v>893</v>
      </c>
      <c r="E93" s="114" t="s">
        <v>893</v>
      </c>
      <c r="F93" s="114" t="s">
        <v>893</v>
      </c>
      <c r="G93" s="114" t="s">
        <v>893</v>
      </c>
      <c r="H93" s="114" t="s">
        <v>893</v>
      </c>
      <c r="I93" s="114" t="s">
        <v>893</v>
      </c>
      <c r="J93" s="114" t="s">
        <v>893</v>
      </c>
      <c r="K93" s="114">
        <v>1678960.2939840001</v>
      </c>
      <c r="L93" s="114">
        <v>1767326.625246316</v>
      </c>
      <c r="M93" s="114" t="s">
        <v>894</v>
      </c>
      <c r="N93" s="114" t="s">
        <v>894</v>
      </c>
      <c r="O93" s="94" t="s">
        <v>1079</v>
      </c>
      <c r="P93" s="94" t="s">
        <v>1080</v>
      </c>
      <c r="Q93" s="94" t="s">
        <v>896</v>
      </c>
      <c r="R93" s="94" t="s">
        <v>897</v>
      </c>
      <c r="S93" s="94" t="s">
        <v>41</v>
      </c>
      <c r="T93" s="94" t="s">
        <v>913</v>
      </c>
      <c r="U93" s="94" t="s">
        <v>945</v>
      </c>
      <c r="V93" s="94" t="s">
        <v>50</v>
      </c>
      <c r="W93" s="94" t="s">
        <v>1081</v>
      </c>
      <c r="X93" s="95" t="s">
        <v>171</v>
      </c>
      <c r="Y93" s="95" t="s">
        <v>171</v>
      </c>
      <c r="Z93" s="95" t="s">
        <v>1082</v>
      </c>
    </row>
    <row r="94" spans="1:26" s="105" customFormat="1" ht="288" x14ac:dyDescent="0.25">
      <c r="A94" s="112"/>
      <c r="B94" s="95" t="s">
        <v>892</v>
      </c>
      <c r="C94" s="113" t="s">
        <v>893</v>
      </c>
      <c r="D94" s="114" t="s">
        <v>893</v>
      </c>
      <c r="E94" s="114" t="s">
        <v>893</v>
      </c>
      <c r="F94" s="114" t="s">
        <v>893</v>
      </c>
      <c r="G94" s="114" t="s">
        <v>893</v>
      </c>
      <c r="H94" s="114" t="s">
        <v>893</v>
      </c>
      <c r="I94" s="114" t="s">
        <v>893</v>
      </c>
      <c r="J94" s="114" t="s">
        <v>893</v>
      </c>
      <c r="K94" s="114">
        <v>2981795.29</v>
      </c>
      <c r="L94" s="114">
        <v>3138731.8842105265</v>
      </c>
      <c r="M94" s="114" t="s">
        <v>894</v>
      </c>
      <c r="N94" s="114" t="s">
        <v>894</v>
      </c>
      <c r="O94" s="94" t="s">
        <v>973</v>
      </c>
      <c r="P94" s="94" t="s">
        <v>1083</v>
      </c>
      <c r="Q94" s="94" t="s">
        <v>896</v>
      </c>
      <c r="R94" s="94" t="s">
        <v>897</v>
      </c>
      <c r="S94" s="94" t="s">
        <v>894</v>
      </c>
      <c r="T94" s="94" t="s">
        <v>42</v>
      </c>
      <c r="U94" s="94" t="s">
        <v>899</v>
      </c>
      <c r="V94" s="94" t="s">
        <v>193</v>
      </c>
      <c r="W94" s="94" t="s">
        <v>941</v>
      </c>
      <c r="X94" s="95" t="s">
        <v>171</v>
      </c>
      <c r="Y94" s="95" t="s">
        <v>171</v>
      </c>
      <c r="Z94" s="95" t="s">
        <v>1084</v>
      </c>
    </row>
    <row r="95" spans="1:26" s="105" customFormat="1" ht="96" x14ac:dyDescent="0.25">
      <c r="A95" s="112"/>
      <c r="B95" s="95" t="s">
        <v>892</v>
      </c>
      <c r="C95" s="113" t="s">
        <v>893</v>
      </c>
      <c r="D95" s="114" t="s">
        <v>893</v>
      </c>
      <c r="E95" s="114" t="s">
        <v>893</v>
      </c>
      <c r="F95" s="114" t="s">
        <v>893</v>
      </c>
      <c r="G95" s="114" t="s">
        <v>893</v>
      </c>
      <c r="H95" s="114" t="s">
        <v>893</v>
      </c>
      <c r="I95" s="114" t="s">
        <v>893</v>
      </c>
      <c r="J95" s="114" t="s">
        <v>893</v>
      </c>
      <c r="K95" s="114">
        <v>833031.40859999997</v>
      </c>
      <c r="L95" s="114">
        <v>876875.16694736842</v>
      </c>
      <c r="M95" s="114" t="s">
        <v>894</v>
      </c>
      <c r="N95" s="114" t="s">
        <v>894</v>
      </c>
      <c r="O95" s="94" t="s">
        <v>262</v>
      </c>
      <c r="P95" s="94" t="s">
        <v>1085</v>
      </c>
      <c r="Q95" s="94" t="s">
        <v>896</v>
      </c>
      <c r="R95" s="94" t="s">
        <v>897</v>
      </c>
      <c r="S95" s="94" t="s">
        <v>41</v>
      </c>
      <c r="T95" s="94" t="s">
        <v>898</v>
      </c>
      <c r="U95" s="94" t="s">
        <v>945</v>
      </c>
      <c r="V95" s="94" t="s">
        <v>44</v>
      </c>
      <c r="W95" s="94" t="s">
        <v>924</v>
      </c>
      <c r="X95" s="95" t="s">
        <v>171</v>
      </c>
      <c r="Y95" s="95" t="s">
        <v>171</v>
      </c>
      <c r="Z95" s="95" t="s">
        <v>1086</v>
      </c>
    </row>
    <row r="96" spans="1:26" s="105" customFormat="1" ht="132" x14ac:dyDescent="0.25">
      <c r="A96" s="112"/>
      <c r="B96" s="95" t="s">
        <v>892</v>
      </c>
      <c r="C96" s="113" t="s">
        <v>893</v>
      </c>
      <c r="D96" s="114" t="s">
        <v>893</v>
      </c>
      <c r="E96" s="114" t="s">
        <v>893</v>
      </c>
      <c r="F96" s="114" t="s">
        <v>893</v>
      </c>
      <c r="G96" s="114" t="s">
        <v>893</v>
      </c>
      <c r="H96" s="114" t="s">
        <v>893</v>
      </c>
      <c r="I96" s="114" t="s">
        <v>893</v>
      </c>
      <c r="J96" s="114" t="s">
        <v>893</v>
      </c>
      <c r="K96" s="114">
        <v>4123627.5849258001</v>
      </c>
      <c r="L96" s="114">
        <v>4340660.6157113686</v>
      </c>
      <c r="M96" s="114" t="s">
        <v>894</v>
      </c>
      <c r="N96" s="114" t="s">
        <v>894</v>
      </c>
      <c r="O96" s="94" t="s">
        <v>616</v>
      </c>
      <c r="P96" s="94" t="s">
        <v>1087</v>
      </c>
      <c r="Q96" s="94" t="s">
        <v>896</v>
      </c>
      <c r="R96" s="94" t="s">
        <v>897</v>
      </c>
      <c r="S96" s="94" t="s">
        <v>41</v>
      </c>
      <c r="T96" s="94" t="s">
        <v>913</v>
      </c>
      <c r="U96" s="94" t="s">
        <v>899</v>
      </c>
      <c r="V96" s="94" t="s">
        <v>49</v>
      </c>
      <c r="W96" s="94" t="s">
        <v>997</v>
      </c>
      <c r="X96" s="95" t="s">
        <v>171</v>
      </c>
      <c r="Y96" s="95" t="s">
        <v>171</v>
      </c>
      <c r="Z96" s="95" t="s">
        <v>1088</v>
      </c>
    </row>
    <row r="97" spans="1:26" s="105" customFormat="1" ht="60" x14ac:dyDescent="0.25">
      <c r="A97" s="112"/>
      <c r="B97" s="95" t="s">
        <v>892</v>
      </c>
      <c r="C97" s="113" t="s">
        <v>893</v>
      </c>
      <c r="D97" s="114" t="s">
        <v>893</v>
      </c>
      <c r="E97" s="114" t="s">
        <v>893</v>
      </c>
      <c r="F97" s="114" t="s">
        <v>893</v>
      </c>
      <c r="G97" s="114" t="s">
        <v>893</v>
      </c>
      <c r="H97" s="114" t="s">
        <v>893</v>
      </c>
      <c r="I97" s="114" t="s">
        <v>893</v>
      </c>
      <c r="J97" s="114" t="s">
        <v>893</v>
      </c>
      <c r="K97" s="114">
        <v>1033788.42</v>
      </c>
      <c r="L97" s="114">
        <v>1088198.3368421053</v>
      </c>
      <c r="M97" s="114" t="s">
        <v>894</v>
      </c>
      <c r="N97" s="114" t="s">
        <v>894</v>
      </c>
      <c r="O97" s="94" t="s">
        <v>246</v>
      </c>
      <c r="P97" s="94" t="s">
        <v>1089</v>
      </c>
      <c r="Q97" s="94" t="s">
        <v>896</v>
      </c>
      <c r="R97" s="94" t="s">
        <v>897</v>
      </c>
      <c r="S97" s="94" t="s">
        <v>41</v>
      </c>
      <c r="T97" s="94" t="s">
        <v>898</v>
      </c>
      <c r="U97" s="94" t="s">
        <v>899</v>
      </c>
      <c r="V97" s="94" t="s">
        <v>49</v>
      </c>
      <c r="W97" s="94" t="s">
        <v>907</v>
      </c>
      <c r="X97" s="95" t="s">
        <v>171</v>
      </c>
      <c r="Y97" s="95" t="s">
        <v>171</v>
      </c>
      <c r="Z97" s="95" t="s">
        <v>1090</v>
      </c>
    </row>
    <row r="98" spans="1:26" s="105" customFormat="1" ht="84" x14ac:dyDescent="0.25">
      <c r="A98" s="112"/>
      <c r="B98" s="95" t="s">
        <v>892</v>
      </c>
      <c r="C98" s="113" t="s">
        <v>893</v>
      </c>
      <c r="D98" s="114" t="s">
        <v>893</v>
      </c>
      <c r="E98" s="114" t="s">
        <v>893</v>
      </c>
      <c r="F98" s="114" t="s">
        <v>893</v>
      </c>
      <c r="G98" s="114" t="s">
        <v>893</v>
      </c>
      <c r="H98" s="114" t="s">
        <v>893</v>
      </c>
      <c r="I98" s="114" t="s">
        <v>893</v>
      </c>
      <c r="J98" s="114" t="s">
        <v>893</v>
      </c>
      <c r="K98" s="114">
        <v>2100000</v>
      </c>
      <c r="L98" s="114">
        <v>2210526.3157894737</v>
      </c>
      <c r="M98" s="114" t="s">
        <v>894</v>
      </c>
      <c r="N98" s="114" t="s">
        <v>894</v>
      </c>
      <c r="O98" s="94" t="s">
        <v>61</v>
      </c>
      <c r="P98" s="94" t="s">
        <v>1091</v>
      </c>
      <c r="Q98" s="94" t="s">
        <v>896</v>
      </c>
      <c r="R98" s="94" t="s">
        <v>897</v>
      </c>
      <c r="S98" s="94" t="s">
        <v>41</v>
      </c>
      <c r="T98" s="94" t="s">
        <v>898</v>
      </c>
      <c r="U98" s="94" t="s">
        <v>923</v>
      </c>
      <c r="V98" s="94" t="s">
        <v>44</v>
      </c>
      <c r="W98" s="94" t="s">
        <v>938</v>
      </c>
      <c r="X98" s="95" t="s">
        <v>171</v>
      </c>
      <c r="Y98" s="95" t="s">
        <v>171</v>
      </c>
      <c r="Z98" s="95" t="s">
        <v>1092</v>
      </c>
    </row>
    <row r="99" spans="1:26" s="105" customFormat="1" ht="84" x14ac:dyDescent="0.25">
      <c r="A99" s="112"/>
      <c r="B99" s="95" t="s">
        <v>892</v>
      </c>
      <c r="C99" s="113" t="s">
        <v>893</v>
      </c>
      <c r="D99" s="114" t="s">
        <v>893</v>
      </c>
      <c r="E99" s="114" t="s">
        <v>893</v>
      </c>
      <c r="F99" s="114" t="s">
        <v>893</v>
      </c>
      <c r="G99" s="114" t="s">
        <v>893</v>
      </c>
      <c r="H99" s="114" t="s">
        <v>893</v>
      </c>
      <c r="I99" s="114" t="s">
        <v>893</v>
      </c>
      <c r="J99" s="114" t="s">
        <v>893</v>
      </c>
      <c r="K99" s="114">
        <v>4000000</v>
      </c>
      <c r="L99" s="114">
        <v>4210526.3157894742</v>
      </c>
      <c r="M99" s="114" t="s">
        <v>894</v>
      </c>
      <c r="N99" s="114" t="s">
        <v>894</v>
      </c>
      <c r="O99" s="94" t="s">
        <v>789</v>
      </c>
      <c r="P99" s="94" t="s">
        <v>1093</v>
      </c>
      <c r="Q99" s="94" t="s">
        <v>896</v>
      </c>
      <c r="R99" s="94" t="s">
        <v>897</v>
      </c>
      <c r="S99" s="94" t="s">
        <v>41</v>
      </c>
      <c r="T99" s="94" t="s">
        <v>898</v>
      </c>
      <c r="U99" s="94" t="s">
        <v>923</v>
      </c>
      <c r="V99" s="94" t="s">
        <v>54</v>
      </c>
      <c r="W99" s="94" t="e">
        <v>#N/A</v>
      </c>
      <c r="X99" s="95" t="s">
        <v>171</v>
      </c>
      <c r="Y99" s="95" t="s">
        <v>171</v>
      </c>
      <c r="Z99" s="95" t="s">
        <v>1094</v>
      </c>
    </row>
    <row r="100" spans="1:26" s="105" customFormat="1" ht="84" x14ac:dyDescent="0.25">
      <c r="A100" s="112"/>
      <c r="B100" s="95" t="s">
        <v>892</v>
      </c>
      <c r="C100" s="113" t="s">
        <v>893</v>
      </c>
      <c r="D100" s="114" t="s">
        <v>893</v>
      </c>
      <c r="E100" s="114" t="s">
        <v>893</v>
      </c>
      <c r="F100" s="114" t="s">
        <v>893</v>
      </c>
      <c r="G100" s="114" t="s">
        <v>893</v>
      </c>
      <c r="H100" s="114" t="s">
        <v>893</v>
      </c>
      <c r="I100" s="114" t="s">
        <v>893</v>
      </c>
      <c r="J100" s="114" t="s">
        <v>893</v>
      </c>
      <c r="K100" s="114">
        <v>2346127.0450480641</v>
      </c>
      <c r="L100" s="114">
        <v>2469607.4158400674</v>
      </c>
      <c r="M100" s="114" t="s">
        <v>894</v>
      </c>
      <c r="N100" s="114" t="s">
        <v>894</v>
      </c>
      <c r="O100" s="94" t="s">
        <v>355</v>
      </c>
      <c r="P100" s="94" t="s">
        <v>1095</v>
      </c>
      <c r="Q100" s="94" t="s">
        <v>896</v>
      </c>
      <c r="R100" s="94" t="s">
        <v>897</v>
      </c>
      <c r="S100" s="94" t="s">
        <v>41</v>
      </c>
      <c r="T100" s="94" t="s">
        <v>898</v>
      </c>
      <c r="U100" s="94" t="s">
        <v>899</v>
      </c>
      <c r="V100" s="94" t="s">
        <v>44</v>
      </c>
      <c r="W100" s="94" t="s">
        <v>924</v>
      </c>
      <c r="X100" s="95" t="s">
        <v>171</v>
      </c>
      <c r="Y100" s="95" t="s">
        <v>171</v>
      </c>
      <c r="Z100" s="95" t="s">
        <v>1096</v>
      </c>
    </row>
    <row r="101" spans="1:26" s="105" customFormat="1" ht="72" x14ac:dyDescent="0.25">
      <c r="A101" s="112"/>
      <c r="B101" s="95" t="s">
        <v>892</v>
      </c>
      <c r="C101" s="113" t="s">
        <v>893</v>
      </c>
      <c r="D101" s="114" t="s">
        <v>893</v>
      </c>
      <c r="E101" s="114" t="s">
        <v>893</v>
      </c>
      <c r="F101" s="114" t="s">
        <v>893</v>
      </c>
      <c r="G101" s="114" t="s">
        <v>893</v>
      </c>
      <c r="H101" s="114" t="s">
        <v>893</v>
      </c>
      <c r="I101" s="114" t="s">
        <v>893</v>
      </c>
      <c r="J101" s="114" t="s">
        <v>893</v>
      </c>
      <c r="K101" s="114">
        <v>125599.10540000001</v>
      </c>
      <c r="L101" s="114">
        <v>132209.58463157897</v>
      </c>
      <c r="M101" s="114" t="s">
        <v>894</v>
      </c>
      <c r="N101" s="114" t="s">
        <v>894</v>
      </c>
      <c r="O101" s="94" t="s">
        <v>237</v>
      </c>
      <c r="P101" s="94" t="s">
        <v>1097</v>
      </c>
      <c r="Q101" s="94" t="s">
        <v>896</v>
      </c>
      <c r="R101" s="94" t="s">
        <v>897</v>
      </c>
      <c r="S101" s="94" t="s">
        <v>679</v>
      </c>
      <c r="T101" s="94" t="s">
        <v>898</v>
      </c>
      <c r="U101" s="94" t="s">
        <v>899</v>
      </c>
      <c r="V101" s="94" t="s">
        <v>63</v>
      </c>
      <c r="W101" s="94" t="s">
        <v>975</v>
      </c>
      <c r="X101" s="95" t="s">
        <v>171</v>
      </c>
      <c r="Y101" s="95" t="s">
        <v>171</v>
      </c>
      <c r="Z101" s="95" t="s">
        <v>1098</v>
      </c>
    </row>
    <row r="102" spans="1:26" s="105" customFormat="1" ht="84" x14ac:dyDescent="0.25">
      <c r="A102" s="112"/>
      <c r="B102" s="95" t="s">
        <v>892</v>
      </c>
      <c r="C102" s="113" t="s">
        <v>893</v>
      </c>
      <c r="D102" s="114" t="s">
        <v>893</v>
      </c>
      <c r="E102" s="114" t="s">
        <v>893</v>
      </c>
      <c r="F102" s="114" t="s">
        <v>893</v>
      </c>
      <c r="G102" s="114" t="s">
        <v>893</v>
      </c>
      <c r="H102" s="114" t="s">
        <v>893</v>
      </c>
      <c r="I102" s="114" t="s">
        <v>893</v>
      </c>
      <c r="J102" s="114" t="s">
        <v>893</v>
      </c>
      <c r="K102" s="114">
        <v>35100</v>
      </c>
      <c r="L102" s="114">
        <v>36947.368421052633</v>
      </c>
      <c r="M102" s="114" t="s">
        <v>894</v>
      </c>
      <c r="N102" s="114" t="s">
        <v>894</v>
      </c>
      <c r="O102" s="94" t="s">
        <v>246</v>
      </c>
      <c r="P102" s="94" t="s">
        <v>1099</v>
      </c>
      <c r="Q102" s="94" t="s">
        <v>896</v>
      </c>
      <c r="R102" s="94" t="s">
        <v>897</v>
      </c>
      <c r="S102" s="94" t="s">
        <v>679</v>
      </c>
      <c r="T102" s="94" t="s">
        <v>898</v>
      </c>
      <c r="U102" s="94" t="s">
        <v>899</v>
      </c>
      <c r="V102" s="94" t="s">
        <v>49</v>
      </c>
      <c r="W102" s="94" t="s">
        <v>1008</v>
      </c>
      <c r="X102" s="95" t="s">
        <v>171</v>
      </c>
      <c r="Y102" s="95" t="s">
        <v>171</v>
      </c>
      <c r="Z102" s="95" t="s">
        <v>1100</v>
      </c>
    </row>
    <row r="103" spans="1:26" s="105" customFormat="1" ht="216" x14ac:dyDescent="0.25">
      <c r="A103" s="112"/>
      <c r="B103" s="95" t="s">
        <v>892</v>
      </c>
      <c r="C103" s="113" t="s">
        <v>893</v>
      </c>
      <c r="D103" s="114" t="s">
        <v>893</v>
      </c>
      <c r="E103" s="114" t="s">
        <v>893</v>
      </c>
      <c r="F103" s="114" t="s">
        <v>893</v>
      </c>
      <c r="G103" s="114" t="s">
        <v>893</v>
      </c>
      <c r="H103" s="114" t="s">
        <v>893</v>
      </c>
      <c r="I103" s="114" t="s">
        <v>893</v>
      </c>
      <c r="J103" s="114" t="s">
        <v>893</v>
      </c>
      <c r="K103" s="114">
        <v>55191213.789999999</v>
      </c>
      <c r="L103" s="114">
        <v>58096014.515789479</v>
      </c>
      <c r="M103" s="114" t="s">
        <v>894</v>
      </c>
      <c r="N103" s="114" t="s">
        <v>894</v>
      </c>
      <c r="O103" s="94" t="s">
        <v>902</v>
      </c>
      <c r="P103" s="94" t="s">
        <v>1101</v>
      </c>
      <c r="Q103" s="94" t="s">
        <v>896</v>
      </c>
      <c r="R103" s="94" t="s">
        <v>897</v>
      </c>
      <c r="S103" s="94" t="s">
        <v>41</v>
      </c>
      <c r="T103" s="94" t="s">
        <v>898</v>
      </c>
      <c r="U103" s="94" t="s">
        <v>899</v>
      </c>
      <c r="V103" s="94" t="s">
        <v>54</v>
      </c>
      <c r="W103" s="94" t="s">
        <v>1102</v>
      </c>
      <c r="X103" s="95" t="s">
        <v>171</v>
      </c>
      <c r="Y103" s="95" t="s">
        <v>171</v>
      </c>
      <c r="Z103" s="95" t="s">
        <v>1103</v>
      </c>
    </row>
    <row r="104" spans="1:26" s="105" customFormat="1" ht="72" x14ac:dyDescent="0.25">
      <c r="A104" s="112"/>
      <c r="B104" s="95" t="s">
        <v>892</v>
      </c>
      <c r="C104" s="113" t="s">
        <v>893</v>
      </c>
      <c r="D104" s="114" t="s">
        <v>893</v>
      </c>
      <c r="E104" s="114" t="s">
        <v>893</v>
      </c>
      <c r="F104" s="114" t="s">
        <v>893</v>
      </c>
      <c r="G104" s="114" t="s">
        <v>893</v>
      </c>
      <c r="H104" s="114" t="s">
        <v>893</v>
      </c>
      <c r="I104" s="114" t="s">
        <v>893</v>
      </c>
      <c r="J104" s="114" t="s">
        <v>893</v>
      </c>
      <c r="K104" s="114">
        <v>1521703.51</v>
      </c>
      <c r="L104" s="114">
        <v>1601793.1684210526</v>
      </c>
      <c r="M104" s="114" t="s">
        <v>894</v>
      </c>
      <c r="N104" s="114" t="s">
        <v>894</v>
      </c>
      <c r="O104" s="94" t="s">
        <v>1104</v>
      </c>
      <c r="P104" s="94" t="s">
        <v>1105</v>
      </c>
      <c r="Q104" s="94" t="s">
        <v>896</v>
      </c>
      <c r="R104" s="94" t="s">
        <v>897</v>
      </c>
      <c r="S104" s="94" t="s">
        <v>41</v>
      </c>
      <c r="T104" s="94" t="s">
        <v>898</v>
      </c>
      <c r="U104" s="94" t="s">
        <v>923</v>
      </c>
      <c r="V104" s="94" t="s">
        <v>54</v>
      </c>
      <c r="W104" s="94" t="e">
        <v>#N/A</v>
      </c>
      <c r="X104" s="95" t="s">
        <v>171</v>
      </c>
      <c r="Y104" s="95" t="s">
        <v>171</v>
      </c>
      <c r="Z104" s="95" t="s">
        <v>1106</v>
      </c>
    </row>
    <row r="105" spans="1:26" s="105" customFormat="1" ht="72" x14ac:dyDescent="0.25">
      <c r="A105" s="112"/>
      <c r="B105" s="95" t="s">
        <v>892</v>
      </c>
      <c r="C105" s="113" t="s">
        <v>893</v>
      </c>
      <c r="D105" s="114" t="s">
        <v>893</v>
      </c>
      <c r="E105" s="114" t="s">
        <v>893</v>
      </c>
      <c r="F105" s="114" t="s">
        <v>893</v>
      </c>
      <c r="G105" s="114" t="s">
        <v>893</v>
      </c>
      <c r="H105" s="114" t="s">
        <v>893</v>
      </c>
      <c r="I105" s="114" t="s">
        <v>893</v>
      </c>
      <c r="J105" s="114" t="s">
        <v>893</v>
      </c>
      <c r="K105" s="114">
        <v>357689.47000000003</v>
      </c>
      <c r="L105" s="114">
        <v>376515.23157894739</v>
      </c>
      <c r="M105" s="114" t="s">
        <v>894</v>
      </c>
      <c r="N105" s="114" t="s">
        <v>894</v>
      </c>
      <c r="O105" s="94" t="s">
        <v>1104</v>
      </c>
      <c r="P105" s="94" t="s">
        <v>1105</v>
      </c>
      <c r="Q105" s="94" t="s">
        <v>896</v>
      </c>
      <c r="R105" s="94" t="s">
        <v>897</v>
      </c>
      <c r="S105" s="94" t="e">
        <v>#N/A</v>
      </c>
      <c r="T105" s="94" t="s">
        <v>42</v>
      </c>
      <c r="U105" s="94" t="s">
        <v>923</v>
      </c>
      <c r="V105" s="94" t="s">
        <v>54</v>
      </c>
      <c r="W105" s="94" t="e">
        <v>#N/A</v>
      </c>
      <c r="X105" s="95" t="s">
        <v>171</v>
      </c>
      <c r="Y105" s="95" t="s">
        <v>171</v>
      </c>
      <c r="Z105" s="95" t="s">
        <v>1106</v>
      </c>
    </row>
    <row r="106" spans="1:26" s="105" customFormat="1" ht="60" x14ac:dyDescent="0.25">
      <c r="A106" s="112"/>
      <c r="B106" s="95" t="s">
        <v>892</v>
      </c>
      <c r="C106" s="113" t="s">
        <v>893</v>
      </c>
      <c r="D106" s="114" t="s">
        <v>893</v>
      </c>
      <c r="E106" s="114" t="s">
        <v>893</v>
      </c>
      <c r="F106" s="114" t="s">
        <v>893</v>
      </c>
      <c r="G106" s="114" t="s">
        <v>893</v>
      </c>
      <c r="H106" s="114" t="s">
        <v>893</v>
      </c>
      <c r="I106" s="114" t="s">
        <v>893</v>
      </c>
      <c r="J106" s="114" t="s">
        <v>893</v>
      </c>
      <c r="K106" s="114">
        <v>3193458.97</v>
      </c>
      <c r="L106" s="114">
        <v>3361535.7578947372</v>
      </c>
      <c r="M106" s="114" t="s">
        <v>894</v>
      </c>
      <c r="N106" s="114" t="s">
        <v>894</v>
      </c>
      <c r="O106" s="94" t="s">
        <v>443</v>
      </c>
      <c r="P106" s="94" t="s">
        <v>1107</v>
      </c>
      <c r="Q106" s="94" t="s">
        <v>896</v>
      </c>
      <c r="R106" s="94" t="s">
        <v>897</v>
      </c>
      <c r="S106" s="94" t="s">
        <v>41</v>
      </c>
      <c r="T106" s="94" t="s">
        <v>898</v>
      </c>
      <c r="U106" s="94" t="s">
        <v>899</v>
      </c>
      <c r="V106" s="94" t="s">
        <v>193</v>
      </c>
      <c r="W106" s="94" t="s">
        <v>941</v>
      </c>
      <c r="X106" s="95" t="s">
        <v>171</v>
      </c>
      <c r="Y106" s="95" t="s">
        <v>171</v>
      </c>
      <c r="Z106" s="95" t="s">
        <v>1108</v>
      </c>
    </row>
    <row r="107" spans="1:26" s="105" customFormat="1" ht="96" x14ac:dyDescent="0.25">
      <c r="A107" s="112"/>
      <c r="B107" s="95" t="s">
        <v>892</v>
      </c>
      <c r="C107" s="113" t="s">
        <v>893</v>
      </c>
      <c r="D107" s="114" t="s">
        <v>893</v>
      </c>
      <c r="E107" s="114" t="s">
        <v>893</v>
      </c>
      <c r="F107" s="114" t="s">
        <v>893</v>
      </c>
      <c r="G107" s="114" t="s">
        <v>893</v>
      </c>
      <c r="H107" s="114" t="s">
        <v>893</v>
      </c>
      <c r="I107" s="114" t="s">
        <v>893</v>
      </c>
      <c r="J107" s="114" t="s">
        <v>893</v>
      </c>
      <c r="K107" s="114">
        <v>9236427.4981069993</v>
      </c>
      <c r="L107" s="114">
        <v>9722555.2611652631</v>
      </c>
      <c r="M107" s="114" t="s">
        <v>894</v>
      </c>
      <c r="N107" s="114" t="s">
        <v>894</v>
      </c>
      <c r="O107" s="94" t="s">
        <v>917</v>
      </c>
      <c r="P107" s="94" t="s">
        <v>1109</v>
      </c>
      <c r="Q107" s="94" t="s">
        <v>896</v>
      </c>
      <c r="R107" s="94" t="s">
        <v>897</v>
      </c>
      <c r="S107" s="94" t="s">
        <v>41</v>
      </c>
      <c r="T107" s="94" t="s">
        <v>913</v>
      </c>
      <c r="U107" s="94" t="s">
        <v>899</v>
      </c>
      <c r="V107" s="94" t="s">
        <v>193</v>
      </c>
      <c r="W107" s="94" t="s">
        <v>904</v>
      </c>
      <c r="X107" s="95" t="s">
        <v>171</v>
      </c>
      <c r="Y107" s="95" t="s">
        <v>171</v>
      </c>
      <c r="Z107" s="95" t="s">
        <v>1110</v>
      </c>
    </row>
    <row r="108" spans="1:26" s="105" customFormat="1" ht="120" x14ac:dyDescent="0.25">
      <c r="A108" s="112"/>
      <c r="B108" s="95" t="s">
        <v>892</v>
      </c>
      <c r="C108" s="113" t="s">
        <v>893</v>
      </c>
      <c r="D108" s="114" t="s">
        <v>893</v>
      </c>
      <c r="E108" s="114" t="s">
        <v>893</v>
      </c>
      <c r="F108" s="114" t="s">
        <v>893</v>
      </c>
      <c r="G108" s="114" t="s">
        <v>893</v>
      </c>
      <c r="H108" s="114" t="s">
        <v>893</v>
      </c>
      <c r="I108" s="114" t="s">
        <v>893</v>
      </c>
      <c r="J108" s="114" t="s">
        <v>893</v>
      </c>
      <c r="K108" s="114">
        <v>27999.999999999996</v>
      </c>
      <c r="L108" s="114">
        <v>29473.684210526313</v>
      </c>
      <c r="M108" s="114" t="s">
        <v>894</v>
      </c>
      <c r="N108" s="114" t="s">
        <v>894</v>
      </c>
      <c r="O108" s="94" t="s">
        <v>491</v>
      </c>
      <c r="P108" s="94" t="s">
        <v>1111</v>
      </c>
      <c r="Q108" s="94" t="s">
        <v>896</v>
      </c>
      <c r="R108" s="94" t="s">
        <v>897</v>
      </c>
      <c r="S108" s="94" t="s">
        <v>679</v>
      </c>
      <c r="T108" s="94" t="s">
        <v>898</v>
      </c>
      <c r="U108" s="94" t="s">
        <v>899</v>
      </c>
      <c r="V108" s="94" t="s">
        <v>49</v>
      </c>
      <c r="W108" s="94" t="s">
        <v>1008</v>
      </c>
      <c r="X108" s="95" t="s">
        <v>171</v>
      </c>
      <c r="Y108" s="95" t="s">
        <v>171</v>
      </c>
      <c r="Z108" s="95" t="s">
        <v>1112</v>
      </c>
    </row>
    <row r="109" spans="1:26" s="105" customFormat="1" ht="120" x14ac:dyDescent="0.25">
      <c r="A109" s="112"/>
      <c r="B109" s="95" t="s">
        <v>892</v>
      </c>
      <c r="C109" s="113" t="s">
        <v>893</v>
      </c>
      <c r="D109" s="114" t="s">
        <v>893</v>
      </c>
      <c r="E109" s="114" t="s">
        <v>893</v>
      </c>
      <c r="F109" s="114" t="s">
        <v>893</v>
      </c>
      <c r="G109" s="114" t="s">
        <v>893</v>
      </c>
      <c r="H109" s="114" t="s">
        <v>893</v>
      </c>
      <c r="I109" s="114" t="s">
        <v>893</v>
      </c>
      <c r="J109" s="114" t="s">
        <v>893</v>
      </c>
      <c r="K109" s="114">
        <v>20000</v>
      </c>
      <c r="L109" s="114">
        <v>21052.63157894737</v>
      </c>
      <c r="M109" s="114" t="s">
        <v>894</v>
      </c>
      <c r="N109" s="114" t="s">
        <v>894</v>
      </c>
      <c r="O109" s="94" t="s">
        <v>491</v>
      </c>
      <c r="P109" s="94" t="s">
        <v>1111</v>
      </c>
      <c r="Q109" s="94" t="s">
        <v>896</v>
      </c>
      <c r="R109" s="94" t="s">
        <v>897</v>
      </c>
      <c r="S109" s="94" t="s">
        <v>679</v>
      </c>
      <c r="T109" s="94" t="s">
        <v>898</v>
      </c>
      <c r="U109" s="94" t="s">
        <v>899</v>
      </c>
      <c r="V109" s="94" t="s">
        <v>49</v>
      </c>
      <c r="W109" s="94" t="s">
        <v>1008</v>
      </c>
      <c r="X109" s="95" t="s">
        <v>171</v>
      </c>
      <c r="Y109" s="95" t="s">
        <v>171</v>
      </c>
      <c r="Z109" s="95" t="s">
        <v>1112</v>
      </c>
    </row>
    <row r="110" spans="1:26" s="105" customFormat="1" ht="240" x14ac:dyDescent="0.25">
      <c r="A110" s="112"/>
      <c r="B110" s="95" t="s">
        <v>892</v>
      </c>
      <c r="C110" s="113" t="s">
        <v>893</v>
      </c>
      <c r="D110" s="114" t="s">
        <v>893</v>
      </c>
      <c r="E110" s="114" t="s">
        <v>893</v>
      </c>
      <c r="F110" s="114" t="s">
        <v>893</v>
      </c>
      <c r="G110" s="114" t="s">
        <v>893</v>
      </c>
      <c r="H110" s="114" t="s">
        <v>893</v>
      </c>
      <c r="I110" s="114" t="s">
        <v>893</v>
      </c>
      <c r="J110" s="114" t="s">
        <v>893</v>
      </c>
      <c r="K110" s="114">
        <v>10000000</v>
      </c>
      <c r="L110" s="114">
        <v>10526315.789473685</v>
      </c>
      <c r="M110" s="114" t="s">
        <v>894</v>
      </c>
      <c r="N110" s="114" t="s">
        <v>894</v>
      </c>
      <c r="O110" s="94" t="s">
        <v>246</v>
      </c>
      <c r="P110" s="94" t="s">
        <v>1113</v>
      </c>
      <c r="Q110" s="94" t="s">
        <v>896</v>
      </c>
      <c r="R110" s="94" t="s">
        <v>897</v>
      </c>
      <c r="S110" s="94" t="s">
        <v>41</v>
      </c>
      <c r="T110" s="94" t="s">
        <v>898</v>
      </c>
      <c r="U110" s="94" t="s">
        <v>899</v>
      </c>
      <c r="V110" s="94" t="s">
        <v>54</v>
      </c>
      <c r="W110" s="94" t="s">
        <v>1102</v>
      </c>
      <c r="X110" s="95" t="s">
        <v>171</v>
      </c>
      <c r="Y110" s="95" t="s">
        <v>171</v>
      </c>
      <c r="Z110" s="95" t="s">
        <v>1114</v>
      </c>
    </row>
    <row r="111" spans="1:26" s="105" customFormat="1" ht="156" x14ac:dyDescent="0.25">
      <c r="A111" s="112"/>
      <c r="B111" s="95" t="s">
        <v>892</v>
      </c>
      <c r="C111" s="113" t="s">
        <v>893</v>
      </c>
      <c r="D111" s="114" t="s">
        <v>893</v>
      </c>
      <c r="E111" s="114" t="s">
        <v>893</v>
      </c>
      <c r="F111" s="114" t="s">
        <v>893</v>
      </c>
      <c r="G111" s="114" t="s">
        <v>893</v>
      </c>
      <c r="H111" s="114" t="s">
        <v>893</v>
      </c>
      <c r="I111" s="114" t="s">
        <v>893</v>
      </c>
      <c r="J111" s="114" t="s">
        <v>893</v>
      </c>
      <c r="K111" s="114">
        <v>28138.412500021997</v>
      </c>
      <c r="L111" s="114">
        <v>29619.381578970526</v>
      </c>
      <c r="M111" s="114" t="s">
        <v>894</v>
      </c>
      <c r="N111" s="114" t="s">
        <v>894</v>
      </c>
      <c r="O111" s="94" t="s">
        <v>1115</v>
      </c>
      <c r="P111" s="94" t="s">
        <v>1116</v>
      </c>
      <c r="Q111" s="94" t="s">
        <v>896</v>
      </c>
      <c r="R111" s="94" t="s">
        <v>897</v>
      </c>
      <c r="S111" s="94" t="s">
        <v>41</v>
      </c>
      <c r="T111" s="94" t="s">
        <v>898</v>
      </c>
      <c r="U111" s="94" t="s">
        <v>899</v>
      </c>
      <c r="V111" s="94" t="s">
        <v>50</v>
      </c>
      <c r="W111" s="94" t="s">
        <v>1117</v>
      </c>
      <c r="X111" s="95" t="s">
        <v>171</v>
      </c>
      <c r="Y111" s="95" t="s">
        <v>171</v>
      </c>
      <c r="Z111" s="95" t="s">
        <v>1118</v>
      </c>
    </row>
    <row r="112" spans="1:26" s="105" customFormat="1" ht="96" x14ac:dyDescent="0.25">
      <c r="A112" s="112"/>
      <c r="B112" s="95" t="s">
        <v>892</v>
      </c>
      <c r="C112" s="113" t="s">
        <v>893</v>
      </c>
      <c r="D112" s="114" t="s">
        <v>893</v>
      </c>
      <c r="E112" s="114" t="s">
        <v>893</v>
      </c>
      <c r="F112" s="114" t="s">
        <v>893</v>
      </c>
      <c r="G112" s="114" t="s">
        <v>893</v>
      </c>
      <c r="H112" s="114" t="s">
        <v>893</v>
      </c>
      <c r="I112" s="114" t="s">
        <v>893</v>
      </c>
      <c r="J112" s="114" t="s">
        <v>893</v>
      </c>
      <c r="K112" s="114">
        <v>4000000</v>
      </c>
      <c r="L112" s="114">
        <v>4210526.3157894742</v>
      </c>
      <c r="M112" s="114" t="s">
        <v>894</v>
      </c>
      <c r="N112" s="114" t="s">
        <v>894</v>
      </c>
      <c r="O112" s="94" t="s">
        <v>1119</v>
      </c>
      <c r="P112" s="94" t="s">
        <v>1120</v>
      </c>
      <c r="Q112" s="94" t="s">
        <v>896</v>
      </c>
      <c r="R112" s="94" t="s">
        <v>897</v>
      </c>
      <c r="S112" s="94" t="e">
        <v>#N/A</v>
      </c>
      <c r="T112" s="94" t="s">
        <v>913</v>
      </c>
      <c r="U112" s="94" t="s">
        <v>899</v>
      </c>
      <c r="V112" s="94" t="s">
        <v>193</v>
      </c>
      <c r="W112" s="94" t="s">
        <v>1121</v>
      </c>
      <c r="X112" s="95" t="s">
        <v>171</v>
      </c>
      <c r="Y112" s="95" t="s">
        <v>171</v>
      </c>
      <c r="Z112" s="95" t="s">
        <v>1122</v>
      </c>
    </row>
    <row r="113" spans="1:26" s="105" customFormat="1" ht="84" x14ac:dyDescent="0.25">
      <c r="A113" s="112"/>
      <c r="B113" s="95" t="s">
        <v>892</v>
      </c>
      <c r="C113" s="113" t="s">
        <v>893</v>
      </c>
      <c r="D113" s="114" t="s">
        <v>893</v>
      </c>
      <c r="E113" s="114" t="s">
        <v>893</v>
      </c>
      <c r="F113" s="114" t="s">
        <v>893</v>
      </c>
      <c r="G113" s="114" t="s">
        <v>893</v>
      </c>
      <c r="H113" s="114" t="s">
        <v>893</v>
      </c>
      <c r="I113" s="114" t="s">
        <v>893</v>
      </c>
      <c r="J113" s="114" t="s">
        <v>893</v>
      </c>
      <c r="K113" s="114">
        <v>48137.094445000002</v>
      </c>
      <c r="L113" s="114">
        <v>50670.625731578955</v>
      </c>
      <c r="M113" s="114" t="s">
        <v>894</v>
      </c>
      <c r="N113" s="114" t="s">
        <v>894</v>
      </c>
      <c r="O113" s="94" t="s">
        <v>262</v>
      </c>
      <c r="P113" s="94" t="s">
        <v>1123</v>
      </c>
      <c r="Q113" s="94" t="s">
        <v>896</v>
      </c>
      <c r="R113" s="94" t="s">
        <v>897</v>
      </c>
      <c r="S113" s="94" t="s">
        <v>679</v>
      </c>
      <c r="T113" s="94" t="s">
        <v>898</v>
      </c>
      <c r="U113" s="94" t="s">
        <v>899</v>
      </c>
      <c r="V113" s="94" t="s">
        <v>49</v>
      </c>
      <c r="W113" s="94" t="s">
        <v>1124</v>
      </c>
      <c r="X113" s="95" t="s">
        <v>171</v>
      </c>
      <c r="Y113" s="95" t="s">
        <v>171</v>
      </c>
      <c r="Z113" s="95" t="s">
        <v>1125</v>
      </c>
    </row>
    <row r="114" spans="1:26" s="105" customFormat="1" ht="108" x14ac:dyDescent="0.25">
      <c r="A114" s="112"/>
      <c r="B114" s="95" t="s">
        <v>892</v>
      </c>
      <c r="C114" s="113" t="s">
        <v>893</v>
      </c>
      <c r="D114" s="114" t="s">
        <v>893</v>
      </c>
      <c r="E114" s="114" t="s">
        <v>893</v>
      </c>
      <c r="F114" s="114" t="s">
        <v>893</v>
      </c>
      <c r="G114" s="114" t="s">
        <v>893</v>
      </c>
      <c r="H114" s="114" t="s">
        <v>893</v>
      </c>
      <c r="I114" s="114" t="s">
        <v>893</v>
      </c>
      <c r="J114" s="114" t="s">
        <v>893</v>
      </c>
      <c r="K114" s="114">
        <v>728723.21000000008</v>
      </c>
      <c r="L114" s="114">
        <v>767077.06315789488</v>
      </c>
      <c r="M114" s="114" t="s">
        <v>894</v>
      </c>
      <c r="N114" s="114" t="s">
        <v>894</v>
      </c>
      <c r="O114" s="94" t="s">
        <v>917</v>
      </c>
      <c r="P114" s="94" t="s">
        <v>1126</v>
      </c>
      <c r="Q114" s="94" t="s">
        <v>896</v>
      </c>
      <c r="R114" s="94" t="s">
        <v>897</v>
      </c>
      <c r="S114" s="94" t="s">
        <v>41</v>
      </c>
      <c r="T114" s="94" t="s">
        <v>913</v>
      </c>
      <c r="U114" s="94" t="s">
        <v>899</v>
      </c>
      <c r="V114" s="94" t="s">
        <v>49</v>
      </c>
      <c r="W114" s="94" t="s">
        <v>1021</v>
      </c>
      <c r="X114" s="95" t="s">
        <v>171</v>
      </c>
      <c r="Y114" s="95" t="s">
        <v>171</v>
      </c>
      <c r="Z114" s="95" t="s">
        <v>987</v>
      </c>
    </row>
    <row r="115" spans="1:26" s="105" customFormat="1" ht="240" x14ac:dyDescent="0.25">
      <c r="A115" s="112"/>
      <c r="B115" s="95" t="s">
        <v>892</v>
      </c>
      <c r="C115" s="113" t="s">
        <v>893</v>
      </c>
      <c r="D115" s="114" t="s">
        <v>893</v>
      </c>
      <c r="E115" s="114" t="s">
        <v>893</v>
      </c>
      <c r="F115" s="114" t="s">
        <v>893</v>
      </c>
      <c r="G115" s="114" t="s">
        <v>893</v>
      </c>
      <c r="H115" s="114" t="s">
        <v>893</v>
      </c>
      <c r="I115" s="114" t="s">
        <v>893</v>
      </c>
      <c r="J115" s="114" t="s">
        <v>893</v>
      </c>
      <c r="K115" s="114">
        <v>2352941.1763200001</v>
      </c>
      <c r="L115" s="114">
        <v>2476780.1856000004</v>
      </c>
      <c r="M115" s="114" t="s">
        <v>894</v>
      </c>
      <c r="N115" s="114" t="s">
        <v>894</v>
      </c>
      <c r="O115" s="94" t="s">
        <v>1127</v>
      </c>
      <c r="P115" s="94" t="s">
        <v>1128</v>
      </c>
      <c r="Q115" s="94" t="s">
        <v>896</v>
      </c>
      <c r="R115" s="94" t="s">
        <v>897</v>
      </c>
      <c r="S115" s="94" t="e">
        <v>#N/A</v>
      </c>
      <c r="T115" s="94" t="s">
        <v>898</v>
      </c>
      <c r="U115" s="94" t="s">
        <v>923</v>
      </c>
      <c r="V115" s="94" t="s">
        <v>54</v>
      </c>
      <c r="W115" s="94" t="s">
        <v>1129</v>
      </c>
      <c r="X115" s="95" t="s">
        <v>171</v>
      </c>
      <c r="Y115" s="95" t="s">
        <v>171</v>
      </c>
      <c r="Z115" s="95" t="s">
        <v>1130</v>
      </c>
    </row>
    <row r="116" spans="1:26" s="105" customFormat="1" ht="60" x14ac:dyDescent="0.25">
      <c r="A116" s="112"/>
      <c r="B116" s="95" t="s">
        <v>892</v>
      </c>
      <c r="C116" s="113" t="s">
        <v>893</v>
      </c>
      <c r="D116" s="114" t="s">
        <v>893</v>
      </c>
      <c r="E116" s="114" t="s">
        <v>893</v>
      </c>
      <c r="F116" s="114" t="s">
        <v>893</v>
      </c>
      <c r="G116" s="114" t="s">
        <v>893</v>
      </c>
      <c r="H116" s="114" t="s">
        <v>893</v>
      </c>
      <c r="I116" s="114" t="s">
        <v>893</v>
      </c>
      <c r="J116" s="114" t="s">
        <v>893</v>
      </c>
      <c r="K116" s="114">
        <v>5928025.7450000001</v>
      </c>
      <c r="L116" s="114">
        <v>6240027.1000000006</v>
      </c>
      <c r="M116" s="114" t="s">
        <v>894</v>
      </c>
      <c r="N116" s="114" t="s">
        <v>894</v>
      </c>
      <c r="O116" s="94" t="s">
        <v>428</v>
      </c>
      <c r="P116" s="94" t="s">
        <v>1131</v>
      </c>
      <c r="Q116" s="94" t="s">
        <v>896</v>
      </c>
      <c r="R116" s="94" t="s">
        <v>897</v>
      </c>
      <c r="S116" s="94" t="s">
        <v>41</v>
      </c>
      <c r="T116" s="94" t="s">
        <v>898</v>
      </c>
      <c r="U116" s="94" t="s">
        <v>923</v>
      </c>
      <c r="V116" s="94" t="s">
        <v>44</v>
      </c>
      <c r="W116" s="94" t="s">
        <v>907</v>
      </c>
      <c r="X116" s="95" t="s">
        <v>171</v>
      </c>
      <c r="Y116" s="95" t="s">
        <v>171</v>
      </c>
      <c r="Z116" s="95" t="s">
        <v>1132</v>
      </c>
    </row>
    <row r="117" spans="1:26" s="105" customFormat="1" ht="168" x14ac:dyDescent="0.25">
      <c r="A117" s="112"/>
      <c r="B117" s="95" t="s">
        <v>892</v>
      </c>
      <c r="C117" s="113" t="s">
        <v>893</v>
      </c>
      <c r="D117" s="114" t="s">
        <v>893</v>
      </c>
      <c r="E117" s="114" t="s">
        <v>893</v>
      </c>
      <c r="F117" s="114" t="s">
        <v>893</v>
      </c>
      <c r="G117" s="114" t="s">
        <v>893</v>
      </c>
      <c r="H117" s="114" t="s">
        <v>893</v>
      </c>
      <c r="I117" s="114" t="s">
        <v>893</v>
      </c>
      <c r="J117" s="114" t="s">
        <v>893</v>
      </c>
      <c r="K117" s="114">
        <v>100000000</v>
      </c>
      <c r="L117" s="114">
        <v>105263157.89473684</v>
      </c>
      <c r="M117" s="114" t="s">
        <v>894</v>
      </c>
      <c r="N117" s="114" t="s">
        <v>894</v>
      </c>
      <c r="O117" s="94" t="s">
        <v>789</v>
      </c>
      <c r="P117" s="94" t="s">
        <v>1133</v>
      </c>
      <c r="Q117" s="94" t="s">
        <v>896</v>
      </c>
      <c r="R117" s="94" t="s">
        <v>897</v>
      </c>
      <c r="S117" s="94" t="s">
        <v>41</v>
      </c>
      <c r="T117" s="94" t="s">
        <v>898</v>
      </c>
      <c r="U117" s="94" t="s">
        <v>899</v>
      </c>
      <c r="V117" s="94" t="s">
        <v>54</v>
      </c>
      <c r="W117" s="94" t="s">
        <v>900</v>
      </c>
      <c r="X117" s="95" t="s">
        <v>171</v>
      </c>
      <c r="Y117" s="95" t="s">
        <v>171</v>
      </c>
      <c r="Z117" s="95" t="s">
        <v>1134</v>
      </c>
    </row>
    <row r="118" spans="1:26" s="105" customFormat="1" ht="120" x14ac:dyDescent="0.25">
      <c r="A118" s="112"/>
      <c r="B118" s="95" t="s">
        <v>892</v>
      </c>
      <c r="C118" s="113" t="s">
        <v>893</v>
      </c>
      <c r="D118" s="114" t="s">
        <v>893</v>
      </c>
      <c r="E118" s="114" t="s">
        <v>893</v>
      </c>
      <c r="F118" s="114" t="s">
        <v>893</v>
      </c>
      <c r="G118" s="114" t="s">
        <v>893</v>
      </c>
      <c r="H118" s="114" t="s">
        <v>893</v>
      </c>
      <c r="I118" s="114" t="s">
        <v>893</v>
      </c>
      <c r="J118" s="114" t="s">
        <v>893</v>
      </c>
      <c r="K118" s="114">
        <v>25411.257400000002</v>
      </c>
      <c r="L118" s="114">
        <v>26748.692000000003</v>
      </c>
      <c r="M118" s="114" t="s">
        <v>894</v>
      </c>
      <c r="N118" s="114" t="s">
        <v>894</v>
      </c>
      <c r="O118" s="94" t="s">
        <v>1135</v>
      </c>
      <c r="P118" s="94" t="s">
        <v>1136</v>
      </c>
      <c r="Q118" s="94" t="s">
        <v>896</v>
      </c>
      <c r="R118" s="94" t="s">
        <v>897</v>
      </c>
      <c r="S118" s="94" t="e">
        <v>#N/A</v>
      </c>
      <c r="T118" s="94" t="s">
        <v>898</v>
      </c>
      <c r="U118" s="94" t="s">
        <v>899</v>
      </c>
      <c r="V118" s="94" t="s">
        <v>49</v>
      </c>
      <c r="W118" s="94" t="s">
        <v>1008</v>
      </c>
      <c r="X118" s="95" t="s">
        <v>171</v>
      </c>
      <c r="Y118" s="95" t="s">
        <v>171</v>
      </c>
      <c r="Z118" s="95" t="s">
        <v>1137</v>
      </c>
    </row>
    <row r="119" spans="1:26" s="105" customFormat="1" ht="84" x14ac:dyDescent="0.25">
      <c r="A119" s="112"/>
      <c r="B119" s="95" t="s">
        <v>892</v>
      </c>
      <c r="C119" s="113" t="s">
        <v>893</v>
      </c>
      <c r="D119" s="114" t="s">
        <v>893</v>
      </c>
      <c r="E119" s="114" t="s">
        <v>893</v>
      </c>
      <c r="F119" s="114" t="s">
        <v>893</v>
      </c>
      <c r="G119" s="114" t="s">
        <v>893</v>
      </c>
      <c r="H119" s="114" t="s">
        <v>893</v>
      </c>
      <c r="I119" s="114" t="s">
        <v>893</v>
      </c>
      <c r="J119" s="114" t="s">
        <v>893</v>
      </c>
      <c r="K119" s="114">
        <v>31269502.25</v>
      </c>
      <c r="L119" s="114">
        <v>32915265.52631579</v>
      </c>
      <c r="M119" s="114" t="s">
        <v>894</v>
      </c>
      <c r="N119" s="114" t="s">
        <v>894</v>
      </c>
      <c r="O119" s="94" t="s">
        <v>1042</v>
      </c>
      <c r="P119" s="94" t="s">
        <v>1138</v>
      </c>
      <c r="Q119" s="94" t="s">
        <v>896</v>
      </c>
      <c r="R119" s="94" t="s">
        <v>897</v>
      </c>
      <c r="S119" s="94" t="s">
        <v>41</v>
      </c>
      <c r="T119" s="94" t="s">
        <v>898</v>
      </c>
      <c r="U119" s="94" t="s">
        <v>899</v>
      </c>
      <c r="V119" s="94" t="s">
        <v>193</v>
      </c>
      <c r="W119" s="94" t="s">
        <v>904</v>
      </c>
      <c r="X119" s="95" t="s">
        <v>171</v>
      </c>
      <c r="Y119" s="95" t="s">
        <v>171</v>
      </c>
      <c r="Z119" s="95" t="s">
        <v>1139</v>
      </c>
    </row>
    <row r="120" spans="1:26" s="105" customFormat="1" ht="72" x14ac:dyDescent="0.25">
      <c r="A120" s="112"/>
      <c r="B120" s="95" t="s">
        <v>892</v>
      </c>
      <c r="C120" s="113" t="s">
        <v>893</v>
      </c>
      <c r="D120" s="114" t="s">
        <v>893</v>
      </c>
      <c r="E120" s="114" t="s">
        <v>893</v>
      </c>
      <c r="F120" s="114" t="s">
        <v>893</v>
      </c>
      <c r="G120" s="114" t="s">
        <v>893</v>
      </c>
      <c r="H120" s="114" t="s">
        <v>893</v>
      </c>
      <c r="I120" s="114" t="s">
        <v>893</v>
      </c>
      <c r="J120" s="114" t="s">
        <v>893</v>
      </c>
      <c r="K120" s="114">
        <v>200000000</v>
      </c>
      <c r="L120" s="114">
        <v>210526315.78947368</v>
      </c>
      <c r="M120" s="114" t="s">
        <v>894</v>
      </c>
      <c r="N120" s="114" t="s">
        <v>894</v>
      </c>
      <c r="O120" s="94" t="s">
        <v>789</v>
      </c>
      <c r="P120" s="94" t="s">
        <v>1140</v>
      </c>
      <c r="Q120" s="94" t="s">
        <v>896</v>
      </c>
      <c r="R120" s="94" t="s">
        <v>897</v>
      </c>
      <c r="S120" s="94" t="s">
        <v>41</v>
      </c>
      <c r="T120" s="94" t="s">
        <v>898</v>
      </c>
      <c r="U120" s="94" t="s">
        <v>899</v>
      </c>
      <c r="V120" s="94" t="s">
        <v>50</v>
      </c>
      <c r="W120" s="94" t="e">
        <v>#N/A</v>
      </c>
      <c r="X120" s="95" t="s">
        <v>171</v>
      </c>
      <c r="Y120" s="95" t="s">
        <v>171</v>
      </c>
      <c r="Z120" s="95" t="s">
        <v>1141</v>
      </c>
    </row>
    <row r="121" spans="1:26" s="105" customFormat="1" ht="132" x14ac:dyDescent="0.25">
      <c r="A121" s="112"/>
      <c r="B121" s="95" t="s">
        <v>892</v>
      </c>
      <c r="C121" s="113" t="s">
        <v>893</v>
      </c>
      <c r="D121" s="114" t="s">
        <v>893</v>
      </c>
      <c r="E121" s="114" t="s">
        <v>893</v>
      </c>
      <c r="F121" s="114" t="s">
        <v>893</v>
      </c>
      <c r="G121" s="114" t="s">
        <v>893</v>
      </c>
      <c r="H121" s="114" t="s">
        <v>893</v>
      </c>
      <c r="I121" s="114" t="s">
        <v>893</v>
      </c>
      <c r="J121" s="114" t="s">
        <v>893</v>
      </c>
      <c r="K121" s="114">
        <v>2607823.0197000001</v>
      </c>
      <c r="L121" s="114">
        <v>2745076.8628421053</v>
      </c>
      <c r="M121" s="114" t="s">
        <v>894</v>
      </c>
      <c r="N121" s="114" t="s">
        <v>894</v>
      </c>
      <c r="O121" s="94" t="s">
        <v>1062</v>
      </c>
      <c r="P121" s="94" t="s">
        <v>1063</v>
      </c>
      <c r="Q121" s="94" t="s">
        <v>896</v>
      </c>
      <c r="R121" s="94" t="s">
        <v>897</v>
      </c>
      <c r="S121" s="94" t="e">
        <v>#N/A</v>
      </c>
      <c r="T121" s="94" t="s">
        <v>42</v>
      </c>
      <c r="U121" s="94" t="s">
        <v>899</v>
      </c>
      <c r="V121" s="94" t="s">
        <v>193</v>
      </c>
      <c r="W121" s="94" t="s">
        <v>1142</v>
      </c>
      <c r="X121" s="95" t="s">
        <v>171</v>
      </c>
      <c r="Y121" s="95" t="s">
        <v>171</v>
      </c>
      <c r="Z121" s="95" t="s">
        <v>1064</v>
      </c>
    </row>
    <row r="122" spans="1:26" s="105" customFormat="1" ht="96" x14ac:dyDescent="0.25">
      <c r="A122" s="112"/>
      <c r="B122" s="95" t="s">
        <v>892</v>
      </c>
      <c r="C122" s="113" t="s">
        <v>893</v>
      </c>
      <c r="D122" s="114" t="s">
        <v>893</v>
      </c>
      <c r="E122" s="114" t="s">
        <v>893</v>
      </c>
      <c r="F122" s="114" t="s">
        <v>893</v>
      </c>
      <c r="G122" s="114" t="s">
        <v>893</v>
      </c>
      <c r="H122" s="114" t="s">
        <v>893</v>
      </c>
      <c r="I122" s="114" t="s">
        <v>893</v>
      </c>
      <c r="J122" s="114" t="s">
        <v>893</v>
      </c>
      <c r="K122" s="114">
        <v>208718.15510122001</v>
      </c>
      <c r="L122" s="114">
        <v>219703.32115917897</v>
      </c>
      <c r="M122" s="114" t="s">
        <v>894</v>
      </c>
      <c r="N122" s="114" t="s">
        <v>894</v>
      </c>
      <c r="O122" s="94" t="s">
        <v>262</v>
      </c>
      <c r="P122" s="94" t="s">
        <v>1085</v>
      </c>
      <c r="Q122" s="94" t="s">
        <v>896</v>
      </c>
      <c r="R122" s="94" t="s">
        <v>897</v>
      </c>
      <c r="S122" s="94" t="e">
        <v>#N/A</v>
      </c>
      <c r="T122" s="94" t="s">
        <v>42</v>
      </c>
      <c r="U122" s="94" t="s">
        <v>945</v>
      </c>
      <c r="V122" s="94" t="s">
        <v>44</v>
      </c>
      <c r="W122" s="94" t="s">
        <v>924</v>
      </c>
      <c r="X122" s="95" t="s">
        <v>171</v>
      </c>
      <c r="Y122" s="95" t="s">
        <v>171</v>
      </c>
      <c r="Z122" s="95" t="s">
        <v>1086</v>
      </c>
    </row>
    <row r="123" spans="1:26" s="105" customFormat="1" ht="84" x14ac:dyDescent="0.25">
      <c r="A123" s="112"/>
      <c r="B123" s="95" t="s">
        <v>892</v>
      </c>
      <c r="C123" s="113" t="s">
        <v>893</v>
      </c>
      <c r="D123" s="114" t="s">
        <v>893</v>
      </c>
      <c r="E123" s="114" t="s">
        <v>893</v>
      </c>
      <c r="F123" s="114" t="s">
        <v>893</v>
      </c>
      <c r="G123" s="114" t="s">
        <v>893</v>
      </c>
      <c r="H123" s="114" t="s">
        <v>893</v>
      </c>
      <c r="I123" s="114" t="s">
        <v>893</v>
      </c>
      <c r="J123" s="114" t="s">
        <v>893</v>
      </c>
      <c r="K123" s="114">
        <v>639943.74120958406</v>
      </c>
      <c r="L123" s="114">
        <v>673624.99074693059</v>
      </c>
      <c r="M123" s="114" t="s">
        <v>894</v>
      </c>
      <c r="N123" s="114" t="s">
        <v>894</v>
      </c>
      <c r="O123" s="94" t="s">
        <v>1143</v>
      </c>
      <c r="P123" s="94" t="s">
        <v>1144</v>
      </c>
      <c r="Q123" s="94" t="s">
        <v>896</v>
      </c>
      <c r="R123" s="94" t="s">
        <v>897</v>
      </c>
      <c r="S123" s="94" t="s">
        <v>41</v>
      </c>
      <c r="T123" s="94" t="s">
        <v>898</v>
      </c>
      <c r="U123" s="94" t="s">
        <v>945</v>
      </c>
      <c r="V123" s="94" t="s">
        <v>44</v>
      </c>
      <c r="W123" s="94" t="s">
        <v>938</v>
      </c>
      <c r="X123" s="95" t="s">
        <v>171</v>
      </c>
      <c r="Y123" s="95" t="s">
        <v>171</v>
      </c>
      <c r="Z123" s="95" t="s">
        <v>1145</v>
      </c>
    </row>
    <row r="124" spans="1:26" s="105" customFormat="1" ht="144" x14ac:dyDescent="0.25">
      <c r="A124" s="112"/>
      <c r="B124" s="95" t="s">
        <v>892</v>
      </c>
      <c r="C124" s="113" t="s">
        <v>893</v>
      </c>
      <c r="D124" s="114" t="s">
        <v>893</v>
      </c>
      <c r="E124" s="114" t="s">
        <v>893</v>
      </c>
      <c r="F124" s="114" t="s">
        <v>893</v>
      </c>
      <c r="G124" s="114" t="s">
        <v>893</v>
      </c>
      <c r="H124" s="114" t="s">
        <v>893</v>
      </c>
      <c r="I124" s="114" t="s">
        <v>893</v>
      </c>
      <c r="J124" s="114" t="s">
        <v>893</v>
      </c>
      <c r="K124" s="114">
        <v>25000000</v>
      </c>
      <c r="L124" s="114">
        <v>26315789.47368421</v>
      </c>
      <c r="M124" s="114" t="s">
        <v>894</v>
      </c>
      <c r="N124" s="114" t="s">
        <v>894</v>
      </c>
      <c r="O124" s="94" t="s">
        <v>1146</v>
      </c>
      <c r="P124" s="94" t="s">
        <v>1147</v>
      </c>
      <c r="Q124" s="94" t="s">
        <v>896</v>
      </c>
      <c r="R124" s="94" t="s">
        <v>897</v>
      </c>
      <c r="S124" s="94" t="e">
        <v>#N/A</v>
      </c>
      <c r="T124" s="94" t="s">
        <v>913</v>
      </c>
      <c r="U124" s="94" t="s">
        <v>899</v>
      </c>
      <c r="V124" s="94" t="s">
        <v>193</v>
      </c>
      <c r="W124" s="94" t="s">
        <v>997</v>
      </c>
      <c r="X124" s="95" t="s">
        <v>171</v>
      </c>
      <c r="Y124" s="95" t="s">
        <v>171</v>
      </c>
      <c r="Z124" s="95" t="s">
        <v>1148</v>
      </c>
    </row>
    <row r="125" spans="1:26" s="105" customFormat="1" ht="168" x14ac:dyDescent="0.25">
      <c r="A125" s="112"/>
      <c r="B125" s="95" t="s">
        <v>892</v>
      </c>
      <c r="C125" s="113" t="s">
        <v>893</v>
      </c>
      <c r="D125" s="114" t="s">
        <v>893</v>
      </c>
      <c r="E125" s="114" t="s">
        <v>893</v>
      </c>
      <c r="F125" s="114" t="s">
        <v>893</v>
      </c>
      <c r="G125" s="114" t="s">
        <v>893</v>
      </c>
      <c r="H125" s="114" t="s">
        <v>893</v>
      </c>
      <c r="I125" s="114" t="s">
        <v>893</v>
      </c>
      <c r="J125" s="114" t="s">
        <v>893</v>
      </c>
      <c r="K125" s="114">
        <v>15464917.545</v>
      </c>
      <c r="L125" s="114">
        <v>16278860.573684212</v>
      </c>
      <c r="M125" s="114" t="s">
        <v>894</v>
      </c>
      <c r="N125" s="114" t="s">
        <v>894</v>
      </c>
      <c r="O125" s="94" t="s">
        <v>208</v>
      </c>
      <c r="P125" s="94" t="s">
        <v>1149</v>
      </c>
      <c r="Q125" s="94" t="s">
        <v>896</v>
      </c>
      <c r="R125" s="94" t="s">
        <v>897</v>
      </c>
      <c r="S125" s="94" t="e">
        <v>#N/A</v>
      </c>
      <c r="T125" s="94" t="s">
        <v>42</v>
      </c>
      <c r="U125" s="94" t="s">
        <v>945</v>
      </c>
      <c r="V125" s="94" t="s">
        <v>49</v>
      </c>
      <c r="W125" s="94" t="s">
        <v>924</v>
      </c>
      <c r="X125" s="95" t="s">
        <v>171</v>
      </c>
      <c r="Y125" s="95" t="s">
        <v>171</v>
      </c>
      <c r="Z125" s="95" t="s">
        <v>1150</v>
      </c>
    </row>
    <row r="126" spans="1:26" s="105" customFormat="1" ht="156" x14ac:dyDescent="0.25">
      <c r="A126" s="112"/>
      <c r="B126" s="95" t="s">
        <v>892</v>
      </c>
      <c r="C126" s="113" t="s">
        <v>893</v>
      </c>
      <c r="D126" s="114" t="s">
        <v>893</v>
      </c>
      <c r="E126" s="114" t="s">
        <v>893</v>
      </c>
      <c r="F126" s="114" t="s">
        <v>893</v>
      </c>
      <c r="G126" s="114" t="s">
        <v>893</v>
      </c>
      <c r="H126" s="114" t="s">
        <v>893</v>
      </c>
      <c r="I126" s="114" t="s">
        <v>893</v>
      </c>
      <c r="J126" s="114" t="s">
        <v>893</v>
      </c>
      <c r="K126" s="114">
        <v>2448606.9</v>
      </c>
      <c r="L126" s="114">
        <v>2577480.9473684211</v>
      </c>
      <c r="M126" s="114" t="s">
        <v>894</v>
      </c>
      <c r="N126" s="114" t="s">
        <v>894</v>
      </c>
      <c r="O126" s="94" t="s">
        <v>1104</v>
      </c>
      <c r="P126" s="94" t="s">
        <v>1151</v>
      </c>
      <c r="Q126" s="94" t="s">
        <v>896</v>
      </c>
      <c r="R126" s="94" t="s">
        <v>897</v>
      </c>
      <c r="S126" s="94" t="s">
        <v>41</v>
      </c>
      <c r="T126" s="94" t="s">
        <v>898</v>
      </c>
      <c r="U126" s="94" t="s">
        <v>923</v>
      </c>
      <c r="V126" s="94" t="s">
        <v>54</v>
      </c>
      <c r="W126" s="94" t="s">
        <v>1152</v>
      </c>
      <c r="X126" s="95" t="s">
        <v>171</v>
      </c>
      <c r="Y126" s="95" t="s">
        <v>171</v>
      </c>
      <c r="Z126" s="95" t="s">
        <v>1153</v>
      </c>
    </row>
    <row r="127" spans="1:26" s="105" customFormat="1" ht="72" x14ac:dyDescent="0.25">
      <c r="A127" s="112"/>
      <c r="B127" s="95" t="s">
        <v>892</v>
      </c>
      <c r="C127" s="113" t="s">
        <v>893</v>
      </c>
      <c r="D127" s="114" t="s">
        <v>893</v>
      </c>
      <c r="E127" s="114" t="s">
        <v>893</v>
      </c>
      <c r="F127" s="114" t="s">
        <v>893</v>
      </c>
      <c r="G127" s="114" t="s">
        <v>893</v>
      </c>
      <c r="H127" s="114" t="s">
        <v>893</v>
      </c>
      <c r="I127" s="114" t="s">
        <v>893</v>
      </c>
      <c r="J127" s="114" t="s">
        <v>893</v>
      </c>
      <c r="K127" s="114">
        <v>2529015.1230500001</v>
      </c>
      <c r="L127" s="114">
        <v>2662121.1821578951</v>
      </c>
      <c r="M127" s="114" t="s">
        <v>894</v>
      </c>
      <c r="N127" s="114" t="s">
        <v>894</v>
      </c>
      <c r="O127" s="94" t="s">
        <v>917</v>
      </c>
      <c r="P127" s="94" t="s">
        <v>1154</v>
      </c>
      <c r="Q127" s="94" t="s">
        <v>896</v>
      </c>
      <c r="R127" s="94" t="s">
        <v>897</v>
      </c>
      <c r="S127" s="94" t="s">
        <v>41</v>
      </c>
      <c r="T127" s="94" t="s">
        <v>913</v>
      </c>
      <c r="U127" s="94" t="s">
        <v>899</v>
      </c>
      <c r="V127" s="94" t="s">
        <v>49</v>
      </c>
      <c r="W127" s="94" t="s">
        <v>904</v>
      </c>
      <c r="X127" s="95" t="s">
        <v>171</v>
      </c>
      <c r="Y127" s="95" t="s">
        <v>171</v>
      </c>
      <c r="Z127" s="95" t="s">
        <v>1155</v>
      </c>
    </row>
    <row r="128" spans="1:26" s="105" customFormat="1" ht="276" x14ac:dyDescent="0.25">
      <c r="A128" s="112"/>
      <c r="B128" s="95" t="s">
        <v>892</v>
      </c>
      <c r="C128" s="113" t="s">
        <v>893</v>
      </c>
      <c r="D128" s="114" t="s">
        <v>893</v>
      </c>
      <c r="E128" s="114" t="s">
        <v>893</v>
      </c>
      <c r="F128" s="114" t="s">
        <v>893</v>
      </c>
      <c r="G128" s="114" t="s">
        <v>893</v>
      </c>
      <c r="H128" s="114" t="s">
        <v>893</v>
      </c>
      <c r="I128" s="114" t="s">
        <v>893</v>
      </c>
      <c r="J128" s="114" t="s">
        <v>893</v>
      </c>
      <c r="K128" s="114">
        <v>2958396.3945013504</v>
      </c>
      <c r="L128" s="114">
        <v>3114101.4678961583</v>
      </c>
      <c r="M128" s="114" t="s">
        <v>894</v>
      </c>
      <c r="N128" s="114" t="s">
        <v>894</v>
      </c>
      <c r="O128" s="94" t="s">
        <v>917</v>
      </c>
      <c r="P128" s="94" t="s">
        <v>1156</v>
      </c>
      <c r="Q128" s="94" t="s">
        <v>896</v>
      </c>
      <c r="R128" s="94" t="s">
        <v>897</v>
      </c>
      <c r="S128" s="94" t="s">
        <v>41</v>
      </c>
      <c r="T128" s="94" t="s">
        <v>913</v>
      </c>
      <c r="U128" s="94" t="s">
        <v>945</v>
      </c>
      <c r="V128" s="94" t="s">
        <v>49</v>
      </c>
      <c r="W128" s="94" t="s">
        <v>1008</v>
      </c>
      <c r="X128" s="95" t="s">
        <v>171</v>
      </c>
      <c r="Y128" s="95" t="s">
        <v>171</v>
      </c>
      <c r="Z128" s="95" t="s">
        <v>1157</v>
      </c>
    </row>
    <row r="129" spans="1:26" s="105" customFormat="1" ht="156" x14ac:dyDescent="0.25">
      <c r="A129" s="112"/>
      <c r="B129" s="95" t="s">
        <v>892</v>
      </c>
      <c r="C129" s="113" t="s">
        <v>893</v>
      </c>
      <c r="D129" s="114" t="s">
        <v>893</v>
      </c>
      <c r="E129" s="114" t="s">
        <v>893</v>
      </c>
      <c r="F129" s="114" t="s">
        <v>893</v>
      </c>
      <c r="G129" s="114" t="s">
        <v>893</v>
      </c>
      <c r="H129" s="114" t="s">
        <v>893</v>
      </c>
      <c r="I129" s="114" t="s">
        <v>893</v>
      </c>
      <c r="J129" s="114" t="s">
        <v>893</v>
      </c>
      <c r="K129" s="114">
        <v>468620.00000000006</v>
      </c>
      <c r="L129" s="114">
        <v>493284.2105263159</v>
      </c>
      <c r="M129" s="114" t="s">
        <v>894</v>
      </c>
      <c r="N129" s="114" t="s">
        <v>894</v>
      </c>
      <c r="O129" s="94" t="s">
        <v>246</v>
      </c>
      <c r="P129" s="94" t="s">
        <v>1158</v>
      </c>
      <c r="Q129" s="94" t="s">
        <v>896</v>
      </c>
      <c r="R129" s="94" t="s">
        <v>897</v>
      </c>
      <c r="S129" s="94" t="s">
        <v>41</v>
      </c>
      <c r="T129" s="94" t="s">
        <v>898</v>
      </c>
      <c r="U129" s="94" t="s">
        <v>899</v>
      </c>
      <c r="V129" s="94" t="s">
        <v>49</v>
      </c>
      <c r="W129" s="94" t="s">
        <v>1008</v>
      </c>
      <c r="X129" s="95" t="s">
        <v>171</v>
      </c>
      <c r="Y129" s="95" t="s">
        <v>171</v>
      </c>
      <c r="Z129" s="95" t="s">
        <v>1159</v>
      </c>
    </row>
    <row r="130" spans="1:26" s="105" customFormat="1" ht="84" x14ac:dyDescent="0.25">
      <c r="A130" s="112"/>
      <c r="B130" s="95" t="s">
        <v>892</v>
      </c>
      <c r="C130" s="113" t="s">
        <v>893</v>
      </c>
      <c r="D130" s="114" t="s">
        <v>893</v>
      </c>
      <c r="E130" s="114" t="s">
        <v>893</v>
      </c>
      <c r="F130" s="114" t="s">
        <v>893</v>
      </c>
      <c r="G130" s="114" t="s">
        <v>893</v>
      </c>
      <c r="H130" s="114" t="s">
        <v>893</v>
      </c>
      <c r="I130" s="114" t="s">
        <v>893</v>
      </c>
      <c r="J130" s="114" t="s">
        <v>893</v>
      </c>
      <c r="K130" s="114">
        <v>198800</v>
      </c>
      <c r="L130" s="114">
        <v>209263.15789473685</v>
      </c>
      <c r="M130" s="114" t="s">
        <v>894</v>
      </c>
      <c r="N130" s="114" t="s">
        <v>894</v>
      </c>
      <c r="O130" s="94" t="s">
        <v>246</v>
      </c>
      <c r="P130" s="94" t="s">
        <v>1160</v>
      </c>
      <c r="Q130" s="94" t="s">
        <v>896</v>
      </c>
      <c r="R130" s="94" t="s">
        <v>897</v>
      </c>
      <c r="S130" s="94" t="s">
        <v>41</v>
      </c>
      <c r="T130" s="94" t="s">
        <v>898</v>
      </c>
      <c r="U130" s="94" t="s">
        <v>899</v>
      </c>
      <c r="V130" s="94" t="s">
        <v>49</v>
      </c>
      <c r="W130" s="94" t="s">
        <v>1008</v>
      </c>
      <c r="X130" s="95" t="s">
        <v>171</v>
      </c>
      <c r="Y130" s="95" t="s">
        <v>171</v>
      </c>
      <c r="Z130" s="95" t="s">
        <v>1161</v>
      </c>
    </row>
    <row r="131" spans="1:26" s="105" customFormat="1" ht="84" x14ac:dyDescent="0.25">
      <c r="A131" s="112"/>
      <c r="B131" s="95" t="s">
        <v>892</v>
      </c>
      <c r="C131" s="113" t="s">
        <v>893</v>
      </c>
      <c r="D131" s="114" t="s">
        <v>893</v>
      </c>
      <c r="E131" s="114" t="s">
        <v>893</v>
      </c>
      <c r="F131" s="114" t="s">
        <v>893</v>
      </c>
      <c r="G131" s="114" t="s">
        <v>893</v>
      </c>
      <c r="H131" s="114" t="s">
        <v>893</v>
      </c>
      <c r="I131" s="114" t="s">
        <v>893</v>
      </c>
      <c r="J131" s="114" t="s">
        <v>893</v>
      </c>
      <c r="K131" s="114">
        <v>1000000</v>
      </c>
      <c r="L131" s="114">
        <v>1052631.5789473685</v>
      </c>
      <c r="M131" s="114" t="s">
        <v>894</v>
      </c>
      <c r="N131" s="114" t="s">
        <v>894</v>
      </c>
      <c r="O131" s="94" t="s">
        <v>262</v>
      </c>
      <c r="P131" s="94" t="s">
        <v>1162</v>
      </c>
      <c r="Q131" s="94" t="s">
        <v>896</v>
      </c>
      <c r="R131" s="94" t="s">
        <v>897</v>
      </c>
      <c r="S131" s="94" t="s">
        <v>41</v>
      </c>
      <c r="T131" s="94" t="s">
        <v>898</v>
      </c>
      <c r="U131" s="94" t="s">
        <v>899</v>
      </c>
      <c r="V131" s="94" t="s">
        <v>49</v>
      </c>
      <c r="W131" s="94" t="s">
        <v>1008</v>
      </c>
      <c r="X131" s="95" t="s">
        <v>171</v>
      </c>
      <c r="Y131" s="95" t="s">
        <v>171</v>
      </c>
      <c r="Z131" s="95" t="s">
        <v>1163</v>
      </c>
    </row>
    <row r="132" spans="1:26" s="105" customFormat="1" ht="168" x14ac:dyDescent="0.25">
      <c r="A132" s="112"/>
      <c r="B132" s="95" t="s">
        <v>892</v>
      </c>
      <c r="C132" s="113" t="s">
        <v>893</v>
      </c>
      <c r="D132" s="114" t="s">
        <v>893</v>
      </c>
      <c r="E132" s="114" t="s">
        <v>893</v>
      </c>
      <c r="F132" s="114" t="s">
        <v>893</v>
      </c>
      <c r="G132" s="114" t="s">
        <v>893</v>
      </c>
      <c r="H132" s="114" t="s">
        <v>893</v>
      </c>
      <c r="I132" s="114" t="s">
        <v>893</v>
      </c>
      <c r="J132" s="114" t="s">
        <v>893</v>
      </c>
      <c r="K132" s="114">
        <v>300000</v>
      </c>
      <c r="L132" s="114">
        <v>315789.47368421056</v>
      </c>
      <c r="M132" s="114" t="s">
        <v>894</v>
      </c>
      <c r="N132" s="114" t="s">
        <v>894</v>
      </c>
      <c r="O132" s="94" t="s">
        <v>943</v>
      </c>
      <c r="P132" s="94" t="s">
        <v>1164</v>
      </c>
      <c r="Q132" s="94" t="s">
        <v>896</v>
      </c>
      <c r="R132" s="94" t="s">
        <v>897</v>
      </c>
      <c r="S132" s="94" t="s">
        <v>41</v>
      </c>
      <c r="T132" s="94" t="s">
        <v>898</v>
      </c>
      <c r="U132" s="94" t="s">
        <v>899</v>
      </c>
      <c r="V132" s="94" t="s">
        <v>49</v>
      </c>
      <c r="W132" s="94" t="s">
        <v>1008</v>
      </c>
      <c r="X132" s="95" t="s">
        <v>171</v>
      </c>
      <c r="Y132" s="95" t="s">
        <v>171</v>
      </c>
      <c r="Z132" s="95" t="s">
        <v>1165</v>
      </c>
    </row>
    <row r="133" spans="1:26" s="105" customFormat="1" ht="108" x14ac:dyDescent="0.25">
      <c r="A133" s="112"/>
      <c r="B133" s="95" t="s">
        <v>892</v>
      </c>
      <c r="C133" s="113" t="s">
        <v>893</v>
      </c>
      <c r="D133" s="114" t="s">
        <v>893</v>
      </c>
      <c r="E133" s="114" t="s">
        <v>893</v>
      </c>
      <c r="F133" s="114" t="s">
        <v>893</v>
      </c>
      <c r="G133" s="114" t="s">
        <v>893</v>
      </c>
      <c r="H133" s="114" t="s">
        <v>893</v>
      </c>
      <c r="I133" s="114" t="s">
        <v>893</v>
      </c>
      <c r="J133" s="114" t="s">
        <v>893</v>
      </c>
      <c r="K133" s="114">
        <v>65069.169499999996</v>
      </c>
      <c r="L133" s="114">
        <v>68493.862631578944</v>
      </c>
      <c r="M133" s="114" t="s">
        <v>894</v>
      </c>
      <c r="N133" s="114" t="s">
        <v>894</v>
      </c>
      <c r="O133" s="94" t="s">
        <v>551</v>
      </c>
      <c r="P133" s="94" t="s">
        <v>1166</v>
      </c>
      <c r="Q133" s="94" t="s">
        <v>896</v>
      </c>
      <c r="R133" s="94" t="s">
        <v>897</v>
      </c>
      <c r="S133" s="94" t="s">
        <v>41</v>
      </c>
      <c r="T133" s="94" t="s">
        <v>898</v>
      </c>
      <c r="U133" s="94" t="s">
        <v>899</v>
      </c>
      <c r="V133" s="94" t="s">
        <v>49</v>
      </c>
      <c r="W133" s="94" t="s">
        <v>1008</v>
      </c>
      <c r="X133" s="95" t="s">
        <v>171</v>
      </c>
      <c r="Y133" s="95" t="s">
        <v>171</v>
      </c>
      <c r="Z133" s="95" t="s">
        <v>1167</v>
      </c>
    </row>
    <row r="134" spans="1:26" s="105" customFormat="1" ht="180" x14ac:dyDescent="0.25">
      <c r="A134" s="112"/>
      <c r="B134" s="95" t="s">
        <v>892</v>
      </c>
      <c r="C134" s="113" t="s">
        <v>893</v>
      </c>
      <c r="D134" s="114" t="s">
        <v>893</v>
      </c>
      <c r="E134" s="114" t="s">
        <v>893</v>
      </c>
      <c r="F134" s="114" t="s">
        <v>893</v>
      </c>
      <c r="G134" s="114" t="s">
        <v>893</v>
      </c>
      <c r="H134" s="114" t="s">
        <v>893</v>
      </c>
      <c r="I134" s="114" t="s">
        <v>893</v>
      </c>
      <c r="J134" s="114" t="s">
        <v>893</v>
      </c>
      <c r="K134" s="114">
        <v>200000000</v>
      </c>
      <c r="L134" s="114">
        <v>210526315.78947368</v>
      </c>
      <c r="M134" s="114" t="s">
        <v>894</v>
      </c>
      <c r="N134" s="114" t="s">
        <v>894</v>
      </c>
      <c r="O134" s="94" t="s">
        <v>616</v>
      </c>
      <c r="P134" s="94" t="s">
        <v>1168</v>
      </c>
      <c r="Q134" s="94" t="s">
        <v>896</v>
      </c>
      <c r="R134" s="94" t="s">
        <v>897</v>
      </c>
      <c r="S134" s="94" t="s">
        <v>41</v>
      </c>
      <c r="T134" s="94" t="s">
        <v>898</v>
      </c>
      <c r="U134" s="94" t="s">
        <v>899</v>
      </c>
      <c r="V134" s="94" t="s">
        <v>54</v>
      </c>
      <c r="W134" s="94" t="s">
        <v>900</v>
      </c>
      <c r="X134" s="95" t="s">
        <v>171</v>
      </c>
      <c r="Y134" s="95" t="s">
        <v>171</v>
      </c>
      <c r="Z134" s="95" t="s">
        <v>1169</v>
      </c>
    </row>
    <row r="135" spans="1:26" s="105" customFormat="1" ht="48" x14ac:dyDescent="0.25">
      <c r="A135" s="112"/>
      <c r="B135" s="95" t="s">
        <v>892</v>
      </c>
      <c r="C135" s="113" t="s">
        <v>893</v>
      </c>
      <c r="D135" s="114" t="s">
        <v>893</v>
      </c>
      <c r="E135" s="114" t="s">
        <v>893</v>
      </c>
      <c r="F135" s="114" t="s">
        <v>893</v>
      </c>
      <c r="G135" s="114" t="s">
        <v>893</v>
      </c>
      <c r="H135" s="114" t="s">
        <v>893</v>
      </c>
      <c r="I135" s="114" t="s">
        <v>893</v>
      </c>
      <c r="J135" s="114" t="s">
        <v>893</v>
      </c>
      <c r="K135" s="114">
        <v>13371542.399999999</v>
      </c>
      <c r="L135" s="114">
        <v>14075307.789473683</v>
      </c>
      <c r="M135" s="114" t="s">
        <v>894</v>
      </c>
      <c r="N135" s="114" t="s">
        <v>894</v>
      </c>
      <c r="O135" s="94" t="s">
        <v>366</v>
      </c>
      <c r="P135" s="94" t="s">
        <v>1170</v>
      </c>
      <c r="Q135" s="94" t="s">
        <v>896</v>
      </c>
      <c r="R135" s="94" t="s">
        <v>897</v>
      </c>
      <c r="S135" s="94" t="s">
        <v>41</v>
      </c>
      <c r="T135" s="94" t="s">
        <v>898</v>
      </c>
      <c r="U135" s="94" t="s">
        <v>899</v>
      </c>
      <c r="V135" s="94" t="s">
        <v>193</v>
      </c>
      <c r="W135" s="94" t="s">
        <v>1142</v>
      </c>
      <c r="X135" s="95" t="s">
        <v>171</v>
      </c>
      <c r="Y135" s="95" t="s">
        <v>171</v>
      </c>
      <c r="Z135" s="95" t="s">
        <v>1171</v>
      </c>
    </row>
    <row r="136" spans="1:26" s="105" customFormat="1" ht="84" x14ac:dyDescent="0.25">
      <c r="A136" s="112"/>
      <c r="B136" s="95" t="s">
        <v>892</v>
      </c>
      <c r="C136" s="113" t="s">
        <v>893</v>
      </c>
      <c r="D136" s="114" t="s">
        <v>893</v>
      </c>
      <c r="E136" s="114" t="s">
        <v>893</v>
      </c>
      <c r="F136" s="114" t="s">
        <v>893</v>
      </c>
      <c r="G136" s="114" t="s">
        <v>893</v>
      </c>
      <c r="H136" s="114" t="s">
        <v>893</v>
      </c>
      <c r="I136" s="114" t="s">
        <v>893</v>
      </c>
      <c r="J136" s="114" t="s">
        <v>893</v>
      </c>
      <c r="K136" s="114">
        <v>3004469.7822000002</v>
      </c>
      <c r="L136" s="114">
        <v>3162599.7707368424</v>
      </c>
      <c r="M136" s="114" t="s">
        <v>894</v>
      </c>
      <c r="N136" s="114" t="s">
        <v>894</v>
      </c>
      <c r="O136" s="94" t="s">
        <v>616</v>
      </c>
      <c r="P136" s="94" t="s">
        <v>1172</v>
      </c>
      <c r="Q136" s="94" t="s">
        <v>896</v>
      </c>
      <c r="R136" s="94" t="s">
        <v>897</v>
      </c>
      <c r="S136" s="94" t="s">
        <v>41</v>
      </c>
      <c r="T136" s="94" t="s">
        <v>913</v>
      </c>
      <c r="U136" s="94" t="s">
        <v>899</v>
      </c>
      <c r="V136" s="94" t="s">
        <v>49</v>
      </c>
      <c r="W136" s="94" t="s">
        <v>1021</v>
      </c>
      <c r="X136" s="95" t="s">
        <v>171</v>
      </c>
      <c r="Y136" s="95" t="s">
        <v>171</v>
      </c>
      <c r="Z136" s="95" t="s">
        <v>1173</v>
      </c>
    </row>
    <row r="137" spans="1:26" s="105" customFormat="1" ht="192" x14ac:dyDescent="0.25">
      <c r="A137" s="112"/>
      <c r="B137" s="95" t="s">
        <v>892</v>
      </c>
      <c r="C137" s="113" t="s">
        <v>893</v>
      </c>
      <c r="D137" s="114" t="s">
        <v>893</v>
      </c>
      <c r="E137" s="114" t="s">
        <v>893</v>
      </c>
      <c r="F137" s="114" t="s">
        <v>893</v>
      </c>
      <c r="G137" s="114" t="s">
        <v>893</v>
      </c>
      <c r="H137" s="114" t="s">
        <v>893</v>
      </c>
      <c r="I137" s="114" t="s">
        <v>893</v>
      </c>
      <c r="J137" s="114" t="s">
        <v>893</v>
      </c>
      <c r="K137" s="114">
        <v>1232002.75</v>
      </c>
      <c r="L137" s="114">
        <v>1296845</v>
      </c>
      <c r="M137" s="114" t="s">
        <v>894</v>
      </c>
      <c r="N137" s="114" t="s">
        <v>894</v>
      </c>
      <c r="O137" s="94" t="s">
        <v>597</v>
      </c>
      <c r="P137" s="94" t="s">
        <v>1174</v>
      </c>
      <c r="Q137" s="94" t="s">
        <v>896</v>
      </c>
      <c r="R137" s="94" t="s">
        <v>897</v>
      </c>
      <c r="S137" s="94" t="s">
        <v>41</v>
      </c>
      <c r="T137" s="94" t="s">
        <v>898</v>
      </c>
      <c r="U137" s="94" t="s">
        <v>899</v>
      </c>
      <c r="V137" s="94" t="s">
        <v>49</v>
      </c>
      <c r="W137" s="94" t="s">
        <v>1008</v>
      </c>
      <c r="X137" s="95" t="s">
        <v>171</v>
      </c>
      <c r="Y137" s="95" t="s">
        <v>171</v>
      </c>
      <c r="Z137" s="95" t="s">
        <v>1175</v>
      </c>
    </row>
    <row r="138" spans="1:26" s="105" customFormat="1" ht="60" x14ac:dyDescent="0.25">
      <c r="A138" s="112"/>
      <c r="B138" s="95" t="s">
        <v>892</v>
      </c>
      <c r="C138" s="113" t="s">
        <v>893</v>
      </c>
      <c r="D138" s="114" t="s">
        <v>893</v>
      </c>
      <c r="E138" s="114" t="s">
        <v>893</v>
      </c>
      <c r="F138" s="114" t="s">
        <v>893</v>
      </c>
      <c r="G138" s="114" t="s">
        <v>893</v>
      </c>
      <c r="H138" s="114" t="s">
        <v>893</v>
      </c>
      <c r="I138" s="114" t="s">
        <v>893</v>
      </c>
      <c r="J138" s="114" t="s">
        <v>893</v>
      </c>
      <c r="K138" s="114">
        <v>682340</v>
      </c>
      <c r="L138" s="114">
        <v>718252.63157894742</v>
      </c>
      <c r="M138" s="114" t="s">
        <v>894</v>
      </c>
      <c r="N138" s="114" t="s">
        <v>894</v>
      </c>
      <c r="O138" s="94" t="s">
        <v>81</v>
      </c>
      <c r="P138" s="94" t="s">
        <v>1176</v>
      </c>
      <c r="Q138" s="94" t="s">
        <v>896</v>
      </c>
      <c r="R138" s="94" t="s">
        <v>897</v>
      </c>
      <c r="S138" s="94" t="s">
        <v>41</v>
      </c>
      <c r="T138" s="94" t="s">
        <v>913</v>
      </c>
      <c r="U138" s="94" t="s">
        <v>899</v>
      </c>
      <c r="V138" s="94" t="s">
        <v>50</v>
      </c>
      <c r="W138" s="94" t="s">
        <v>997</v>
      </c>
      <c r="X138" s="95" t="s">
        <v>171</v>
      </c>
      <c r="Y138" s="95" t="s">
        <v>171</v>
      </c>
      <c r="Z138" s="95" t="s">
        <v>1177</v>
      </c>
    </row>
    <row r="139" spans="1:26" s="105" customFormat="1" ht="60" x14ac:dyDescent="0.25">
      <c r="A139" s="112"/>
      <c r="B139" s="95" t="s">
        <v>892</v>
      </c>
      <c r="C139" s="113" t="s">
        <v>893</v>
      </c>
      <c r="D139" s="114" t="s">
        <v>893</v>
      </c>
      <c r="E139" s="114" t="s">
        <v>893</v>
      </c>
      <c r="F139" s="114" t="s">
        <v>893</v>
      </c>
      <c r="G139" s="114" t="s">
        <v>893</v>
      </c>
      <c r="H139" s="114" t="s">
        <v>893</v>
      </c>
      <c r="I139" s="114" t="s">
        <v>893</v>
      </c>
      <c r="J139" s="114" t="s">
        <v>893</v>
      </c>
      <c r="K139" s="114">
        <v>70000</v>
      </c>
      <c r="L139" s="114">
        <v>73684.210526315786</v>
      </c>
      <c r="M139" s="114" t="s">
        <v>894</v>
      </c>
      <c r="N139" s="114" t="s">
        <v>894</v>
      </c>
      <c r="O139" s="94" t="s">
        <v>61</v>
      </c>
      <c r="P139" s="94" t="s">
        <v>1178</v>
      </c>
      <c r="Q139" s="94" t="s">
        <v>896</v>
      </c>
      <c r="R139" s="94" t="s">
        <v>897</v>
      </c>
      <c r="S139" s="94" t="s">
        <v>41</v>
      </c>
      <c r="T139" s="94" t="s">
        <v>898</v>
      </c>
      <c r="U139" s="94" t="s">
        <v>899</v>
      </c>
      <c r="V139" s="94" t="s">
        <v>49</v>
      </c>
      <c r="W139" s="94" t="s">
        <v>1008</v>
      </c>
      <c r="X139" s="95" t="s">
        <v>171</v>
      </c>
      <c r="Y139" s="95" t="s">
        <v>171</v>
      </c>
      <c r="Z139" s="95" t="s">
        <v>1179</v>
      </c>
    </row>
    <row r="140" spans="1:26" s="105" customFormat="1" ht="96" x14ac:dyDescent="0.25">
      <c r="A140" s="112"/>
      <c r="B140" s="95" t="s">
        <v>892</v>
      </c>
      <c r="C140" s="113" t="s">
        <v>893</v>
      </c>
      <c r="D140" s="114" t="s">
        <v>893</v>
      </c>
      <c r="E140" s="114" t="s">
        <v>893</v>
      </c>
      <c r="F140" s="114" t="s">
        <v>893</v>
      </c>
      <c r="G140" s="114" t="s">
        <v>893</v>
      </c>
      <c r="H140" s="114" t="s">
        <v>893</v>
      </c>
      <c r="I140" s="114" t="s">
        <v>893</v>
      </c>
      <c r="J140" s="114" t="s">
        <v>893</v>
      </c>
      <c r="K140" s="114">
        <v>675594.60000000009</v>
      </c>
      <c r="L140" s="114">
        <v>711152.21052631596</v>
      </c>
      <c r="M140" s="114" t="s">
        <v>894</v>
      </c>
      <c r="N140" s="114" t="s">
        <v>894</v>
      </c>
      <c r="O140" s="94" t="s">
        <v>425</v>
      </c>
      <c r="P140" s="94" t="s">
        <v>1180</v>
      </c>
      <c r="Q140" s="94" t="s">
        <v>896</v>
      </c>
      <c r="R140" s="94" t="s">
        <v>897</v>
      </c>
      <c r="S140" s="94" t="s">
        <v>41</v>
      </c>
      <c r="T140" s="94" t="s">
        <v>898</v>
      </c>
      <c r="U140" s="94" t="s">
        <v>923</v>
      </c>
      <c r="V140" s="94" t="s">
        <v>44</v>
      </c>
      <c r="W140" s="94" t="s">
        <v>938</v>
      </c>
      <c r="X140" s="95" t="s">
        <v>171</v>
      </c>
      <c r="Y140" s="95" t="s">
        <v>171</v>
      </c>
      <c r="Z140" s="95" t="s">
        <v>1181</v>
      </c>
    </row>
    <row r="141" spans="1:26" s="105" customFormat="1" ht="168" x14ac:dyDescent="0.25">
      <c r="A141" s="112"/>
      <c r="B141" s="95" t="s">
        <v>892</v>
      </c>
      <c r="C141" s="113" t="s">
        <v>893</v>
      </c>
      <c r="D141" s="114" t="s">
        <v>893</v>
      </c>
      <c r="E141" s="114" t="s">
        <v>893</v>
      </c>
      <c r="F141" s="114" t="s">
        <v>893</v>
      </c>
      <c r="G141" s="114" t="s">
        <v>893</v>
      </c>
      <c r="H141" s="114" t="s">
        <v>893</v>
      </c>
      <c r="I141" s="114" t="s">
        <v>893</v>
      </c>
      <c r="J141" s="114" t="s">
        <v>893</v>
      </c>
      <c r="K141" s="114">
        <v>100000</v>
      </c>
      <c r="L141" s="114">
        <v>105263.15789473684</v>
      </c>
      <c r="M141" s="114" t="s">
        <v>894</v>
      </c>
      <c r="N141" s="114" t="s">
        <v>894</v>
      </c>
      <c r="O141" s="94" t="s">
        <v>344</v>
      </c>
      <c r="P141" s="94" t="s">
        <v>1164</v>
      </c>
      <c r="Q141" s="94" t="s">
        <v>896</v>
      </c>
      <c r="R141" s="94" t="s">
        <v>897</v>
      </c>
      <c r="S141" s="94" t="s">
        <v>679</v>
      </c>
      <c r="T141" s="94" t="s">
        <v>898</v>
      </c>
      <c r="U141" s="94" t="s">
        <v>899</v>
      </c>
      <c r="V141" s="94" t="s">
        <v>49</v>
      </c>
      <c r="W141" s="94" t="s">
        <v>1008</v>
      </c>
      <c r="X141" s="95" t="s">
        <v>171</v>
      </c>
      <c r="Y141" s="95" t="s">
        <v>171</v>
      </c>
      <c r="Z141" s="95" t="s">
        <v>1165</v>
      </c>
    </row>
    <row r="142" spans="1:26" s="105" customFormat="1" ht="96" x14ac:dyDescent="0.25">
      <c r="A142" s="112"/>
      <c r="B142" s="95" t="s">
        <v>892</v>
      </c>
      <c r="C142" s="113" t="s">
        <v>893</v>
      </c>
      <c r="D142" s="114" t="s">
        <v>893</v>
      </c>
      <c r="E142" s="114" t="s">
        <v>893</v>
      </c>
      <c r="F142" s="114" t="s">
        <v>893</v>
      </c>
      <c r="G142" s="114" t="s">
        <v>893</v>
      </c>
      <c r="H142" s="114" t="s">
        <v>893</v>
      </c>
      <c r="I142" s="114" t="s">
        <v>893</v>
      </c>
      <c r="J142" s="114" t="s">
        <v>893</v>
      </c>
      <c r="K142" s="114">
        <v>6501.3311999999996</v>
      </c>
      <c r="L142" s="114">
        <v>6843.5065263157894</v>
      </c>
      <c r="M142" s="114" t="s">
        <v>894</v>
      </c>
      <c r="N142" s="114" t="s">
        <v>894</v>
      </c>
      <c r="O142" s="94" t="s">
        <v>265</v>
      </c>
      <c r="P142" s="94" t="s">
        <v>1182</v>
      </c>
      <c r="Q142" s="94" t="s">
        <v>896</v>
      </c>
      <c r="R142" s="94" t="s">
        <v>897</v>
      </c>
      <c r="S142" s="94" t="e">
        <v>#N/A</v>
      </c>
      <c r="T142" s="94" t="s">
        <v>996</v>
      </c>
      <c r="U142" s="94" t="s">
        <v>899</v>
      </c>
      <c r="V142" s="94" t="s">
        <v>63</v>
      </c>
      <c r="W142" s="94" t="s">
        <v>946</v>
      </c>
      <c r="X142" s="95" t="s">
        <v>171</v>
      </c>
      <c r="Y142" s="95" t="s">
        <v>171</v>
      </c>
      <c r="Z142" s="95" t="s">
        <v>1183</v>
      </c>
    </row>
    <row r="143" spans="1:26" s="105" customFormat="1" ht="96" x14ac:dyDescent="0.25">
      <c r="A143" s="112"/>
      <c r="B143" s="95" t="s">
        <v>892</v>
      </c>
      <c r="C143" s="113" t="s">
        <v>893</v>
      </c>
      <c r="D143" s="114" t="s">
        <v>893</v>
      </c>
      <c r="E143" s="114" t="s">
        <v>893</v>
      </c>
      <c r="F143" s="114" t="s">
        <v>893</v>
      </c>
      <c r="G143" s="114" t="s">
        <v>893</v>
      </c>
      <c r="H143" s="114" t="s">
        <v>893</v>
      </c>
      <c r="I143" s="114" t="s">
        <v>893</v>
      </c>
      <c r="J143" s="114" t="s">
        <v>893</v>
      </c>
      <c r="K143" s="114">
        <v>125821.59624413999</v>
      </c>
      <c r="L143" s="114">
        <v>132443.78552014736</v>
      </c>
      <c r="M143" s="114" t="s">
        <v>894</v>
      </c>
      <c r="N143" s="114" t="s">
        <v>894</v>
      </c>
      <c r="O143" s="94" t="s">
        <v>491</v>
      </c>
      <c r="P143" s="94" t="s">
        <v>1184</v>
      </c>
      <c r="Q143" s="94" t="s">
        <v>896</v>
      </c>
      <c r="R143" s="94" t="s">
        <v>897</v>
      </c>
      <c r="S143" s="94" t="s">
        <v>679</v>
      </c>
      <c r="T143" s="94" t="s">
        <v>898</v>
      </c>
      <c r="U143" s="94" t="s">
        <v>899</v>
      </c>
      <c r="V143" s="94" t="s">
        <v>49</v>
      </c>
      <c r="W143" s="94" t="s">
        <v>1124</v>
      </c>
      <c r="X143" s="95" t="s">
        <v>171</v>
      </c>
      <c r="Y143" s="95" t="s">
        <v>171</v>
      </c>
      <c r="Z143" s="95" t="s">
        <v>1185</v>
      </c>
    </row>
    <row r="144" spans="1:26" s="105" customFormat="1" ht="96" x14ac:dyDescent="0.25">
      <c r="A144" s="112"/>
      <c r="B144" s="95" t="s">
        <v>892</v>
      </c>
      <c r="C144" s="113" t="s">
        <v>893</v>
      </c>
      <c r="D144" s="114" t="s">
        <v>893</v>
      </c>
      <c r="E144" s="114" t="s">
        <v>893</v>
      </c>
      <c r="F144" s="114" t="s">
        <v>893</v>
      </c>
      <c r="G144" s="114" t="s">
        <v>893</v>
      </c>
      <c r="H144" s="114" t="s">
        <v>893</v>
      </c>
      <c r="I144" s="114" t="s">
        <v>893</v>
      </c>
      <c r="J144" s="114" t="s">
        <v>893</v>
      </c>
      <c r="K144" s="114">
        <v>105038.31794066</v>
      </c>
      <c r="L144" s="114">
        <v>110566.65046385264</v>
      </c>
      <c r="M144" s="114" t="s">
        <v>894</v>
      </c>
      <c r="N144" s="114" t="s">
        <v>894</v>
      </c>
      <c r="O144" s="94" t="s">
        <v>491</v>
      </c>
      <c r="P144" s="94" t="s">
        <v>1184</v>
      </c>
      <c r="Q144" s="94" t="s">
        <v>896</v>
      </c>
      <c r="R144" s="94" t="s">
        <v>897</v>
      </c>
      <c r="S144" s="94" t="s">
        <v>679</v>
      </c>
      <c r="T144" s="94" t="s">
        <v>898</v>
      </c>
      <c r="U144" s="94" t="s">
        <v>899</v>
      </c>
      <c r="V144" s="94" t="s">
        <v>49</v>
      </c>
      <c r="W144" s="94" t="s">
        <v>1124</v>
      </c>
      <c r="X144" s="95" t="s">
        <v>171</v>
      </c>
      <c r="Y144" s="95" t="s">
        <v>171</v>
      </c>
      <c r="Z144" s="95" t="s">
        <v>1185</v>
      </c>
    </row>
    <row r="145" spans="1:26" s="105" customFormat="1" ht="84" x14ac:dyDescent="0.25">
      <c r="A145" s="112"/>
      <c r="B145" s="95" t="s">
        <v>892</v>
      </c>
      <c r="C145" s="113" t="s">
        <v>893</v>
      </c>
      <c r="D145" s="114" t="s">
        <v>893</v>
      </c>
      <c r="E145" s="114" t="s">
        <v>893</v>
      </c>
      <c r="F145" s="114" t="s">
        <v>893</v>
      </c>
      <c r="G145" s="114" t="s">
        <v>893</v>
      </c>
      <c r="H145" s="114" t="s">
        <v>893</v>
      </c>
      <c r="I145" s="114" t="s">
        <v>893</v>
      </c>
      <c r="J145" s="114" t="s">
        <v>893</v>
      </c>
      <c r="K145" s="114">
        <v>40000</v>
      </c>
      <c r="L145" s="114">
        <v>42105.26315789474</v>
      </c>
      <c r="M145" s="114" t="s">
        <v>894</v>
      </c>
      <c r="N145" s="114" t="s">
        <v>894</v>
      </c>
      <c r="O145" s="94" t="s">
        <v>1186</v>
      </c>
      <c r="P145" s="94" t="s">
        <v>1187</v>
      </c>
      <c r="Q145" s="94" t="s">
        <v>896</v>
      </c>
      <c r="R145" s="94" t="s">
        <v>897</v>
      </c>
      <c r="S145" s="94" t="s">
        <v>679</v>
      </c>
      <c r="T145" s="94" t="s">
        <v>898</v>
      </c>
      <c r="U145" s="94" t="s">
        <v>899</v>
      </c>
      <c r="V145" s="94" t="s">
        <v>49</v>
      </c>
      <c r="W145" s="94" t="s">
        <v>1008</v>
      </c>
      <c r="X145" s="95" t="s">
        <v>171</v>
      </c>
      <c r="Y145" s="95" t="s">
        <v>171</v>
      </c>
      <c r="Z145" s="95" t="s">
        <v>1188</v>
      </c>
    </row>
    <row r="146" spans="1:26" s="105" customFormat="1" ht="204" x14ac:dyDescent="0.25">
      <c r="A146" s="112"/>
      <c r="B146" s="95" t="s">
        <v>892</v>
      </c>
      <c r="C146" s="113" t="s">
        <v>893</v>
      </c>
      <c r="D146" s="114" t="s">
        <v>893</v>
      </c>
      <c r="E146" s="114" t="s">
        <v>893</v>
      </c>
      <c r="F146" s="114" t="s">
        <v>893</v>
      </c>
      <c r="G146" s="114" t="s">
        <v>893</v>
      </c>
      <c r="H146" s="114" t="s">
        <v>893</v>
      </c>
      <c r="I146" s="114" t="s">
        <v>893</v>
      </c>
      <c r="J146" s="114" t="s">
        <v>893</v>
      </c>
      <c r="K146" s="114">
        <v>1022000</v>
      </c>
      <c r="L146" s="114">
        <v>1075789.4736842106</v>
      </c>
      <c r="M146" s="114" t="s">
        <v>894</v>
      </c>
      <c r="N146" s="114" t="s">
        <v>894</v>
      </c>
      <c r="O146" s="94" t="s">
        <v>431</v>
      </c>
      <c r="P146" s="94" t="s">
        <v>1054</v>
      </c>
      <c r="Q146" s="94" t="s">
        <v>896</v>
      </c>
      <c r="R146" s="94" t="s">
        <v>897</v>
      </c>
      <c r="S146" s="94" t="e">
        <v>#N/A</v>
      </c>
      <c r="T146" s="94" t="s">
        <v>42</v>
      </c>
      <c r="U146" s="94" t="s">
        <v>899</v>
      </c>
      <c r="V146" s="94" t="s">
        <v>50</v>
      </c>
      <c r="W146" s="94" t="s">
        <v>997</v>
      </c>
      <c r="X146" s="95" t="s">
        <v>171</v>
      </c>
      <c r="Y146" s="95" t="s">
        <v>171</v>
      </c>
      <c r="Z146" s="95" t="s">
        <v>1055</v>
      </c>
    </row>
    <row r="147" spans="1:26" s="105" customFormat="1" ht="156" x14ac:dyDescent="0.25">
      <c r="A147" s="112"/>
      <c r="B147" s="95" t="s">
        <v>892</v>
      </c>
      <c r="C147" s="113" t="s">
        <v>893</v>
      </c>
      <c r="D147" s="114" t="s">
        <v>893</v>
      </c>
      <c r="E147" s="114" t="s">
        <v>893</v>
      </c>
      <c r="F147" s="114" t="s">
        <v>893</v>
      </c>
      <c r="G147" s="114" t="s">
        <v>893</v>
      </c>
      <c r="H147" s="114" t="s">
        <v>893</v>
      </c>
      <c r="I147" s="114" t="s">
        <v>893</v>
      </c>
      <c r="J147" s="114" t="s">
        <v>893</v>
      </c>
      <c r="K147" s="114">
        <v>400000</v>
      </c>
      <c r="L147" s="114">
        <v>421052.63157894736</v>
      </c>
      <c r="M147" s="114" t="s">
        <v>894</v>
      </c>
      <c r="N147" s="114" t="s">
        <v>894</v>
      </c>
      <c r="O147" s="94" t="s">
        <v>1189</v>
      </c>
      <c r="P147" s="94" t="s">
        <v>1190</v>
      </c>
      <c r="Q147" s="94" t="s">
        <v>896</v>
      </c>
      <c r="R147" s="94" t="s">
        <v>897</v>
      </c>
      <c r="S147" s="94" t="e">
        <v>#N/A</v>
      </c>
      <c r="T147" s="94" t="s">
        <v>898</v>
      </c>
      <c r="U147" s="94" t="s">
        <v>899</v>
      </c>
      <c r="V147" s="94" t="s">
        <v>49</v>
      </c>
      <c r="W147" s="94" t="s">
        <v>1008</v>
      </c>
      <c r="X147" s="95" t="s">
        <v>171</v>
      </c>
      <c r="Y147" s="95" t="s">
        <v>171</v>
      </c>
      <c r="Z147" s="95" t="s">
        <v>1191</v>
      </c>
    </row>
    <row r="148" spans="1:26" s="105" customFormat="1" ht="216" x14ac:dyDescent="0.25">
      <c r="A148" s="112"/>
      <c r="B148" s="95" t="s">
        <v>892</v>
      </c>
      <c r="C148" s="113" t="s">
        <v>893</v>
      </c>
      <c r="D148" s="114" t="s">
        <v>893</v>
      </c>
      <c r="E148" s="114" t="s">
        <v>893</v>
      </c>
      <c r="F148" s="114" t="s">
        <v>893</v>
      </c>
      <c r="G148" s="114" t="s">
        <v>893</v>
      </c>
      <c r="H148" s="114" t="s">
        <v>893</v>
      </c>
      <c r="I148" s="114" t="s">
        <v>893</v>
      </c>
      <c r="J148" s="114" t="s">
        <v>893</v>
      </c>
      <c r="K148" s="114">
        <v>700000.00000000012</v>
      </c>
      <c r="L148" s="114">
        <v>736842.1052631581</v>
      </c>
      <c r="M148" s="114" t="s">
        <v>894</v>
      </c>
      <c r="N148" s="114" t="s">
        <v>894</v>
      </c>
      <c r="O148" s="94" t="s">
        <v>425</v>
      </c>
      <c r="P148" s="94" t="s">
        <v>1192</v>
      </c>
      <c r="Q148" s="94" t="s">
        <v>896</v>
      </c>
      <c r="R148" s="94" t="s">
        <v>897</v>
      </c>
      <c r="S148" s="94" t="s">
        <v>41</v>
      </c>
      <c r="T148" s="94" t="s">
        <v>898</v>
      </c>
      <c r="U148" s="94" t="s">
        <v>899</v>
      </c>
      <c r="V148" s="94" t="s">
        <v>50</v>
      </c>
      <c r="W148" s="94" t="s">
        <v>1008</v>
      </c>
      <c r="X148" s="95" t="s">
        <v>171</v>
      </c>
      <c r="Y148" s="95" t="s">
        <v>171</v>
      </c>
      <c r="Z148" s="95" t="s">
        <v>1193</v>
      </c>
    </row>
    <row r="149" spans="1:26" s="105" customFormat="1" ht="132" x14ac:dyDescent="0.25">
      <c r="A149" s="112"/>
      <c r="B149" s="95" t="s">
        <v>892</v>
      </c>
      <c r="C149" s="113" t="s">
        <v>893</v>
      </c>
      <c r="D149" s="114" t="s">
        <v>893</v>
      </c>
      <c r="E149" s="114" t="s">
        <v>893</v>
      </c>
      <c r="F149" s="114" t="s">
        <v>893</v>
      </c>
      <c r="G149" s="114" t="s">
        <v>893</v>
      </c>
      <c r="H149" s="114" t="s">
        <v>893</v>
      </c>
      <c r="I149" s="114" t="s">
        <v>893</v>
      </c>
      <c r="J149" s="114" t="s">
        <v>893</v>
      </c>
      <c r="K149" s="114">
        <v>1559710.8350376398</v>
      </c>
      <c r="L149" s="114">
        <v>1641800.8789869894</v>
      </c>
      <c r="M149" s="114" t="s">
        <v>894</v>
      </c>
      <c r="N149" s="114" t="s">
        <v>894</v>
      </c>
      <c r="O149" s="94" t="s">
        <v>366</v>
      </c>
      <c r="P149" s="94" t="s">
        <v>1194</v>
      </c>
      <c r="Q149" s="94" t="s">
        <v>896</v>
      </c>
      <c r="R149" s="94" t="s">
        <v>897</v>
      </c>
      <c r="S149" s="94" t="s">
        <v>679</v>
      </c>
      <c r="T149" s="94" t="s">
        <v>898</v>
      </c>
      <c r="U149" s="94" t="s">
        <v>899</v>
      </c>
      <c r="V149" s="94" t="s">
        <v>49</v>
      </c>
      <c r="W149" s="94" t="s">
        <v>1008</v>
      </c>
      <c r="X149" s="95" t="s">
        <v>171</v>
      </c>
      <c r="Y149" s="95" t="s">
        <v>171</v>
      </c>
      <c r="Z149" s="95" t="s">
        <v>1195</v>
      </c>
    </row>
    <row r="150" spans="1:26" s="105" customFormat="1" ht="108" x14ac:dyDescent="0.25">
      <c r="A150" s="112"/>
      <c r="B150" s="95" t="s">
        <v>892</v>
      </c>
      <c r="C150" s="113" t="s">
        <v>893</v>
      </c>
      <c r="D150" s="114" t="s">
        <v>893</v>
      </c>
      <c r="E150" s="114" t="s">
        <v>893</v>
      </c>
      <c r="F150" s="114" t="s">
        <v>893</v>
      </c>
      <c r="G150" s="114" t="s">
        <v>893</v>
      </c>
      <c r="H150" s="114" t="s">
        <v>893</v>
      </c>
      <c r="I150" s="114" t="s">
        <v>893</v>
      </c>
      <c r="J150" s="114" t="s">
        <v>893</v>
      </c>
      <c r="K150" s="114">
        <v>100000</v>
      </c>
      <c r="L150" s="114">
        <v>105263.15789473684</v>
      </c>
      <c r="M150" s="114" t="s">
        <v>894</v>
      </c>
      <c r="N150" s="114" t="s">
        <v>894</v>
      </c>
      <c r="O150" s="94" t="s">
        <v>1196</v>
      </c>
      <c r="P150" s="94" t="s">
        <v>1197</v>
      </c>
      <c r="Q150" s="94" t="s">
        <v>896</v>
      </c>
      <c r="R150" s="94" t="s">
        <v>897</v>
      </c>
      <c r="S150" s="94" t="s">
        <v>41</v>
      </c>
      <c r="T150" s="94" t="s">
        <v>898</v>
      </c>
      <c r="U150" s="94" t="s">
        <v>899</v>
      </c>
      <c r="V150" s="94" t="s">
        <v>49</v>
      </c>
      <c r="W150" s="94" t="s">
        <v>1008</v>
      </c>
      <c r="X150" s="95" t="s">
        <v>171</v>
      </c>
      <c r="Y150" s="95" t="s">
        <v>171</v>
      </c>
      <c r="Z150" s="95" t="s">
        <v>1198</v>
      </c>
    </row>
    <row r="151" spans="1:26" s="105" customFormat="1" ht="96" x14ac:dyDescent="0.25">
      <c r="A151" s="112"/>
      <c r="B151" s="95" t="s">
        <v>892</v>
      </c>
      <c r="C151" s="113" t="s">
        <v>893</v>
      </c>
      <c r="D151" s="114" t="s">
        <v>893</v>
      </c>
      <c r="E151" s="114" t="s">
        <v>893</v>
      </c>
      <c r="F151" s="114" t="s">
        <v>893</v>
      </c>
      <c r="G151" s="114" t="s">
        <v>893</v>
      </c>
      <c r="H151" s="114" t="s">
        <v>893</v>
      </c>
      <c r="I151" s="114" t="s">
        <v>893</v>
      </c>
      <c r="J151" s="114" t="s">
        <v>893</v>
      </c>
      <c r="K151" s="114">
        <v>4593426.5725199999</v>
      </c>
      <c r="L151" s="114">
        <v>4835185.8658105265</v>
      </c>
      <c r="M151" s="114" t="s">
        <v>894</v>
      </c>
      <c r="N151" s="114" t="s">
        <v>894</v>
      </c>
      <c r="O151" s="94" t="s">
        <v>1199</v>
      </c>
      <c r="P151" s="94" t="s">
        <v>1200</v>
      </c>
      <c r="Q151" s="94" t="s">
        <v>896</v>
      </c>
      <c r="R151" s="94" t="s">
        <v>897</v>
      </c>
      <c r="S151" s="94" t="s">
        <v>41</v>
      </c>
      <c r="T151" s="94" t="s">
        <v>898</v>
      </c>
      <c r="U151" s="94" t="s">
        <v>899</v>
      </c>
      <c r="V151" s="94" t="s">
        <v>49</v>
      </c>
      <c r="W151" s="94" t="s">
        <v>1008</v>
      </c>
      <c r="X151" s="95" t="s">
        <v>171</v>
      </c>
      <c r="Y151" s="95" t="s">
        <v>171</v>
      </c>
      <c r="Z151" s="95" t="s">
        <v>1201</v>
      </c>
    </row>
    <row r="152" spans="1:26" s="105" customFormat="1" ht="180" x14ac:dyDescent="0.25">
      <c r="A152" s="112"/>
      <c r="B152" s="95" t="s">
        <v>892</v>
      </c>
      <c r="C152" s="113" t="s">
        <v>893</v>
      </c>
      <c r="D152" s="114" t="s">
        <v>893</v>
      </c>
      <c r="E152" s="114" t="s">
        <v>893</v>
      </c>
      <c r="F152" s="114" t="s">
        <v>893</v>
      </c>
      <c r="G152" s="114" t="s">
        <v>893</v>
      </c>
      <c r="H152" s="114" t="s">
        <v>893</v>
      </c>
      <c r="I152" s="114" t="s">
        <v>893</v>
      </c>
      <c r="J152" s="114" t="s">
        <v>893</v>
      </c>
      <c r="K152" s="114">
        <v>400000</v>
      </c>
      <c r="L152" s="114">
        <v>421052.63157894736</v>
      </c>
      <c r="M152" s="114" t="s">
        <v>894</v>
      </c>
      <c r="N152" s="114" t="s">
        <v>894</v>
      </c>
      <c r="O152" s="94" t="s">
        <v>246</v>
      </c>
      <c r="P152" s="94" t="s">
        <v>1202</v>
      </c>
      <c r="Q152" s="94" t="s">
        <v>896</v>
      </c>
      <c r="R152" s="94" t="s">
        <v>897</v>
      </c>
      <c r="S152" s="94" t="s">
        <v>41</v>
      </c>
      <c r="T152" s="94" t="s">
        <v>898</v>
      </c>
      <c r="U152" s="94" t="s">
        <v>899</v>
      </c>
      <c r="V152" s="94" t="s">
        <v>49</v>
      </c>
      <c r="W152" s="94" t="s">
        <v>1008</v>
      </c>
      <c r="X152" s="95" t="s">
        <v>171</v>
      </c>
      <c r="Y152" s="95" t="s">
        <v>171</v>
      </c>
      <c r="Z152" s="95" t="s">
        <v>1203</v>
      </c>
    </row>
    <row r="153" spans="1:26" s="105" customFormat="1" ht="84" x14ac:dyDescent="0.25">
      <c r="A153" s="112"/>
      <c r="B153" s="95" t="s">
        <v>892</v>
      </c>
      <c r="C153" s="113" t="s">
        <v>893</v>
      </c>
      <c r="D153" s="114" t="s">
        <v>893</v>
      </c>
      <c r="E153" s="114" t="s">
        <v>893</v>
      </c>
      <c r="F153" s="114" t="s">
        <v>893</v>
      </c>
      <c r="G153" s="114" t="s">
        <v>893</v>
      </c>
      <c r="H153" s="114" t="s">
        <v>893</v>
      </c>
      <c r="I153" s="114" t="s">
        <v>893</v>
      </c>
      <c r="J153" s="114" t="s">
        <v>893</v>
      </c>
      <c r="K153" s="114">
        <v>616637.41349000006</v>
      </c>
      <c r="L153" s="114">
        <v>649092.01420000009</v>
      </c>
      <c r="M153" s="114" t="s">
        <v>894</v>
      </c>
      <c r="N153" s="114" t="s">
        <v>894</v>
      </c>
      <c r="O153" s="94" t="s">
        <v>1143</v>
      </c>
      <c r="P153" s="94" t="s">
        <v>1144</v>
      </c>
      <c r="Q153" s="94" t="s">
        <v>896</v>
      </c>
      <c r="R153" s="94" t="s">
        <v>897</v>
      </c>
      <c r="S153" s="94" t="e">
        <v>#N/A</v>
      </c>
      <c r="T153" s="94" t="s">
        <v>42</v>
      </c>
      <c r="U153" s="94" t="s">
        <v>945</v>
      </c>
      <c r="V153" s="94" t="s">
        <v>44</v>
      </c>
      <c r="W153" s="94" t="s">
        <v>938</v>
      </c>
      <c r="X153" s="95" t="s">
        <v>171</v>
      </c>
      <c r="Y153" s="95" t="s">
        <v>171</v>
      </c>
      <c r="Z153" s="95" t="s">
        <v>1145</v>
      </c>
    </row>
    <row r="154" spans="1:26" s="105" customFormat="1" ht="120" x14ac:dyDescent="0.25">
      <c r="A154" s="112"/>
      <c r="B154" s="95" t="s">
        <v>892</v>
      </c>
      <c r="C154" s="113" t="s">
        <v>893</v>
      </c>
      <c r="D154" s="114" t="s">
        <v>893</v>
      </c>
      <c r="E154" s="114" t="s">
        <v>893</v>
      </c>
      <c r="F154" s="114" t="s">
        <v>893</v>
      </c>
      <c r="G154" s="114" t="s">
        <v>893</v>
      </c>
      <c r="H154" s="114" t="s">
        <v>893</v>
      </c>
      <c r="I154" s="114" t="s">
        <v>893</v>
      </c>
      <c r="J154" s="114" t="s">
        <v>893</v>
      </c>
      <c r="K154" s="114">
        <v>41570</v>
      </c>
      <c r="L154" s="114">
        <v>43757.894736842107</v>
      </c>
      <c r="M154" s="114" t="s">
        <v>894</v>
      </c>
      <c r="N154" s="114" t="s">
        <v>894</v>
      </c>
      <c r="O154" s="94" t="s">
        <v>597</v>
      </c>
      <c r="P154" s="94" t="s">
        <v>1204</v>
      </c>
      <c r="Q154" s="94" t="s">
        <v>896</v>
      </c>
      <c r="R154" s="94" t="s">
        <v>897</v>
      </c>
      <c r="S154" s="94" t="s">
        <v>41</v>
      </c>
      <c r="T154" s="94" t="s">
        <v>898</v>
      </c>
      <c r="U154" s="94" t="s">
        <v>899</v>
      </c>
      <c r="V154" s="94" t="s">
        <v>49</v>
      </c>
      <c r="W154" s="94" t="s">
        <v>1008</v>
      </c>
      <c r="X154" s="95" t="s">
        <v>171</v>
      </c>
      <c r="Y154" s="95" t="s">
        <v>171</v>
      </c>
      <c r="Z154" s="95" t="s">
        <v>1205</v>
      </c>
    </row>
    <row r="155" spans="1:26" s="105" customFormat="1" ht="108" x14ac:dyDescent="0.25">
      <c r="A155" s="112"/>
      <c r="B155" s="95" t="s">
        <v>892</v>
      </c>
      <c r="C155" s="113" t="s">
        <v>893</v>
      </c>
      <c r="D155" s="114" t="s">
        <v>893</v>
      </c>
      <c r="E155" s="114" t="s">
        <v>893</v>
      </c>
      <c r="F155" s="114" t="s">
        <v>893</v>
      </c>
      <c r="G155" s="114" t="s">
        <v>893</v>
      </c>
      <c r="H155" s="114" t="s">
        <v>893</v>
      </c>
      <c r="I155" s="114" t="s">
        <v>893</v>
      </c>
      <c r="J155" s="114" t="s">
        <v>893</v>
      </c>
      <c r="K155" s="114">
        <v>1721699.5449999999</v>
      </c>
      <c r="L155" s="114">
        <v>1812315.3105263158</v>
      </c>
      <c r="M155" s="114" t="s">
        <v>894</v>
      </c>
      <c r="N155" s="114" t="s">
        <v>894</v>
      </c>
      <c r="O155" s="94" t="s">
        <v>246</v>
      </c>
      <c r="P155" s="94" t="s">
        <v>1206</v>
      </c>
      <c r="Q155" s="94" t="s">
        <v>896</v>
      </c>
      <c r="R155" s="94" t="s">
        <v>897</v>
      </c>
      <c r="S155" s="94" t="s">
        <v>41</v>
      </c>
      <c r="T155" s="94" t="s">
        <v>898</v>
      </c>
      <c r="U155" s="94" t="s">
        <v>923</v>
      </c>
      <c r="V155" s="94" t="s">
        <v>49</v>
      </c>
      <c r="W155" s="94" t="s">
        <v>1008</v>
      </c>
      <c r="X155" s="95" t="s">
        <v>171</v>
      </c>
      <c r="Y155" s="95" t="s">
        <v>171</v>
      </c>
      <c r="Z155" s="95" t="s">
        <v>1207</v>
      </c>
    </row>
    <row r="156" spans="1:26" s="105" customFormat="1" ht="156" x14ac:dyDescent="0.25">
      <c r="A156" s="112"/>
      <c r="B156" s="95" t="s">
        <v>892</v>
      </c>
      <c r="C156" s="113" t="s">
        <v>893</v>
      </c>
      <c r="D156" s="114" t="s">
        <v>893</v>
      </c>
      <c r="E156" s="114" t="s">
        <v>893</v>
      </c>
      <c r="F156" s="114" t="s">
        <v>893</v>
      </c>
      <c r="G156" s="114" t="s">
        <v>893</v>
      </c>
      <c r="H156" s="114" t="s">
        <v>893</v>
      </c>
      <c r="I156" s="114" t="s">
        <v>893</v>
      </c>
      <c r="J156" s="114" t="s">
        <v>893</v>
      </c>
      <c r="K156" s="114">
        <v>37295.967800000006</v>
      </c>
      <c r="L156" s="114">
        <v>39258.913473684217</v>
      </c>
      <c r="M156" s="114" t="s">
        <v>894</v>
      </c>
      <c r="N156" s="114" t="s">
        <v>894</v>
      </c>
      <c r="O156" s="94" t="s">
        <v>1208</v>
      </c>
      <c r="P156" s="94" t="s">
        <v>1209</v>
      </c>
      <c r="Q156" s="94" t="s">
        <v>896</v>
      </c>
      <c r="R156" s="94" t="s">
        <v>897</v>
      </c>
      <c r="S156" s="94" t="e">
        <v>#N/A</v>
      </c>
      <c r="T156" s="94" t="s">
        <v>996</v>
      </c>
      <c r="U156" s="94" t="s">
        <v>899</v>
      </c>
      <c r="V156" s="94" t="s">
        <v>49</v>
      </c>
      <c r="W156" s="94" t="s">
        <v>1008</v>
      </c>
      <c r="X156" s="95" t="s">
        <v>171</v>
      </c>
      <c r="Y156" s="95" t="s">
        <v>171</v>
      </c>
      <c r="Z156" s="95" t="s">
        <v>1210</v>
      </c>
    </row>
    <row r="157" spans="1:26" s="105" customFormat="1" ht="156" x14ac:dyDescent="0.25">
      <c r="A157" s="112"/>
      <c r="B157" s="95" t="s">
        <v>892</v>
      </c>
      <c r="C157" s="113" t="s">
        <v>893</v>
      </c>
      <c r="D157" s="114" t="s">
        <v>893</v>
      </c>
      <c r="E157" s="114" t="s">
        <v>893</v>
      </c>
      <c r="F157" s="114" t="s">
        <v>893</v>
      </c>
      <c r="G157" s="114" t="s">
        <v>893</v>
      </c>
      <c r="H157" s="114" t="s">
        <v>893</v>
      </c>
      <c r="I157" s="114" t="s">
        <v>893</v>
      </c>
      <c r="J157" s="114" t="s">
        <v>893</v>
      </c>
      <c r="K157" s="114">
        <v>4168.4253500000004</v>
      </c>
      <c r="L157" s="114">
        <v>4387.8161578947374</v>
      </c>
      <c r="M157" s="114" t="s">
        <v>894</v>
      </c>
      <c r="N157" s="114" t="s">
        <v>894</v>
      </c>
      <c r="O157" s="94" t="s">
        <v>1208</v>
      </c>
      <c r="P157" s="94" t="s">
        <v>1209</v>
      </c>
      <c r="Q157" s="94" t="s">
        <v>896</v>
      </c>
      <c r="R157" s="94" t="s">
        <v>897</v>
      </c>
      <c r="S157" s="94" t="e">
        <v>#N/A</v>
      </c>
      <c r="T157" s="94" t="s">
        <v>996</v>
      </c>
      <c r="U157" s="94" t="s">
        <v>899</v>
      </c>
      <c r="V157" s="94" t="s">
        <v>49</v>
      </c>
      <c r="W157" s="94" t="s">
        <v>1008</v>
      </c>
      <c r="X157" s="95" t="s">
        <v>171</v>
      </c>
      <c r="Y157" s="95" t="s">
        <v>171</v>
      </c>
      <c r="Z157" s="95" t="s">
        <v>1210</v>
      </c>
    </row>
    <row r="158" spans="1:26" s="105" customFormat="1" ht="120" x14ac:dyDescent="0.25">
      <c r="A158" s="112"/>
      <c r="B158" s="95" t="s">
        <v>892</v>
      </c>
      <c r="C158" s="113" t="s">
        <v>893</v>
      </c>
      <c r="D158" s="114" t="s">
        <v>893</v>
      </c>
      <c r="E158" s="114" t="s">
        <v>893</v>
      </c>
      <c r="F158" s="114" t="s">
        <v>893</v>
      </c>
      <c r="G158" s="114" t="s">
        <v>893</v>
      </c>
      <c r="H158" s="114" t="s">
        <v>893</v>
      </c>
      <c r="I158" s="114" t="s">
        <v>893</v>
      </c>
      <c r="J158" s="114" t="s">
        <v>893</v>
      </c>
      <c r="K158" s="114">
        <v>4000000</v>
      </c>
      <c r="L158" s="114">
        <v>4210526.3157894742</v>
      </c>
      <c r="M158" s="114" t="s">
        <v>894</v>
      </c>
      <c r="N158" s="114" t="s">
        <v>894</v>
      </c>
      <c r="O158" s="94" t="s">
        <v>1042</v>
      </c>
      <c r="P158" s="94" t="s">
        <v>1211</v>
      </c>
      <c r="Q158" s="94" t="s">
        <v>896</v>
      </c>
      <c r="R158" s="94" t="s">
        <v>897</v>
      </c>
      <c r="S158" s="94" t="s">
        <v>679</v>
      </c>
      <c r="T158" s="94" t="s">
        <v>898</v>
      </c>
      <c r="U158" s="94" t="s">
        <v>899</v>
      </c>
      <c r="V158" s="94" t="s">
        <v>49</v>
      </c>
      <c r="W158" s="94" t="s">
        <v>1124</v>
      </c>
      <c r="X158" s="95" t="s">
        <v>171</v>
      </c>
      <c r="Y158" s="95" t="s">
        <v>171</v>
      </c>
      <c r="Z158" s="95" t="s">
        <v>1212</v>
      </c>
    </row>
    <row r="159" spans="1:26" s="105" customFormat="1" ht="144" x14ac:dyDescent="0.25">
      <c r="A159" s="112"/>
      <c r="B159" s="95" t="s">
        <v>892</v>
      </c>
      <c r="C159" s="113" t="s">
        <v>893</v>
      </c>
      <c r="D159" s="114" t="s">
        <v>893</v>
      </c>
      <c r="E159" s="114" t="s">
        <v>893</v>
      </c>
      <c r="F159" s="114" t="s">
        <v>893</v>
      </c>
      <c r="G159" s="114" t="s">
        <v>893</v>
      </c>
      <c r="H159" s="114" t="s">
        <v>893</v>
      </c>
      <c r="I159" s="114" t="s">
        <v>893</v>
      </c>
      <c r="J159" s="114" t="s">
        <v>893</v>
      </c>
      <c r="K159" s="114">
        <v>500000</v>
      </c>
      <c r="L159" s="114">
        <v>526315.78947368427</v>
      </c>
      <c r="M159" s="114" t="s">
        <v>894</v>
      </c>
      <c r="N159" s="114" t="s">
        <v>894</v>
      </c>
      <c r="O159" s="94" t="s">
        <v>246</v>
      </c>
      <c r="P159" s="94" t="s">
        <v>1213</v>
      </c>
      <c r="Q159" s="94" t="s">
        <v>896</v>
      </c>
      <c r="R159" s="94" t="s">
        <v>897</v>
      </c>
      <c r="S159" s="94" t="s">
        <v>41</v>
      </c>
      <c r="T159" s="94" t="s">
        <v>898</v>
      </c>
      <c r="U159" s="94" t="s">
        <v>899</v>
      </c>
      <c r="V159" s="94" t="s">
        <v>49</v>
      </c>
      <c r="W159" s="94" t="s">
        <v>1008</v>
      </c>
      <c r="X159" s="95" t="s">
        <v>171</v>
      </c>
      <c r="Y159" s="95" t="s">
        <v>171</v>
      </c>
      <c r="Z159" s="95" t="s">
        <v>1214</v>
      </c>
    </row>
    <row r="160" spans="1:26" s="105" customFormat="1" ht="84" x14ac:dyDescent="0.25">
      <c r="A160" s="112"/>
      <c r="B160" s="95" t="s">
        <v>892</v>
      </c>
      <c r="C160" s="113" t="s">
        <v>893</v>
      </c>
      <c r="D160" s="114" t="s">
        <v>893</v>
      </c>
      <c r="E160" s="114" t="s">
        <v>893</v>
      </c>
      <c r="F160" s="114" t="s">
        <v>893</v>
      </c>
      <c r="G160" s="114" t="s">
        <v>893</v>
      </c>
      <c r="H160" s="114" t="s">
        <v>893</v>
      </c>
      <c r="I160" s="114" t="s">
        <v>893</v>
      </c>
      <c r="J160" s="114" t="s">
        <v>893</v>
      </c>
      <c r="K160" s="114">
        <v>287852.61945885001</v>
      </c>
      <c r="L160" s="114">
        <v>303002.75732510531</v>
      </c>
      <c r="M160" s="114" t="s">
        <v>894</v>
      </c>
      <c r="N160" s="114" t="s">
        <v>894</v>
      </c>
      <c r="O160" s="94" t="s">
        <v>262</v>
      </c>
      <c r="P160" s="94" t="s">
        <v>1162</v>
      </c>
      <c r="Q160" s="94" t="s">
        <v>896</v>
      </c>
      <c r="R160" s="94" t="s">
        <v>897</v>
      </c>
      <c r="S160" s="94" t="s">
        <v>679</v>
      </c>
      <c r="T160" s="94" t="s">
        <v>898</v>
      </c>
      <c r="U160" s="94" t="s">
        <v>899</v>
      </c>
      <c r="V160" s="94" t="s">
        <v>49</v>
      </c>
      <c r="W160" s="94" t="s">
        <v>1008</v>
      </c>
      <c r="X160" s="95" t="s">
        <v>171</v>
      </c>
      <c r="Y160" s="95" t="s">
        <v>171</v>
      </c>
      <c r="Z160" s="95" t="s">
        <v>1163</v>
      </c>
    </row>
    <row r="161" spans="1:26" s="105" customFormat="1" ht="168" x14ac:dyDescent="0.25">
      <c r="A161" s="112"/>
      <c r="B161" s="95" t="s">
        <v>892</v>
      </c>
      <c r="C161" s="113" t="s">
        <v>893</v>
      </c>
      <c r="D161" s="114" t="s">
        <v>893</v>
      </c>
      <c r="E161" s="114" t="s">
        <v>893</v>
      </c>
      <c r="F161" s="114" t="s">
        <v>893</v>
      </c>
      <c r="G161" s="114" t="s">
        <v>893</v>
      </c>
      <c r="H161" s="114" t="s">
        <v>893</v>
      </c>
      <c r="I161" s="114" t="s">
        <v>893</v>
      </c>
      <c r="J161" s="114" t="s">
        <v>893</v>
      </c>
      <c r="K161" s="114">
        <v>50000</v>
      </c>
      <c r="L161" s="114">
        <v>52631.57894736842</v>
      </c>
      <c r="M161" s="114" t="s">
        <v>894</v>
      </c>
      <c r="N161" s="114" t="s">
        <v>894</v>
      </c>
      <c r="O161" s="94" t="s">
        <v>291</v>
      </c>
      <c r="P161" s="94" t="s">
        <v>1215</v>
      </c>
      <c r="Q161" s="94" t="s">
        <v>896</v>
      </c>
      <c r="R161" s="94" t="s">
        <v>897</v>
      </c>
      <c r="S161" s="94" t="s">
        <v>679</v>
      </c>
      <c r="T161" s="94" t="s">
        <v>898</v>
      </c>
      <c r="U161" s="94" t="s">
        <v>899</v>
      </c>
      <c r="V161" s="94" t="s">
        <v>49</v>
      </c>
      <c r="W161" s="94" t="s">
        <v>1008</v>
      </c>
      <c r="X161" s="95" t="s">
        <v>171</v>
      </c>
      <c r="Y161" s="95" t="s">
        <v>171</v>
      </c>
      <c r="Z161" s="95" t="s">
        <v>1216</v>
      </c>
    </row>
    <row r="162" spans="1:26" s="105" customFormat="1" ht="144" x14ac:dyDescent="0.25">
      <c r="A162" s="112"/>
      <c r="B162" s="95" t="s">
        <v>892</v>
      </c>
      <c r="C162" s="113" t="s">
        <v>893</v>
      </c>
      <c r="D162" s="114" t="s">
        <v>893</v>
      </c>
      <c r="E162" s="114" t="s">
        <v>893</v>
      </c>
      <c r="F162" s="114" t="s">
        <v>893</v>
      </c>
      <c r="G162" s="114" t="s">
        <v>893</v>
      </c>
      <c r="H162" s="114" t="s">
        <v>893</v>
      </c>
      <c r="I162" s="114" t="s">
        <v>893</v>
      </c>
      <c r="J162" s="114" t="s">
        <v>893</v>
      </c>
      <c r="K162" s="114">
        <v>5519.3447999999999</v>
      </c>
      <c r="L162" s="114">
        <v>5809.8366315789472</v>
      </c>
      <c r="M162" s="114" t="s">
        <v>894</v>
      </c>
      <c r="N162" s="114" t="s">
        <v>894</v>
      </c>
      <c r="O162" s="94" t="s">
        <v>262</v>
      </c>
      <c r="P162" s="94" t="s">
        <v>1217</v>
      </c>
      <c r="Q162" s="94" t="s">
        <v>896</v>
      </c>
      <c r="R162" s="94" t="s">
        <v>897</v>
      </c>
      <c r="S162" s="94" t="e">
        <v>#N/A</v>
      </c>
      <c r="T162" s="94" t="s">
        <v>996</v>
      </c>
      <c r="U162" s="94" t="s">
        <v>899</v>
      </c>
      <c r="V162" s="94" t="s">
        <v>49</v>
      </c>
      <c r="W162" s="94" t="s">
        <v>1008</v>
      </c>
      <c r="X162" s="95" t="s">
        <v>171</v>
      </c>
      <c r="Y162" s="95" t="s">
        <v>171</v>
      </c>
      <c r="Z162" s="95" t="s">
        <v>1218</v>
      </c>
    </row>
    <row r="163" spans="1:26" s="105" customFormat="1" ht="156" x14ac:dyDescent="0.25">
      <c r="A163" s="112"/>
      <c r="B163" s="95" t="s">
        <v>892</v>
      </c>
      <c r="C163" s="113" t="s">
        <v>893</v>
      </c>
      <c r="D163" s="114" t="s">
        <v>893</v>
      </c>
      <c r="E163" s="114" t="s">
        <v>893</v>
      </c>
      <c r="F163" s="114" t="s">
        <v>893</v>
      </c>
      <c r="G163" s="114" t="s">
        <v>893</v>
      </c>
      <c r="H163" s="114" t="s">
        <v>893</v>
      </c>
      <c r="I163" s="114" t="s">
        <v>893</v>
      </c>
      <c r="J163" s="114" t="s">
        <v>893</v>
      </c>
      <c r="K163" s="114">
        <v>892821.17700270005</v>
      </c>
      <c r="L163" s="114">
        <v>939811.76526600006</v>
      </c>
      <c r="M163" s="114" t="s">
        <v>894</v>
      </c>
      <c r="N163" s="114" t="s">
        <v>894</v>
      </c>
      <c r="O163" s="94" t="s">
        <v>917</v>
      </c>
      <c r="P163" s="94" t="s">
        <v>1219</v>
      </c>
      <c r="Q163" s="94" t="s">
        <v>896</v>
      </c>
      <c r="R163" s="94" t="s">
        <v>897</v>
      </c>
      <c r="S163" s="94" t="s">
        <v>41</v>
      </c>
      <c r="T163" s="94" t="s">
        <v>913</v>
      </c>
      <c r="U163" s="94" t="s">
        <v>945</v>
      </c>
      <c r="V163" s="94" t="s">
        <v>49</v>
      </c>
      <c r="W163" s="94" t="s">
        <v>1077</v>
      </c>
      <c r="X163" s="95" t="s">
        <v>171</v>
      </c>
      <c r="Y163" s="95" t="s">
        <v>171</v>
      </c>
      <c r="Z163" s="95" t="s">
        <v>1220</v>
      </c>
    </row>
    <row r="164" spans="1:26" s="105" customFormat="1" ht="120" x14ac:dyDescent="0.25">
      <c r="A164" s="112"/>
      <c r="B164" s="95" t="s">
        <v>892</v>
      </c>
      <c r="C164" s="113" t="s">
        <v>893</v>
      </c>
      <c r="D164" s="114" t="s">
        <v>893</v>
      </c>
      <c r="E164" s="114" t="s">
        <v>893</v>
      </c>
      <c r="F164" s="114" t="s">
        <v>893</v>
      </c>
      <c r="G164" s="114" t="s">
        <v>893</v>
      </c>
      <c r="H164" s="114" t="s">
        <v>893</v>
      </c>
      <c r="I164" s="114" t="s">
        <v>893</v>
      </c>
      <c r="J164" s="114" t="s">
        <v>893</v>
      </c>
      <c r="K164" s="114">
        <v>408775.54000000004</v>
      </c>
      <c r="L164" s="114">
        <v>430290.04210526322</v>
      </c>
      <c r="M164" s="114" t="s">
        <v>894</v>
      </c>
      <c r="N164" s="114" t="s">
        <v>894</v>
      </c>
      <c r="O164" s="94" t="s">
        <v>371</v>
      </c>
      <c r="P164" s="94" t="s">
        <v>1221</v>
      </c>
      <c r="Q164" s="94" t="s">
        <v>896</v>
      </c>
      <c r="R164" s="94" t="s">
        <v>897</v>
      </c>
      <c r="S164" s="94" t="s">
        <v>41</v>
      </c>
      <c r="T164" s="94" t="s">
        <v>898</v>
      </c>
      <c r="U164" s="94" t="s">
        <v>899</v>
      </c>
      <c r="V164" s="94" t="s">
        <v>49</v>
      </c>
      <c r="W164" s="94" t="s">
        <v>1222</v>
      </c>
      <c r="X164" s="95" t="s">
        <v>171</v>
      </c>
      <c r="Y164" s="95" t="s">
        <v>171</v>
      </c>
      <c r="Z164" s="95" t="s">
        <v>1223</v>
      </c>
    </row>
    <row r="165" spans="1:26" s="105" customFormat="1" ht="84" x14ac:dyDescent="0.25">
      <c r="A165" s="112"/>
      <c r="B165" s="95" t="s">
        <v>892</v>
      </c>
      <c r="C165" s="113" t="s">
        <v>893</v>
      </c>
      <c r="D165" s="114" t="s">
        <v>893</v>
      </c>
      <c r="E165" s="114" t="s">
        <v>893</v>
      </c>
      <c r="F165" s="114" t="s">
        <v>893</v>
      </c>
      <c r="G165" s="114" t="s">
        <v>893</v>
      </c>
      <c r="H165" s="114" t="s">
        <v>893</v>
      </c>
      <c r="I165" s="114" t="s">
        <v>893</v>
      </c>
      <c r="J165" s="114" t="s">
        <v>893</v>
      </c>
      <c r="K165" s="114">
        <v>18000.000000000004</v>
      </c>
      <c r="L165" s="114">
        <v>18947.368421052637</v>
      </c>
      <c r="M165" s="114" t="s">
        <v>894</v>
      </c>
      <c r="N165" s="114" t="s">
        <v>894</v>
      </c>
      <c r="O165" s="94" t="s">
        <v>344</v>
      </c>
      <c r="P165" s="94" t="s">
        <v>1224</v>
      </c>
      <c r="Q165" s="94" t="s">
        <v>896</v>
      </c>
      <c r="R165" s="94" t="s">
        <v>897</v>
      </c>
      <c r="S165" s="94" t="s">
        <v>679</v>
      </c>
      <c r="T165" s="94" t="s">
        <v>898</v>
      </c>
      <c r="U165" s="94" t="s">
        <v>899</v>
      </c>
      <c r="V165" s="94" t="s">
        <v>49</v>
      </c>
      <c r="W165" s="94" t="s">
        <v>1008</v>
      </c>
      <c r="X165" s="95" t="s">
        <v>171</v>
      </c>
      <c r="Y165" s="95" t="s">
        <v>171</v>
      </c>
      <c r="Z165" s="95" t="s">
        <v>1225</v>
      </c>
    </row>
    <row r="166" spans="1:26" s="105" customFormat="1" ht="180" x14ac:dyDescent="0.25">
      <c r="A166" s="112"/>
      <c r="B166" s="95" t="s">
        <v>892</v>
      </c>
      <c r="C166" s="113" t="s">
        <v>893</v>
      </c>
      <c r="D166" s="114" t="s">
        <v>893</v>
      </c>
      <c r="E166" s="114" t="s">
        <v>893</v>
      </c>
      <c r="F166" s="114" t="s">
        <v>893</v>
      </c>
      <c r="G166" s="114" t="s">
        <v>893</v>
      </c>
      <c r="H166" s="114" t="s">
        <v>893</v>
      </c>
      <c r="I166" s="114" t="s">
        <v>893</v>
      </c>
      <c r="J166" s="114" t="s">
        <v>893</v>
      </c>
      <c r="K166" s="114">
        <v>200000</v>
      </c>
      <c r="L166" s="114">
        <v>210526.31578947368</v>
      </c>
      <c r="M166" s="114" t="s">
        <v>894</v>
      </c>
      <c r="N166" s="114" t="s">
        <v>894</v>
      </c>
      <c r="O166" s="94" t="s">
        <v>438</v>
      </c>
      <c r="P166" s="94" t="s">
        <v>1202</v>
      </c>
      <c r="Q166" s="94" t="s">
        <v>896</v>
      </c>
      <c r="R166" s="94" t="s">
        <v>897</v>
      </c>
      <c r="S166" s="94" t="s">
        <v>41</v>
      </c>
      <c r="T166" s="94" t="s">
        <v>898</v>
      </c>
      <c r="U166" s="94" t="s">
        <v>899</v>
      </c>
      <c r="V166" s="94" t="s">
        <v>49</v>
      </c>
      <c r="W166" s="94" t="s">
        <v>1008</v>
      </c>
      <c r="X166" s="95" t="s">
        <v>171</v>
      </c>
      <c r="Y166" s="95" t="s">
        <v>171</v>
      </c>
      <c r="Z166" s="95" t="s">
        <v>1203</v>
      </c>
    </row>
    <row r="167" spans="1:26" s="105" customFormat="1" ht="180" x14ac:dyDescent="0.25">
      <c r="A167" s="112"/>
      <c r="B167" s="95" t="s">
        <v>892</v>
      </c>
      <c r="C167" s="113" t="s">
        <v>893</v>
      </c>
      <c r="D167" s="114" t="s">
        <v>893</v>
      </c>
      <c r="E167" s="114" t="s">
        <v>893</v>
      </c>
      <c r="F167" s="114" t="s">
        <v>893</v>
      </c>
      <c r="G167" s="114" t="s">
        <v>893</v>
      </c>
      <c r="H167" s="114" t="s">
        <v>893</v>
      </c>
      <c r="I167" s="114" t="s">
        <v>893</v>
      </c>
      <c r="J167" s="114" t="s">
        <v>893</v>
      </c>
      <c r="K167" s="114">
        <v>100000</v>
      </c>
      <c r="L167" s="114">
        <v>105263.15789473684</v>
      </c>
      <c r="M167" s="114" t="s">
        <v>894</v>
      </c>
      <c r="N167" s="114" t="s">
        <v>894</v>
      </c>
      <c r="O167" s="94" t="s">
        <v>551</v>
      </c>
      <c r="P167" s="94" t="s">
        <v>1202</v>
      </c>
      <c r="Q167" s="94" t="s">
        <v>896</v>
      </c>
      <c r="R167" s="94" t="s">
        <v>897</v>
      </c>
      <c r="S167" s="94" t="s">
        <v>41</v>
      </c>
      <c r="T167" s="94" t="s">
        <v>898</v>
      </c>
      <c r="U167" s="94" t="s">
        <v>899</v>
      </c>
      <c r="V167" s="94" t="s">
        <v>49</v>
      </c>
      <c r="W167" s="94" t="s">
        <v>1008</v>
      </c>
      <c r="X167" s="95" t="s">
        <v>171</v>
      </c>
      <c r="Y167" s="95" t="s">
        <v>171</v>
      </c>
      <c r="Z167" s="95" t="s">
        <v>1203</v>
      </c>
    </row>
    <row r="168" spans="1:26" s="105" customFormat="1" ht="168" x14ac:dyDescent="0.25">
      <c r="A168" s="112"/>
      <c r="B168" s="95" t="s">
        <v>892</v>
      </c>
      <c r="C168" s="113" t="s">
        <v>893</v>
      </c>
      <c r="D168" s="114" t="s">
        <v>893</v>
      </c>
      <c r="E168" s="114" t="s">
        <v>893</v>
      </c>
      <c r="F168" s="114" t="s">
        <v>893</v>
      </c>
      <c r="G168" s="114" t="s">
        <v>893</v>
      </c>
      <c r="H168" s="114" t="s">
        <v>893</v>
      </c>
      <c r="I168" s="114" t="s">
        <v>893</v>
      </c>
      <c r="J168" s="114" t="s">
        <v>893</v>
      </c>
      <c r="K168" s="114">
        <v>240000</v>
      </c>
      <c r="L168" s="114">
        <v>252631.57894736843</v>
      </c>
      <c r="M168" s="114" t="s">
        <v>894</v>
      </c>
      <c r="N168" s="114" t="s">
        <v>894</v>
      </c>
      <c r="O168" s="94" t="s">
        <v>291</v>
      </c>
      <c r="P168" s="94" t="s">
        <v>1215</v>
      </c>
      <c r="Q168" s="94" t="s">
        <v>896</v>
      </c>
      <c r="R168" s="94" t="s">
        <v>897</v>
      </c>
      <c r="S168" s="94" t="s">
        <v>679</v>
      </c>
      <c r="T168" s="94" t="s">
        <v>898</v>
      </c>
      <c r="U168" s="94" t="s">
        <v>899</v>
      </c>
      <c r="V168" s="94" t="s">
        <v>49</v>
      </c>
      <c r="W168" s="94" t="s">
        <v>1008</v>
      </c>
      <c r="X168" s="95" t="s">
        <v>171</v>
      </c>
      <c r="Y168" s="95" t="s">
        <v>171</v>
      </c>
      <c r="Z168" s="95" t="s">
        <v>1216</v>
      </c>
    </row>
    <row r="169" spans="1:26" s="105" customFormat="1" ht="180" x14ac:dyDescent="0.25">
      <c r="A169" s="112"/>
      <c r="B169" s="95" t="s">
        <v>892</v>
      </c>
      <c r="C169" s="113" t="s">
        <v>893</v>
      </c>
      <c r="D169" s="114" t="s">
        <v>893</v>
      </c>
      <c r="E169" s="114" t="s">
        <v>893</v>
      </c>
      <c r="F169" s="114" t="s">
        <v>893</v>
      </c>
      <c r="G169" s="114" t="s">
        <v>893</v>
      </c>
      <c r="H169" s="114" t="s">
        <v>893</v>
      </c>
      <c r="I169" s="114" t="s">
        <v>893</v>
      </c>
      <c r="J169" s="114" t="s">
        <v>893</v>
      </c>
      <c r="K169" s="114">
        <v>600979.91800000006</v>
      </c>
      <c r="L169" s="114">
        <v>632610.44000000006</v>
      </c>
      <c r="M169" s="114" t="s">
        <v>894</v>
      </c>
      <c r="N169" s="114" t="s">
        <v>894</v>
      </c>
      <c r="O169" s="94" t="s">
        <v>265</v>
      </c>
      <c r="P169" s="94" t="s">
        <v>1226</v>
      </c>
      <c r="Q169" s="94" t="s">
        <v>896</v>
      </c>
      <c r="R169" s="94" t="s">
        <v>897</v>
      </c>
      <c r="S169" s="94" t="s">
        <v>41</v>
      </c>
      <c r="T169" s="94" t="s">
        <v>898</v>
      </c>
      <c r="U169" s="94" t="s">
        <v>945</v>
      </c>
      <c r="V169" s="94" t="s">
        <v>44</v>
      </c>
      <c r="W169" s="94" t="s">
        <v>938</v>
      </c>
      <c r="X169" s="95" t="s">
        <v>171</v>
      </c>
      <c r="Y169" s="95" t="s">
        <v>171</v>
      </c>
      <c r="Z169" s="95" t="s">
        <v>1227</v>
      </c>
    </row>
    <row r="170" spans="1:26" s="105" customFormat="1" ht="72" x14ac:dyDescent="0.25">
      <c r="A170" s="112"/>
      <c r="B170" s="95" t="s">
        <v>892</v>
      </c>
      <c r="C170" s="113" t="s">
        <v>893</v>
      </c>
      <c r="D170" s="114" t="s">
        <v>893</v>
      </c>
      <c r="E170" s="114" t="s">
        <v>893</v>
      </c>
      <c r="F170" s="114" t="s">
        <v>893</v>
      </c>
      <c r="G170" s="114" t="s">
        <v>893</v>
      </c>
      <c r="H170" s="114" t="s">
        <v>893</v>
      </c>
      <c r="I170" s="114" t="s">
        <v>893</v>
      </c>
      <c r="J170" s="114" t="s">
        <v>893</v>
      </c>
      <c r="K170" s="114">
        <v>60000</v>
      </c>
      <c r="L170" s="114">
        <v>63157.894736842107</v>
      </c>
      <c r="M170" s="114" t="s">
        <v>894</v>
      </c>
      <c r="N170" s="114" t="s">
        <v>894</v>
      </c>
      <c r="O170" s="94" t="s">
        <v>262</v>
      </c>
      <c r="P170" s="94" t="s">
        <v>1228</v>
      </c>
      <c r="Q170" s="94" t="s">
        <v>896</v>
      </c>
      <c r="R170" s="94" t="s">
        <v>897</v>
      </c>
      <c r="S170" s="94" t="s">
        <v>679</v>
      </c>
      <c r="T170" s="94" t="s">
        <v>898</v>
      </c>
      <c r="U170" s="94" t="s">
        <v>899</v>
      </c>
      <c r="V170" s="94" t="s">
        <v>49</v>
      </c>
      <c r="W170" s="94" t="s">
        <v>1124</v>
      </c>
      <c r="X170" s="95" t="s">
        <v>171</v>
      </c>
      <c r="Y170" s="95" t="s">
        <v>171</v>
      </c>
      <c r="Z170" s="95" t="s">
        <v>1229</v>
      </c>
    </row>
    <row r="171" spans="1:26" s="105" customFormat="1" ht="132" x14ac:dyDescent="0.25">
      <c r="A171" s="112"/>
      <c r="B171" s="95" t="s">
        <v>892</v>
      </c>
      <c r="C171" s="113" t="s">
        <v>893</v>
      </c>
      <c r="D171" s="114" t="s">
        <v>893</v>
      </c>
      <c r="E171" s="114" t="s">
        <v>893</v>
      </c>
      <c r="F171" s="114" t="s">
        <v>893</v>
      </c>
      <c r="G171" s="114" t="s">
        <v>893</v>
      </c>
      <c r="H171" s="114" t="s">
        <v>893</v>
      </c>
      <c r="I171" s="114" t="s">
        <v>893</v>
      </c>
      <c r="J171" s="114" t="s">
        <v>893</v>
      </c>
      <c r="K171" s="114">
        <v>400000</v>
      </c>
      <c r="L171" s="114">
        <v>421052.63157894736</v>
      </c>
      <c r="M171" s="114" t="s">
        <v>894</v>
      </c>
      <c r="N171" s="114" t="s">
        <v>894</v>
      </c>
      <c r="O171" s="94" t="s">
        <v>246</v>
      </c>
      <c r="P171" s="94" t="s">
        <v>1230</v>
      </c>
      <c r="Q171" s="94" t="s">
        <v>896</v>
      </c>
      <c r="R171" s="94" t="s">
        <v>897</v>
      </c>
      <c r="S171" s="94" t="s">
        <v>41</v>
      </c>
      <c r="T171" s="94" t="s">
        <v>898</v>
      </c>
      <c r="U171" s="94" t="s">
        <v>899</v>
      </c>
      <c r="V171" s="94" t="s">
        <v>49</v>
      </c>
      <c r="W171" s="94" t="s">
        <v>1008</v>
      </c>
      <c r="X171" s="95" t="s">
        <v>171</v>
      </c>
      <c r="Y171" s="95" t="s">
        <v>171</v>
      </c>
      <c r="Z171" s="95" t="s">
        <v>1231</v>
      </c>
    </row>
    <row r="172" spans="1:26" s="105" customFormat="1" ht="144" x14ac:dyDescent="0.25">
      <c r="A172" s="112"/>
      <c r="B172" s="95" t="s">
        <v>892</v>
      </c>
      <c r="C172" s="113" t="s">
        <v>893</v>
      </c>
      <c r="D172" s="114" t="s">
        <v>893</v>
      </c>
      <c r="E172" s="114" t="s">
        <v>893</v>
      </c>
      <c r="F172" s="114" t="s">
        <v>893</v>
      </c>
      <c r="G172" s="114" t="s">
        <v>893</v>
      </c>
      <c r="H172" s="114" t="s">
        <v>893</v>
      </c>
      <c r="I172" s="114" t="s">
        <v>893</v>
      </c>
      <c r="J172" s="114" t="s">
        <v>893</v>
      </c>
      <c r="K172" s="114">
        <v>800000</v>
      </c>
      <c r="L172" s="114">
        <v>842105.26315789472</v>
      </c>
      <c r="M172" s="114" t="s">
        <v>894</v>
      </c>
      <c r="N172" s="114" t="s">
        <v>894</v>
      </c>
      <c r="O172" s="94" t="s">
        <v>973</v>
      </c>
      <c r="P172" s="94" t="s">
        <v>1232</v>
      </c>
      <c r="Q172" s="94" t="s">
        <v>896</v>
      </c>
      <c r="R172" s="94" t="s">
        <v>897</v>
      </c>
      <c r="S172" s="94" t="s">
        <v>679</v>
      </c>
      <c r="T172" s="94" t="s">
        <v>898</v>
      </c>
      <c r="U172" s="94" t="s">
        <v>923</v>
      </c>
      <c r="V172" s="94" t="s">
        <v>49</v>
      </c>
      <c r="W172" s="94" t="s">
        <v>1008</v>
      </c>
      <c r="X172" s="95" t="s">
        <v>171</v>
      </c>
      <c r="Y172" s="95" t="s">
        <v>171</v>
      </c>
      <c r="Z172" s="95" t="s">
        <v>1233</v>
      </c>
    </row>
    <row r="173" spans="1:26" s="105" customFormat="1" ht="144" x14ac:dyDescent="0.25">
      <c r="A173" s="112"/>
      <c r="B173" s="95" t="s">
        <v>892</v>
      </c>
      <c r="C173" s="113" t="s">
        <v>893</v>
      </c>
      <c r="D173" s="114" t="s">
        <v>893</v>
      </c>
      <c r="E173" s="114" t="s">
        <v>893</v>
      </c>
      <c r="F173" s="114" t="s">
        <v>893</v>
      </c>
      <c r="G173" s="114" t="s">
        <v>893</v>
      </c>
      <c r="H173" s="114" t="s">
        <v>893</v>
      </c>
      <c r="I173" s="114" t="s">
        <v>893</v>
      </c>
      <c r="J173" s="114" t="s">
        <v>893</v>
      </c>
      <c r="K173" s="114">
        <v>122200.95280000001</v>
      </c>
      <c r="L173" s="114">
        <v>128632.58189473687</v>
      </c>
      <c r="M173" s="114" t="s">
        <v>894</v>
      </c>
      <c r="N173" s="114" t="s">
        <v>894</v>
      </c>
      <c r="O173" s="94" t="s">
        <v>973</v>
      </c>
      <c r="P173" s="94" t="s">
        <v>1232</v>
      </c>
      <c r="Q173" s="94" t="s">
        <v>896</v>
      </c>
      <c r="R173" s="94" t="s">
        <v>897</v>
      </c>
      <c r="S173" s="94" t="s">
        <v>679</v>
      </c>
      <c r="T173" s="94" t="s">
        <v>898</v>
      </c>
      <c r="U173" s="94" t="s">
        <v>923</v>
      </c>
      <c r="V173" s="94" t="s">
        <v>49</v>
      </c>
      <c r="W173" s="94" t="s">
        <v>1008</v>
      </c>
      <c r="X173" s="95" t="s">
        <v>171</v>
      </c>
      <c r="Y173" s="95" t="s">
        <v>171</v>
      </c>
      <c r="Z173" s="95" t="s">
        <v>1233</v>
      </c>
    </row>
    <row r="174" spans="1:26" s="105" customFormat="1" ht="84" x14ac:dyDescent="0.25">
      <c r="A174" s="112"/>
      <c r="B174" s="95" t="s">
        <v>892</v>
      </c>
      <c r="C174" s="113" t="s">
        <v>893</v>
      </c>
      <c r="D174" s="114" t="s">
        <v>893</v>
      </c>
      <c r="E174" s="114" t="s">
        <v>893</v>
      </c>
      <c r="F174" s="114" t="s">
        <v>893</v>
      </c>
      <c r="G174" s="114" t="s">
        <v>893</v>
      </c>
      <c r="H174" s="114" t="s">
        <v>893</v>
      </c>
      <c r="I174" s="114" t="s">
        <v>893</v>
      </c>
      <c r="J174" s="114" t="s">
        <v>893</v>
      </c>
      <c r="K174" s="114">
        <v>326529.67363225005</v>
      </c>
      <c r="L174" s="114">
        <v>343715.44592868426</v>
      </c>
      <c r="M174" s="114" t="s">
        <v>894</v>
      </c>
      <c r="N174" s="114" t="s">
        <v>894</v>
      </c>
      <c r="O174" s="94" t="s">
        <v>81</v>
      </c>
      <c r="P174" s="94" t="s">
        <v>1234</v>
      </c>
      <c r="Q174" s="94" t="s">
        <v>896</v>
      </c>
      <c r="R174" s="94" t="s">
        <v>897</v>
      </c>
      <c r="S174" s="94" t="s">
        <v>41</v>
      </c>
      <c r="T174" s="94" t="s">
        <v>913</v>
      </c>
      <c r="U174" s="94" t="s">
        <v>899</v>
      </c>
      <c r="V174" s="94" t="s">
        <v>49</v>
      </c>
      <c r="W174" s="94" t="s">
        <v>1008</v>
      </c>
      <c r="X174" s="95" t="s">
        <v>171</v>
      </c>
      <c r="Y174" s="95" t="s">
        <v>171</v>
      </c>
      <c r="Z174" s="95" t="s">
        <v>1235</v>
      </c>
    </row>
    <row r="175" spans="1:26" s="105" customFormat="1" ht="84" x14ac:dyDescent="0.25">
      <c r="A175" s="112"/>
      <c r="B175" s="95" t="s">
        <v>892</v>
      </c>
      <c r="C175" s="113" t="s">
        <v>893</v>
      </c>
      <c r="D175" s="114" t="s">
        <v>893</v>
      </c>
      <c r="E175" s="114" t="s">
        <v>893</v>
      </c>
      <c r="F175" s="114" t="s">
        <v>893</v>
      </c>
      <c r="G175" s="114" t="s">
        <v>893</v>
      </c>
      <c r="H175" s="114" t="s">
        <v>893</v>
      </c>
      <c r="I175" s="114" t="s">
        <v>893</v>
      </c>
      <c r="J175" s="114" t="s">
        <v>893</v>
      </c>
      <c r="K175" s="114">
        <v>3583843.21261176</v>
      </c>
      <c r="L175" s="114">
        <v>3772466.5395913264</v>
      </c>
      <c r="M175" s="114" t="s">
        <v>894</v>
      </c>
      <c r="N175" s="114" t="s">
        <v>894</v>
      </c>
      <c r="O175" s="94" t="s">
        <v>1042</v>
      </c>
      <c r="P175" s="94" t="s">
        <v>1236</v>
      </c>
      <c r="Q175" s="94" t="s">
        <v>896</v>
      </c>
      <c r="R175" s="94" t="s">
        <v>897</v>
      </c>
      <c r="S175" s="94" t="s">
        <v>41</v>
      </c>
      <c r="T175" s="94" t="s">
        <v>913</v>
      </c>
      <c r="U175" s="94" t="s">
        <v>899</v>
      </c>
      <c r="V175" s="94" t="s">
        <v>49</v>
      </c>
      <c r="W175" s="94" t="s">
        <v>1237</v>
      </c>
      <c r="X175" s="95" t="s">
        <v>171</v>
      </c>
      <c r="Y175" s="95" t="s">
        <v>171</v>
      </c>
      <c r="Z175" s="95" t="s">
        <v>1238</v>
      </c>
    </row>
    <row r="176" spans="1:26" s="105" customFormat="1" ht="204" x14ac:dyDescent="0.25">
      <c r="A176" s="112"/>
      <c r="B176" s="95" t="s">
        <v>892</v>
      </c>
      <c r="C176" s="113" t="s">
        <v>893</v>
      </c>
      <c r="D176" s="114" t="s">
        <v>893</v>
      </c>
      <c r="E176" s="114" t="s">
        <v>893</v>
      </c>
      <c r="F176" s="114" t="s">
        <v>893</v>
      </c>
      <c r="G176" s="114" t="s">
        <v>893</v>
      </c>
      <c r="H176" s="114" t="s">
        <v>893</v>
      </c>
      <c r="I176" s="114" t="s">
        <v>893</v>
      </c>
      <c r="J176" s="114" t="s">
        <v>893</v>
      </c>
      <c r="K176" s="114">
        <v>5400000</v>
      </c>
      <c r="L176" s="114">
        <v>5684210.5263157897</v>
      </c>
      <c r="M176" s="114" t="s">
        <v>894</v>
      </c>
      <c r="N176" s="114" t="s">
        <v>894</v>
      </c>
      <c r="O176" s="94" t="s">
        <v>917</v>
      </c>
      <c r="P176" s="94" t="s">
        <v>1239</v>
      </c>
      <c r="Q176" s="94" t="s">
        <v>896</v>
      </c>
      <c r="R176" s="94" t="s">
        <v>897</v>
      </c>
      <c r="S176" s="94" t="e">
        <v>#N/A</v>
      </c>
      <c r="T176" s="94" t="s">
        <v>913</v>
      </c>
      <c r="U176" s="94" t="s">
        <v>945</v>
      </c>
      <c r="V176" s="94" t="s">
        <v>49</v>
      </c>
      <c r="W176" s="94" t="s">
        <v>1008</v>
      </c>
      <c r="X176" s="95" t="s">
        <v>171</v>
      </c>
      <c r="Y176" s="95" t="s">
        <v>171</v>
      </c>
      <c r="Z176" s="95" t="s">
        <v>1240</v>
      </c>
    </row>
    <row r="177" spans="1:26" s="105" customFormat="1" ht="204" x14ac:dyDescent="0.25">
      <c r="A177" s="112"/>
      <c r="B177" s="95" t="s">
        <v>892</v>
      </c>
      <c r="C177" s="113" t="s">
        <v>893</v>
      </c>
      <c r="D177" s="114" t="s">
        <v>893</v>
      </c>
      <c r="E177" s="114" t="s">
        <v>893</v>
      </c>
      <c r="F177" s="114" t="s">
        <v>893</v>
      </c>
      <c r="G177" s="114" t="s">
        <v>893</v>
      </c>
      <c r="H177" s="114" t="s">
        <v>893</v>
      </c>
      <c r="I177" s="114" t="s">
        <v>893</v>
      </c>
      <c r="J177" s="114" t="s">
        <v>893</v>
      </c>
      <c r="K177" s="114">
        <v>5400000</v>
      </c>
      <c r="L177" s="114">
        <v>5684210.5263157897</v>
      </c>
      <c r="M177" s="114" t="s">
        <v>894</v>
      </c>
      <c r="N177" s="114" t="s">
        <v>894</v>
      </c>
      <c r="O177" s="94" t="s">
        <v>917</v>
      </c>
      <c r="P177" s="94" t="s">
        <v>1239</v>
      </c>
      <c r="Q177" s="94" t="s">
        <v>896</v>
      </c>
      <c r="R177" s="94" t="s">
        <v>897</v>
      </c>
      <c r="S177" s="94" t="e">
        <v>#N/A</v>
      </c>
      <c r="T177" s="94" t="s">
        <v>913</v>
      </c>
      <c r="U177" s="94" t="s">
        <v>945</v>
      </c>
      <c r="V177" s="94" t="s">
        <v>49</v>
      </c>
      <c r="W177" s="94" t="s">
        <v>1008</v>
      </c>
      <c r="X177" s="95" t="s">
        <v>171</v>
      </c>
      <c r="Y177" s="95" t="s">
        <v>171</v>
      </c>
      <c r="Z177" s="95" t="s">
        <v>1240</v>
      </c>
    </row>
    <row r="178" spans="1:26" s="105" customFormat="1" ht="204" x14ac:dyDescent="0.25">
      <c r="A178" s="112"/>
      <c r="B178" s="95" t="s">
        <v>892</v>
      </c>
      <c r="C178" s="113" t="s">
        <v>893</v>
      </c>
      <c r="D178" s="114" t="s">
        <v>893</v>
      </c>
      <c r="E178" s="114" t="s">
        <v>893</v>
      </c>
      <c r="F178" s="114" t="s">
        <v>893</v>
      </c>
      <c r="G178" s="114" t="s">
        <v>893</v>
      </c>
      <c r="H178" s="114" t="s">
        <v>893</v>
      </c>
      <c r="I178" s="114" t="s">
        <v>893</v>
      </c>
      <c r="J178" s="114" t="s">
        <v>893</v>
      </c>
      <c r="K178" s="114">
        <v>5400000</v>
      </c>
      <c r="L178" s="114">
        <v>5684210.5263157897</v>
      </c>
      <c r="M178" s="114" t="s">
        <v>894</v>
      </c>
      <c r="N178" s="114" t="s">
        <v>894</v>
      </c>
      <c r="O178" s="94" t="s">
        <v>917</v>
      </c>
      <c r="P178" s="94" t="s">
        <v>1239</v>
      </c>
      <c r="Q178" s="94" t="s">
        <v>896</v>
      </c>
      <c r="R178" s="94" t="s">
        <v>897</v>
      </c>
      <c r="S178" s="94" t="e">
        <v>#N/A</v>
      </c>
      <c r="T178" s="94" t="s">
        <v>913</v>
      </c>
      <c r="U178" s="94" t="s">
        <v>945</v>
      </c>
      <c r="V178" s="94" t="s">
        <v>49</v>
      </c>
      <c r="W178" s="94" t="s">
        <v>1008</v>
      </c>
      <c r="X178" s="95" t="s">
        <v>171</v>
      </c>
      <c r="Y178" s="95" t="s">
        <v>171</v>
      </c>
      <c r="Z178" s="95" t="s">
        <v>1240</v>
      </c>
    </row>
    <row r="179" spans="1:26" s="105" customFormat="1" ht="168" x14ac:dyDescent="0.25">
      <c r="A179" s="112"/>
      <c r="B179" s="95" t="s">
        <v>892</v>
      </c>
      <c r="C179" s="113" t="s">
        <v>893</v>
      </c>
      <c r="D179" s="114" t="s">
        <v>893</v>
      </c>
      <c r="E179" s="114" t="s">
        <v>893</v>
      </c>
      <c r="F179" s="114" t="s">
        <v>893</v>
      </c>
      <c r="G179" s="114" t="s">
        <v>893</v>
      </c>
      <c r="H179" s="114" t="s">
        <v>893</v>
      </c>
      <c r="I179" s="114" t="s">
        <v>893</v>
      </c>
      <c r="J179" s="114" t="s">
        <v>893</v>
      </c>
      <c r="K179" s="114">
        <v>400000</v>
      </c>
      <c r="L179" s="114">
        <v>421052.63157894736</v>
      </c>
      <c r="M179" s="114" t="s">
        <v>894</v>
      </c>
      <c r="N179" s="114" t="s">
        <v>894</v>
      </c>
      <c r="O179" s="94" t="s">
        <v>388</v>
      </c>
      <c r="P179" s="94" t="s">
        <v>1241</v>
      </c>
      <c r="Q179" s="94" t="s">
        <v>896</v>
      </c>
      <c r="R179" s="94" t="s">
        <v>897</v>
      </c>
      <c r="S179" s="94" t="s">
        <v>679</v>
      </c>
      <c r="T179" s="94" t="s">
        <v>898</v>
      </c>
      <c r="U179" s="94" t="s">
        <v>899</v>
      </c>
      <c r="V179" s="94" t="s">
        <v>50</v>
      </c>
      <c r="W179" s="94" t="s">
        <v>1121</v>
      </c>
      <c r="X179" s="95" t="s">
        <v>171</v>
      </c>
      <c r="Y179" s="95" t="s">
        <v>171</v>
      </c>
      <c r="Z179" s="95" t="s">
        <v>1242</v>
      </c>
    </row>
    <row r="180" spans="1:26" s="105" customFormat="1" ht="96" x14ac:dyDescent="0.25">
      <c r="A180" s="112"/>
      <c r="B180" s="95" t="s">
        <v>892</v>
      </c>
      <c r="C180" s="113" t="s">
        <v>893</v>
      </c>
      <c r="D180" s="114" t="s">
        <v>893</v>
      </c>
      <c r="E180" s="114" t="s">
        <v>893</v>
      </c>
      <c r="F180" s="114" t="s">
        <v>893</v>
      </c>
      <c r="G180" s="114" t="s">
        <v>893</v>
      </c>
      <c r="H180" s="114" t="s">
        <v>893</v>
      </c>
      <c r="I180" s="114" t="s">
        <v>893</v>
      </c>
      <c r="J180" s="114" t="s">
        <v>893</v>
      </c>
      <c r="K180" s="114">
        <v>110000</v>
      </c>
      <c r="L180" s="114">
        <v>115789.47368421053</v>
      </c>
      <c r="M180" s="114" t="s">
        <v>894</v>
      </c>
      <c r="N180" s="114" t="s">
        <v>894</v>
      </c>
      <c r="O180" s="94" t="s">
        <v>1079</v>
      </c>
      <c r="P180" s="94" t="s">
        <v>1184</v>
      </c>
      <c r="Q180" s="94" t="s">
        <v>896</v>
      </c>
      <c r="R180" s="94" t="s">
        <v>897</v>
      </c>
      <c r="S180" s="94" t="s">
        <v>679</v>
      </c>
      <c r="T180" s="94" t="s">
        <v>898</v>
      </c>
      <c r="U180" s="94" t="s">
        <v>899</v>
      </c>
      <c r="V180" s="94" t="s">
        <v>49</v>
      </c>
      <c r="W180" s="94" t="s">
        <v>1008</v>
      </c>
      <c r="X180" s="95" t="s">
        <v>171</v>
      </c>
      <c r="Y180" s="95" t="s">
        <v>171</v>
      </c>
      <c r="Z180" s="95" t="s">
        <v>1185</v>
      </c>
    </row>
    <row r="181" spans="1:26" s="105" customFormat="1" ht="84" x14ac:dyDescent="0.25">
      <c r="A181" s="112"/>
      <c r="B181" s="95" t="s">
        <v>892</v>
      </c>
      <c r="C181" s="113" t="s">
        <v>893</v>
      </c>
      <c r="D181" s="114" t="s">
        <v>893</v>
      </c>
      <c r="E181" s="114" t="s">
        <v>893</v>
      </c>
      <c r="F181" s="114" t="s">
        <v>893</v>
      </c>
      <c r="G181" s="114" t="s">
        <v>893</v>
      </c>
      <c r="H181" s="114" t="s">
        <v>893</v>
      </c>
      <c r="I181" s="114" t="s">
        <v>893</v>
      </c>
      <c r="J181" s="114" t="s">
        <v>893</v>
      </c>
      <c r="K181" s="114">
        <v>300000</v>
      </c>
      <c r="L181" s="114">
        <v>315789.47368421056</v>
      </c>
      <c r="M181" s="114" t="s">
        <v>894</v>
      </c>
      <c r="N181" s="114" t="s">
        <v>894</v>
      </c>
      <c r="O181" s="94" t="s">
        <v>262</v>
      </c>
      <c r="P181" s="94" t="s">
        <v>1162</v>
      </c>
      <c r="Q181" s="94" t="s">
        <v>896</v>
      </c>
      <c r="R181" s="94" t="s">
        <v>897</v>
      </c>
      <c r="S181" s="94" t="s">
        <v>679</v>
      </c>
      <c r="T181" s="94" t="s">
        <v>898</v>
      </c>
      <c r="U181" s="94" t="s">
        <v>899</v>
      </c>
      <c r="V181" s="94" t="s">
        <v>49</v>
      </c>
      <c r="W181" s="94" t="s">
        <v>1008</v>
      </c>
      <c r="X181" s="95" t="s">
        <v>171</v>
      </c>
      <c r="Y181" s="95" t="s">
        <v>171</v>
      </c>
      <c r="Z181" s="95" t="s">
        <v>1163</v>
      </c>
    </row>
    <row r="182" spans="1:26" s="105" customFormat="1" ht="60" x14ac:dyDescent="0.25">
      <c r="A182" s="112"/>
      <c r="B182" s="95" t="s">
        <v>892</v>
      </c>
      <c r="C182" s="113" t="s">
        <v>893</v>
      </c>
      <c r="D182" s="114" t="s">
        <v>893</v>
      </c>
      <c r="E182" s="114" t="s">
        <v>893</v>
      </c>
      <c r="F182" s="114" t="s">
        <v>893</v>
      </c>
      <c r="G182" s="114" t="s">
        <v>893</v>
      </c>
      <c r="H182" s="114" t="s">
        <v>893</v>
      </c>
      <c r="I182" s="114" t="s">
        <v>893</v>
      </c>
      <c r="J182" s="114" t="s">
        <v>893</v>
      </c>
      <c r="K182" s="114">
        <v>240000</v>
      </c>
      <c r="L182" s="114">
        <v>252631.57894736843</v>
      </c>
      <c r="M182" s="114" t="s">
        <v>894</v>
      </c>
      <c r="N182" s="114" t="s">
        <v>894</v>
      </c>
      <c r="O182" s="94" t="s">
        <v>61</v>
      </c>
      <c r="P182" s="94" t="s">
        <v>1178</v>
      </c>
      <c r="Q182" s="94" t="s">
        <v>896</v>
      </c>
      <c r="R182" s="94" t="s">
        <v>897</v>
      </c>
      <c r="S182" s="94" t="s">
        <v>41</v>
      </c>
      <c r="T182" s="94" t="s">
        <v>898</v>
      </c>
      <c r="U182" s="94" t="s">
        <v>899</v>
      </c>
      <c r="V182" s="94" t="s">
        <v>49</v>
      </c>
      <c r="W182" s="94" t="s">
        <v>1008</v>
      </c>
      <c r="X182" s="95" t="s">
        <v>171</v>
      </c>
      <c r="Y182" s="95" t="s">
        <v>171</v>
      </c>
      <c r="Z182" s="95" t="s">
        <v>1179</v>
      </c>
    </row>
    <row r="183" spans="1:26" s="105" customFormat="1" ht="96" x14ac:dyDescent="0.25">
      <c r="A183" s="112"/>
      <c r="B183" s="95" t="s">
        <v>892</v>
      </c>
      <c r="C183" s="113" t="s">
        <v>893</v>
      </c>
      <c r="D183" s="114" t="s">
        <v>893</v>
      </c>
      <c r="E183" s="114" t="s">
        <v>893</v>
      </c>
      <c r="F183" s="114" t="s">
        <v>893</v>
      </c>
      <c r="G183" s="114" t="s">
        <v>893</v>
      </c>
      <c r="H183" s="114" t="s">
        <v>893</v>
      </c>
      <c r="I183" s="114" t="s">
        <v>893</v>
      </c>
      <c r="J183" s="114" t="s">
        <v>893</v>
      </c>
      <c r="K183" s="114">
        <v>45470000</v>
      </c>
      <c r="L183" s="114">
        <v>47863157.894736841</v>
      </c>
      <c r="M183" s="114" t="s">
        <v>894</v>
      </c>
      <c r="N183" s="114" t="s">
        <v>894</v>
      </c>
      <c r="O183" s="94" t="s">
        <v>1042</v>
      </c>
      <c r="P183" s="94" t="s">
        <v>1243</v>
      </c>
      <c r="Q183" s="94" t="s">
        <v>896</v>
      </c>
      <c r="R183" s="94" t="s">
        <v>897</v>
      </c>
      <c r="S183" s="94" t="s">
        <v>679</v>
      </c>
      <c r="T183" s="94" t="s">
        <v>898</v>
      </c>
      <c r="U183" s="94" t="s">
        <v>899</v>
      </c>
      <c r="V183" s="94" t="s">
        <v>193</v>
      </c>
      <c r="W183" s="94" t="s">
        <v>904</v>
      </c>
      <c r="X183" s="95" t="s">
        <v>171</v>
      </c>
      <c r="Y183" s="95" t="s">
        <v>171</v>
      </c>
      <c r="Z183" s="95" t="s">
        <v>1244</v>
      </c>
    </row>
    <row r="184" spans="1:26" s="105" customFormat="1" ht="96" x14ac:dyDescent="0.25">
      <c r="A184" s="112"/>
      <c r="B184" s="95" t="s">
        <v>892</v>
      </c>
      <c r="C184" s="113" t="s">
        <v>893</v>
      </c>
      <c r="D184" s="114" t="s">
        <v>893</v>
      </c>
      <c r="E184" s="114" t="s">
        <v>893</v>
      </c>
      <c r="F184" s="114" t="s">
        <v>893</v>
      </c>
      <c r="G184" s="114" t="s">
        <v>893</v>
      </c>
      <c r="H184" s="114" t="s">
        <v>893</v>
      </c>
      <c r="I184" s="114" t="s">
        <v>893</v>
      </c>
      <c r="J184" s="114" t="s">
        <v>893</v>
      </c>
      <c r="K184" s="114">
        <v>100000</v>
      </c>
      <c r="L184" s="114">
        <v>105263.15789473684</v>
      </c>
      <c r="M184" s="114" t="s">
        <v>894</v>
      </c>
      <c r="N184" s="114" t="s">
        <v>894</v>
      </c>
      <c r="O184" s="94" t="s">
        <v>1079</v>
      </c>
      <c r="P184" s="94" t="s">
        <v>1184</v>
      </c>
      <c r="Q184" s="94" t="s">
        <v>896</v>
      </c>
      <c r="R184" s="94" t="s">
        <v>897</v>
      </c>
      <c r="S184" s="94" t="s">
        <v>679</v>
      </c>
      <c r="T184" s="94" t="s">
        <v>898</v>
      </c>
      <c r="U184" s="94" t="s">
        <v>899</v>
      </c>
      <c r="V184" s="94" t="s">
        <v>49</v>
      </c>
      <c r="W184" s="94" t="s">
        <v>1008</v>
      </c>
      <c r="X184" s="95" t="s">
        <v>171</v>
      </c>
      <c r="Y184" s="95" t="s">
        <v>171</v>
      </c>
      <c r="Z184" s="95" t="s">
        <v>1185</v>
      </c>
    </row>
    <row r="185" spans="1:26" s="105" customFormat="1" ht="156" x14ac:dyDescent="0.25">
      <c r="A185" s="112"/>
      <c r="B185" s="95" t="s">
        <v>892</v>
      </c>
      <c r="C185" s="113" t="s">
        <v>893</v>
      </c>
      <c r="D185" s="114" t="s">
        <v>893</v>
      </c>
      <c r="E185" s="114" t="s">
        <v>893</v>
      </c>
      <c r="F185" s="114" t="s">
        <v>893</v>
      </c>
      <c r="G185" s="114" t="s">
        <v>893</v>
      </c>
      <c r="H185" s="114" t="s">
        <v>893</v>
      </c>
      <c r="I185" s="114" t="s">
        <v>893</v>
      </c>
      <c r="J185" s="114" t="s">
        <v>893</v>
      </c>
      <c r="K185" s="114">
        <v>91607.570700000011</v>
      </c>
      <c r="L185" s="114">
        <v>96429.0217894737</v>
      </c>
      <c r="M185" s="114" t="s">
        <v>894</v>
      </c>
      <c r="N185" s="114" t="s">
        <v>894</v>
      </c>
      <c r="O185" s="94" t="s">
        <v>1245</v>
      </c>
      <c r="P185" s="94" t="s">
        <v>1246</v>
      </c>
      <c r="Q185" s="94" t="s">
        <v>896</v>
      </c>
      <c r="R185" s="94" t="s">
        <v>897</v>
      </c>
      <c r="S185" s="94" t="s">
        <v>679</v>
      </c>
      <c r="T185" s="94" t="s">
        <v>898</v>
      </c>
      <c r="U185" s="94" t="s">
        <v>899</v>
      </c>
      <c r="V185" s="94" t="s">
        <v>49</v>
      </c>
      <c r="W185" s="94" t="s">
        <v>1008</v>
      </c>
      <c r="X185" s="95" t="s">
        <v>171</v>
      </c>
      <c r="Y185" s="95" t="s">
        <v>171</v>
      </c>
      <c r="Z185" s="95" t="s">
        <v>1247</v>
      </c>
    </row>
    <row r="186" spans="1:26" s="105" customFormat="1" ht="84" x14ac:dyDescent="0.25">
      <c r="A186" s="112"/>
      <c r="B186" s="95" t="s">
        <v>892</v>
      </c>
      <c r="C186" s="113" t="s">
        <v>893</v>
      </c>
      <c r="D186" s="114" t="s">
        <v>893</v>
      </c>
      <c r="E186" s="114" t="s">
        <v>893</v>
      </c>
      <c r="F186" s="114" t="s">
        <v>893</v>
      </c>
      <c r="G186" s="114" t="s">
        <v>893</v>
      </c>
      <c r="H186" s="114" t="s">
        <v>893</v>
      </c>
      <c r="I186" s="114" t="s">
        <v>893</v>
      </c>
      <c r="J186" s="114" t="s">
        <v>893</v>
      </c>
      <c r="K186" s="114">
        <v>38210109.566345967</v>
      </c>
      <c r="L186" s="114">
        <v>40221167.964574702</v>
      </c>
      <c r="M186" s="114" t="s">
        <v>894</v>
      </c>
      <c r="N186" s="114" t="s">
        <v>894</v>
      </c>
      <c r="O186" s="94" t="s">
        <v>1019</v>
      </c>
      <c r="P186" s="94" t="s">
        <v>1248</v>
      </c>
      <c r="Q186" s="94" t="s">
        <v>896</v>
      </c>
      <c r="R186" s="94" t="s">
        <v>897</v>
      </c>
      <c r="S186" s="94" t="s">
        <v>41</v>
      </c>
      <c r="T186" s="94" t="s">
        <v>898</v>
      </c>
      <c r="U186" s="94" t="s">
        <v>899</v>
      </c>
      <c r="V186" s="94" t="s">
        <v>193</v>
      </c>
      <c r="W186" s="94" t="s">
        <v>904</v>
      </c>
      <c r="X186" s="95" t="s">
        <v>171</v>
      </c>
      <c r="Y186" s="95" t="s">
        <v>171</v>
      </c>
      <c r="Z186" s="95" t="s">
        <v>1249</v>
      </c>
    </row>
    <row r="187" spans="1:26" s="105" customFormat="1" ht="84" x14ac:dyDescent="0.25">
      <c r="A187" s="112"/>
      <c r="B187" s="95" t="s">
        <v>892</v>
      </c>
      <c r="C187" s="113" t="s">
        <v>893</v>
      </c>
      <c r="D187" s="114" t="s">
        <v>893</v>
      </c>
      <c r="E187" s="114" t="s">
        <v>893</v>
      </c>
      <c r="F187" s="114" t="s">
        <v>893</v>
      </c>
      <c r="G187" s="114" t="s">
        <v>893</v>
      </c>
      <c r="H187" s="114" t="s">
        <v>893</v>
      </c>
      <c r="I187" s="114" t="s">
        <v>893</v>
      </c>
      <c r="J187" s="114" t="s">
        <v>893</v>
      </c>
      <c r="K187" s="114">
        <v>899999.99999999988</v>
      </c>
      <c r="L187" s="114">
        <v>947368.42105263146</v>
      </c>
      <c r="M187" s="114" t="s">
        <v>894</v>
      </c>
      <c r="N187" s="114" t="s">
        <v>894</v>
      </c>
      <c r="O187" s="94" t="s">
        <v>61</v>
      </c>
      <c r="P187" s="94" t="s">
        <v>1091</v>
      </c>
      <c r="Q187" s="94" t="s">
        <v>896</v>
      </c>
      <c r="R187" s="94" t="s">
        <v>897</v>
      </c>
      <c r="S187" s="94" t="s">
        <v>679</v>
      </c>
      <c r="T187" s="94" t="s">
        <v>898</v>
      </c>
      <c r="U187" s="94" t="s">
        <v>923</v>
      </c>
      <c r="V187" s="94" t="s">
        <v>44</v>
      </c>
      <c r="W187" s="94" t="s">
        <v>938</v>
      </c>
      <c r="X187" s="95" t="s">
        <v>171</v>
      </c>
      <c r="Y187" s="95" t="s">
        <v>171</v>
      </c>
      <c r="Z187" s="95" t="s">
        <v>1092</v>
      </c>
    </row>
    <row r="188" spans="1:26" s="105" customFormat="1" ht="144" x14ac:dyDescent="0.25">
      <c r="A188" s="112"/>
      <c r="B188" s="95" t="s">
        <v>892</v>
      </c>
      <c r="C188" s="113" t="s">
        <v>893</v>
      </c>
      <c r="D188" s="114" t="s">
        <v>893</v>
      </c>
      <c r="E188" s="114" t="s">
        <v>893</v>
      </c>
      <c r="F188" s="114" t="s">
        <v>893</v>
      </c>
      <c r="G188" s="114" t="s">
        <v>893</v>
      </c>
      <c r="H188" s="114" t="s">
        <v>893</v>
      </c>
      <c r="I188" s="114" t="s">
        <v>893</v>
      </c>
      <c r="J188" s="114" t="s">
        <v>893</v>
      </c>
      <c r="K188" s="114">
        <v>1000000</v>
      </c>
      <c r="L188" s="114">
        <v>1052631.5789473685</v>
      </c>
      <c r="M188" s="114" t="s">
        <v>894</v>
      </c>
      <c r="N188" s="114" t="s">
        <v>894</v>
      </c>
      <c r="O188" s="94" t="s">
        <v>973</v>
      </c>
      <c r="P188" s="94" t="s">
        <v>1232</v>
      </c>
      <c r="Q188" s="94" t="s">
        <v>896</v>
      </c>
      <c r="R188" s="94" t="s">
        <v>897</v>
      </c>
      <c r="S188" s="94" t="s">
        <v>679</v>
      </c>
      <c r="T188" s="94" t="s">
        <v>898</v>
      </c>
      <c r="U188" s="94" t="s">
        <v>923</v>
      </c>
      <c r="V188" s="94" t="s">
        <v>49</v>
      </c>
      <c r="W188" s="94" t="s">
        <v>1008</v>
      </c>
      <c r="X188" s="95" t="s">
        <v>171</v>
      </c>
      <c r="Y188" s="95" t="s">
        <v>171</v>
      </c>
      <c r="Z188" s="95" t="s">
        <v>1233</v>
      </c>
    </row>
    <row r="189" spans="1:26" s="105" customFormat="1" ht="156" x14ac:dyDescent="0.25">
      <c r="A189" s="112"/>
      <c r="B189" s="95" t="s">
        <v>892</v>
      </c>
      <c r="C189" s="113" t="s">
        <v>893</v>
      </c>
      <c r="D189" s="114" t="s">
        <v>893</v>
      </c>
      <c r="E189" s="114" t="s">
        <v>893</v>
      </c>
      <c r="F189" s="114" t="s">
        <v>893</v>
      </c>
      <c r="G189" s="114" t="s">
        <v>893</v>
      </c>
      <c r="H189" s="114" t="s">
        <v>893</v>
      </c>
      <c r="I189" s="114" t="s">
        <v>893</v>
      </c>
      <c r="J189" s="114" t="s">
        <v>893</v>
      </c>
      <c r="K189" s="114">
        <v>157700</v>
      </c>
      <c r="L189" s="114">
        <v>166000</v>
      </c>
      <c r="M189" s="114" t="s">
        <v>894</v>
      </c>
      <c r="N189" s="114" t="s">
        <v>894</v>
      </c>
      <c r="O189" s="94" t="s">
        <v>1189</v>
      </c>
      <c r="P189" s="94" t="s">
        <v>1190</v>
      </c>
      <c r="Q189" s="94" t="s">
        <v>896</v>
      </c>
      <c r="R189" s="94" t="s">
        <v>897</v>
      </c>
      <c r="S189" s="94" t="e">
        <v>#N/A</v>
      </c>
      <c r="T189" s="94" t="s">
        <v>898</v>
      </c>
      <c r="U189" s="94" t="s">
        <v>899</v>
      </c>
      <c r="V189" s="94" t="s">
        <v>49</v>
      </c>
      <c r="W189" s="94" t="s">
        <v>1008</v>
      </c>
      <c r="X189" s="95" t="s">
        <v>171</v>
      </c>
      <c r="Y189" s="95" t="s">
        <v>171</v>
      </c>
      <c r="Z189" s="95" t="s">
        <v>1191</v>
      </c>
    </row>
    <row r="190" spans="1:26" s="105" customFormat="1" ht="168" x14ac:dyDescent="0.25">
      <c r="A190" s="112"/>
      <c r="B190" s="95" t="s">
        <v>892</v>
      </c>
      <c r="C190" s="113" t="s">
        <v>893</v>
      </c>
      <c r="D190" s="114" t="s">
        <v>893</v>
      </c>
      <c r="E190" s="114" t="s">
        <v>893</v>
      </c>
      <c r="F190" s="114" t="s">
        <v>893</v>
      </c>
      <c r="G190" s="114" t="s">
        <v>893</v>
      </c>
      <c r="H190" s="114" t="s">
        <v>893</v>
      </c>
      <c r="I190" s="114" t="s">
        <v>893</v>
      </c>
      <c r="J190" s="114" t="s">
        <v>893</v>
      </c>
      <c r="K190" s="114">
        <v>5824108.0809000004</v>
      </c>
      <c r="L190" s="114">
        <v>6130640.0851578955</v>
      </c>
      <c r="M190" s="114" t="s">
        <v>894</v>
      </c>
      <c r="N190" s="114" t="s">
        <v>894</v>
      </c>
      <c r="O190" s="94" t="s">
        <v>1042</v>
      </c>
      <c r="P190" s="94" t="s">
        <v>1043</v>
      </c>
      <c r="Q190" s="94" t="s">
        <v>896</v>
      </c>
      <c r="R190" s="94" t="s">
        <v>897</v>
      </c>
      <c r="S190" s="94" t="s">
        <v>41</v>
      </c>
      <c r="T190" s="94" t="s">
        <v>898</v>
      </c>
      <c r="U190" s="94" t="s">
        <v>899</v>
      </c>
      <c r="V190" s="94" t="s">
        <v>49</v>
      </c>
      <c r="W190" s="94" t="s">
        <v>904</v>
      </c>
      <c r="X190" s="95" t="s">
        <v>171</v>
      </c>
      <c r="Y190" s="95" t="s">
        <v>171</v>
      </c>
      <c r="Z190" s="95" t="s">
        <v>1044</v>
      </c>
    </row>
    <row r="191" spans="1:26" s="105" customFormat="1" ht="84" x14ac:dyDescent="0.25">
      <c r="A191" s="112"/>
      <c r="B191" s="95" t="s">
        <v>892</v>
      </c>
      <c r="C191" s="113" t="s">
        <v>893</v>
      </c>
      <c r="D191" s="114" t="s">
        <v>893</v>
      </c>
      <c r="E191" s="114" t="s">
        <v>893</v>
      </c>
      <c r="F191" s="114" t="s">
        <v>893</v>
      </c>
      <c r="G191" s="114" t="s">
        <v>893</v>
      </c>
      <c r="H191" s="114" t="s">
        <v>893</v>
      </c>
      <c r="I191" s="114" t="s">
        <v>893</v>
      </c>
      <c r="J191" s="114" t="s">
        <v>893</v>
      </c>
      <c r="K191" s="114">
        <v>107856857.25709854</v>
      </c>
      <c r="L191" s="114">
        <v>113533533.95484057</v>
      </c>
      <c r="M191" s="114" t="s">
        <v>894</v>
      </c>
      <c r="N191" s="114" t="s">
        <v>894</v>
      </c>
      <c r="O191" s="94" t="s">
        <v>1019</v>
      </c>
      <c r="P191" s="94" t="s">
        <v>1248</v>
      </c>
      <c r="Q191" s="94" t="s">
        <v>896</v>
      </c>
      <c r="R191" s="94" t="s">
        <v>897</v>
      </c>
      <c r="S191" s="94" t="s">
        <v>41</v>
      </c>
      <c r="T191" s="94" t="s">
        <v>898</v>
      </c>
      <c r="U191" s="94" t="s">
        <v>899</v>
      </c>
      <c r="V191" s="94" t="s">
        <v>193</v>
      </c>
      <c r="W191" s="94" t="s">
        <v>938</v>
      </c>
      <c r="X191" s="95" t="s">
        <v>171</v>
      </c>
      <c r="Y191" s="95" t="s">
        <v>171</v>
      </c>
      <c r="Z191" s="95" t="s">
        <v>1249</v>
      </c>
    </row>
    <row r="192" spans="1:26" s="105" customFormat="1" ht="72" x14ac:dyDescent="0.25">
      <c r="A192" s="112"/>
      <c r="B192" s="95" t="s">
        <v>892</v>
      </c>
      <c r="C192" s="113" t="s">
        <v>893</v>
      </c>
      <c r="D192" s="114" t="s">
        <v>893</v>
      </c>
      <c r="E192" s="114" t="s">
        <v>893</v>
      </c>
      <c r="F192" s="114" t="s">
        <v>893</v>
      </c>
      <c r="G192" s="114" t="s">
        <v>893</v>
      </c>
      <c r="H192" s="114" t="s">
        <v>893</v>
      </c>
      <c r="I192" s="114" t="s">
        <v>893</v>
      </c>
      <c r="J192" s="114" t="s">
        <v>893</v>
      </c>
      <c r="K192" s="114">
        <v>308617.23326100002</v>
      </c>
      <c r="L192" s="114">
        <v>324860.24553789478</v>
      </c>
      <c r="M192" s="114" t="s">
        <v>894</v>
      </c>
      <c r="N192" s="114" t="s">
        <v>894</v>
      </c>
      <c r="O192" s="94" t="s">
        <v>211</v>
      </c>
      <c r="P192" s="94" t="s">
        <v>1250</v>
      </c>
      <c r="Q192" s="94" t="s">
        <v>896</v>
      </c>
      <c r="R192" s="94" t="s">
        <v>897</v>
      </c>
      <c r="S192" s="94" t="s">
        <v>41</v>
      </c>
      <c r="T192" s="94" t="s">
        <v>913</v>
      </c>
      <c r="U192" s="94" t="s">
        <v>899</v>
      </c>
      <c r="V192" s="94" t="s">
        <v>193</v>
      </c>
      <c r="W192" s="94" t="s">
        <v>904</v>
      </c>
      <c r="X192" s="95" t="s">
        <v>171</v>
      </c>
      <c r="Y192" s="95" t="s">
        <v>171</v>
      </c>
      <c r="Z192" s="95" t="s">
        <v>1251</v>
      </c>
    </row>
    <row r="193" spans="1:26" s="105" customFormat="1" ht="96" x14ac:dyDescent="0.25">
      <c r="A193" s="112"/>
      <c r="B193" s="95" t="s">
        <v>892</v>
      </c>
      <c r="C193" s="113" t="s">
        <v>893</v>
      </c>
      <c r="D193" s="114" t="s">
        <v>893</v>
      </c>
      <c r="E193" s="114" t="s">
        <v>893</v>
      </c>
      <c r="F193" s="114" t="s">
        <v>893</v>
      </c>
      <c r="G193" s="114" t="s">
        <v>893</v>
      </c>
      <c r="H193" s="114" t="s">
        <v>893</v>
      </c>
      <c r="I193" s="114" t="s">
        <v>893</v>
      </c>
      <c r="J193" s="114" t="s">
        <v>893</v>
      </c>
      <c r="K193" s="114">
        <v>120530000</v>
      </c>
      <c r="L193" s="114">
        <v>126873684.21052632</v>
      </c>
      <c r="M193" s="114" t="s">
        <v>894</v>
      </c>
      <c r="N193" s="114" t="s">
        <v>894</v>
      </c>
      <c r="O193" s="94" t="s">
        <v>1042</v>
      </c>
      <c r="P193" s="94" t="s">
        <v>1243</v>
      </c>
      <c r="Q193" s="94" t="s">
        <v>896</v>
      </c>
      <c r="R193" s="94" t="s">
        <v>897</v>
      </c>
      <c r="S193" s="94" t="s">
        <v>679</v>
      </c>
      <c r="T193" s="94" t="s">
        <v>898</v>
      </c>
      <c r="U193" s="94" t="s">
        <v>899</v>
      </c>
      <c r="V193" s="94" t="s">
        <v>193</v>
      </c>
      <c r="W193" s="94" t="s">
        <v>904</v>
      </c>
      <c r="X193" s="95" t="s">
        <v>171</v>
      </c>
      <c r="Y193" s="95" t="s">
        <v>171</v>
      </c>
      <c r="Z193" s="95" t="s">
        <v>1244</v>
      </c>
    </row>
    <row r="194" spans="1:26" s="105" customFormat="1" ht="84" x14ac:dyDescent="0.25">
      <c r="A194" s="112"/>
      <c r="B194" s="95" t="s">
        <v>892</v>
      </c>
      <c r="C194" s="113" t="s">
        <v>893</v>
      </c>
      <c r="D194" s="114" t="s">
        <v>893</v>
      </c>
      <c r="E194" s="114" t="s">
        <v>893</v>
      </c>
      <c r="F194" s="114" t="s">
        <v>893</v>
      </c>
      <c r="G194" s="114" t="s">
        <v>893</v>
      </c>
      <c r="H194" s="114" t="s">
        <v>893</v>
      </c>
      <c r="I194" s="114" t="s">
        <v>893</v>
      </c>
      <c r="J194" s="114" t="s">
        <v>893</v>
      </c>
      <c r="K194" s="114">
        <v>1000000</v>
      </c>
      <c r="L194" s="114">
        <v>1052631.5789473685</v>
      </c>
      <c r="M194" s="114" t="s">
        <v>894</v>
      </c>
      <c r="N194" s="114" t="s">
        <v>894</v>
      </c>
      <c r="O194" s="94" t="s">
        <v>262</v>
      </c>
      <c r="P194" s="94" t="s">
        <v>1252</v>
      </c>
      <c r="Q194" s="94" t="s">
        <v>896</v>
      </c>
      <c r="R194" s="94" t="s">
        <v>897</v>
      </c>
      <c r="S194" s="94" t="s">
        <v>679</v>
      </c>
      <c r="T194" s="94" t="s">
        <v>898</v>
      </c>
      <c r="U194" s="94" t="s">
        <v>899</v>
      </c>
      <c r="V194" s="94" t="s">
        <v>49</v>
      </c>
      <c r="W194" s="94" t="s">
        <v>1008</v>
      </c>
      <c r="X194" s="95" t="s">
        <v>171</v>
      </c>
      <c r="Y194" s="95" t="s">
        <v>171</v>
      </c>
      <c r="Z194" s="95" t="s">
        <v>1253</v>
      </c>
    </row>
    <row r="195" spans="1:26" s="105" customFormat="1" ht="84" x14ac:dyDescent="0.25">
      <c r="A195" s="112"/>
      <c r="B195" s="95" t="s">
        <v>892</v>
      </c>
      <c r="C195" s="113" t="s">
        <v>893</v>
      </c>
      <c r="D195" s="114" t="s">
        <v>893</v>
      </c>
      <c r="E195" s="114" t="s">
        <v>893</v>
      </c>
      <c r="F195" s="114" t="s">
        <v>893</v>
      </c>
      <c r="G195" s="114" t="s">
        <v>893</v>
      </c>
      <c r="H195" s="114" t="s">
        <v>893</v>
      </c>
      <c r="I195" s="114" t="s">
        <v>893</v>
      </c>
      <c r="J195" s="114" t="s">
        <v>893</v>
      </c>
      <c r="K195" s="114">
        <v>600000</v>
      </c>
      <c r="L195" s="114">
        <v>631578.94736842113</v>
      </c>
      <c r="M195" s="114" t="s">
        <v>894</v>
      </c>
      <c r="N195" s="114" t="s">
        <v>894</v>
      </c>
      <c r="O195" s="94" t="s">
        <v>262</v>
      </c>
      <c r="P195" s="94" t="s">
        <v>1252</v>
      </c>
      <c r="Q195" s="94" t="s">
        <v>896</v>
      </c>
      <c r="R195" s="94" t="s">
        <v>897</v>
      </c>
      <c r="S195" s="94" t="s">
        <v>679</v>
      </c>
      <c r="T195" s="94" t="s">
        <v>898</v>
      </c>
      <c r="U195" s="94" t="s">
        <v>899</v>
      </c>
      <c r="V195" s="94" t="s">
        <v>49</v>
      </c>
      <c r="W195" s="94" t="s">
        <v>1008</v>
      </c>
      <c r="X195" s="95" t="s">
        <v>171</v>
      </c>
      <c r="Y195" s="95" t="s">
        <v>171</v>
      </c>
      <c r="Z195" s="95" t="s">
        <v>1253</v>
      </c>
    </row>
    <row r="196" spans="1:26" s="105" customFormat="1" ht="84" x14ac:dyDescent="0.25">
      <c r="A196" s="112"/>
      <c r="B196" s="95" t="s">
        <v>892</v>
      </c>
      <c r="C196" s="113" t="s">
        <v>893</v>
      </c>
      <c r="D196" s="114" t="s">
        <v>893</v>
      </c>
      <c r="E196" s="114" t="s">
        <v>893</v>
      </c>
      <c r="F196" s="114" t="s">
        <v>893</v>
      </c>
      <c r="G196" s="114" t="s">
        <v>893</v>
      </c>
      <c r="H196" s="114" t="s">
        <v>893</v>
      </c>
      <c r="I196" s="114" t="s">
        <v>893</v>
      </c>
      <c r="J196" s="114" t="s">
        <v>893</v>
      </c>
      <c r="K196" s="114">
        <v>232778981.003521</v>
      </c>
      <c r="L196" s="114">
        <v>245030506.3194958</v>
      </c>
      <c r="M196" s="114" t="s">
        <v>894</v>
      </c>
      <c r="N196" s="114" t="s">
        <v>894</v>
      </c>
      <c r="O196" s="94" t="s">
        <v>1019</v>
      </c>
      <c r="P196" s="94" t="s">
        <v>1248</v>
      </c>
      <c r="Q196" s="94" t="s">
        <v>896</v>
      </c>
      <c r="R196" s="94" t="s">
        <v>897</v>
      </c>
      <c r="S196" s="94" t="s">
        <v>41</v>
      </c>
      <c r="T196" s="94" t="s">
        <v>898</v>
      </c>
      <c r="U196" s="94" t="s">
        <v>899</v>
      </c>
      <c r="V196" s="94" t="s">
        <v>193</v>
      </c>
      <c r="W196" s="94" t="s">
        <v>904</v>
      </c>
      <c r="X196" s="95" t="s">
        <v>171</v>
      </c>
      <c r="Y196" s="95" t="s">
        <v>171</v>
      </c>
      <c r="Z196" s="95" t="s">
        <v>1249</v>
      </c>
    </row>
    <row r="197" spans="1:26" s="20" customFormat="1" ht="22.95" customHeight="1" x14ac:dyDescent="0.25">
      <c r="B197" s="109"/>
      <c r="C197" s="109"/>
      <c r="D197" s="110"/>
      <c r="E197" s="109"/>
      <c r="F197" s="110"/>
      <c r="G197" s="109"/>
      <c r="H197" s="110"/>
      <c r="I197" s="109"/>
      <c r="J197" s="110"/>
      <c r="K197" s="109"/>
      <c r="L197" s="110"/>
      <c r="M197" s="109"/>
      <c r="N197" s="110"/>
      <c r="O197" s="111"/>
      <c r="P197" s="111"/>
      <c r="Q197" s="111"/>
      <c r="R197" s="111"/>
      <c r="S197" s="111"/>
      <c r="T197" s="111"/>
      <c r="U197" s="111"/>
      <c r="V197" s="111"/>
      <c r="W197" s="111"/>
      <c r="X197" s="111"/>
      <c r="Y197" s="111"/>
      <c r="Z197" s="111"/>
    </row>
    <row r="198" spans="1:26" ht="12" x14ac:dyDescent="0.25">
      <c r="A198" s="52"/>
      <c r="B198" s="9"/>
    </row>
    <row r="199" spans="1:26" ht="12" x14ac:dyDescent="0.25">
      <c r="A199" s="52"/>
      <c r="B199" s="20" t="s">
        <v>65</v>
      </c>
      <c r="C199" s="20"/>
      <c r="D199" s="20"/>
      <c r="E199" s="20"/>
      <c r="F199" s="20"/>
      <c r="G199" s="20"/>
      <c r="H199" s="30"/>
      <c r="I199" s="31"/>
      <c r="J199" s="32"/>
      <c r="K199" s="32"/>
      <c r="L199" s="33"/>
      <c r="M199" s="32"/>
      <c r="N199" s="34"/>
      <c r="O199" s="32"/>
      <c r="P199" s="32"/>
      <c r="Q199" s="32"/>
    </row>
    <row r="200" spans="1:26" ht="12" x14ac:dyDescent="0.25">
      <c r="A200" s="52"/>
      <c r="B200" s="20" t="s">
        <v>66</v>
      </c>
      <c r="C200" s="20"/>
      <c r="D200" s="20"/>
      <c r="E200" s="20"/>
      <c r="F200" s="20"/>
      <c r="G200" s="20"/>
      <c r="H200" s="30"/>
      <c r="I200" s="31"/>
      <c r="J200" s="32"/>
      <c r="K200" s="32"/>
      <c r="L200" s="33"/>
      <c r="M200" s="32"/>
      <c r="N200" s="34"/>
      <c r="O200" s="32"/>
      <c r="P200" s="32"/>
      <c r="Q200" s="32"/>
    </row>
    <row r="201" spans="1:26" ht="12" x14ac:dyDescent="0.25">
      <c r="B201" s="53" t="s">
        <v>110</v>
      </c>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3.95" customHeight="1" x14ac:dyDescent="0.25">
      <c r="B202" s="54" t="s">
        <v>111</v>
      </c>
      <c r="C202" s="20"/>
      <c r="D202" s="20"/>
      <c r="E202" s="20"/>
      <c r="F202" s="20"/>
      <c r="G202" s="20"/>
      <c r="H202" s="30"/>
      <c r="I202" s="31"/>
      <c r="J202" s="32"/>
      <c r="K202" s="32"/>
      <c r="L202" s="33"/>
      <c r="M202" s="32"/>
      <c r="N202" s="34"/>
      <c r="O202" s="32"/>
      <c r="P202" s="32"/>
      <c r="Q202" s="32"/>
    </row>
    <row r="203" spans="1:26" ht="13.95" customHeight="1" x14ac:dyDescent="0.25">
      <c r="B203" s="54" t="s">
        <v>112</v>
      </c>
      <c r="C203" s="55"/>
      <c r="D203" s="36"/>
      <c r="E203" s="55"/>
      <c r="F203" s="55"/>
      <c r="G203" s="55"/>
    </row>
    <row r="204" spans="1:26" ht="13.95" customHeight="1" x14ac:dyDescent="0.25">
      <c r="B204" s="54" t="s">
        <v>113</v>
      </c>
      <c r="C204" s="37"/>
      <c r="D204" s="38"/>
      <c r="E204" s="38"/>
      <c r="F204" s="38"/>
      <c r="G204" s="39"/>
    </row>
    <row r="205" spans="1:26" ht="13.95" customHeight="1" x14ac:dyDescent="0.25">
      <c r="B205" s="54" t="s">
        <v>114</v>
      </c>
      <c r="C205" s="40"/>
    </row>
    <row r="206" spans="1:26" ht="13.95" customHeight="1" x14ac:dyDescent="0.25">
      <c r="B206" s="54" t="s">
        <v>115</v>
      </c>
      <c r="C206" s="40"/>
    </row>
    <row r="207" spans="1:26" ht="13.95" customHeight="1" x14ac:dyDescent="0.25">
      <c r="B207" s="54" t="s">
        <v>116</v>
      </c>
      <c r="C207" s="40"/>
    </row>
    <row r="208" spans="1:26" ht="13.95" customHeight="1" x14ac:dyDescent="0.25">
      <c r="B208" s="54" t="s">
        <v>117</v>
      </c>
      <c r="C208" s="40"/>
    </row>
    <row r="209" spans="2:17" ht="13.95" customHeight="1" x14ac:dyDescent="0.25">
      <c r="B209" s="54" t="s">
        <v>118</v>
      </c>
      <c r="C209" s="40"/>
    </row>
    <row r="210" spans="2:17" ht="12.75" customHeight="1" x14ac:dyDescent="0.25">
      <c r="B210" s="54" t="s">
        <v>119</v>
      </c>
      <c r="C210" s="56"/>
      <c r="D210" s="56"/>
      <c r="E210" s="56"/>
      <c r="F210" s="56"/>
      <c r="G210" s="56"/>
      <c r="H210" s="56"/>
      <c r="I210" s="56"/>
      <c r="J210" s="56"/>
      <c r="K210" s="56"/>
      <c r="L210" s="56"/>
      <c r="M210" s="56"/>
      <c r="N210" s="56"/>
      <c r="O210" s="56"/>
      <c r="P210" s="56"/>
      <c r="Q210" s="56"/>
    </row>
    <row r="211" spans="2:17" ht="13.95" customHeight="1" x14ac:dyDescent="0.25">
      <c r="B211" s="54" t="s">
        <v>120</v>
      </c>
      <c r="C211" s="40"/>
    </row>
    <row r="212" spans="2:17" ht="13.95" customHeight="1" x14ac:dyDescent="0.25">
      <c r="B212" s="54" t="s">
        <v>121</v>
      </c>
      <c r="C212" s="40"/>
    </row>
    <row r="213" spans="2:17" ht="13.95" customHeight="1" x14ac:dyDescent="0.25">
      <c r="B213" s="54" t="s">
        <v>122</v>
      </c>
    </row>
    <row r="214" spans="2:17" ht="12" x14ac:dyDescent="0.25">
      <c r="B214" s="9"/>
    </row>
    <row r="215" spans="2:17" ht="12" x14ac:dyDescent="0.25">
      <c r="B215" s="2" t="s">
        <v>79</v>
      </c>
    </row>
    <row r="216" spans="2:17" s="104" customFormat="1" ht="13.5" customHeight="1" x14ac:dyDescent="0.25">
      <c r="B216" s="103" t="s">
        <v>683</v>
      </c>
    </row>
    <row r="217" spans="2:17" ht="13.95" customHeight="1" x14ac:dyDescent="0.25"/>
    <row r="218" spans="2:17" ht="12" x14ac:dyDescent="0.25"/>
    <row r="219" spans="2:17" ht="12" x14ac:dyDescent="0.25"/>
    <row r="220" spans="2:17" ht="12" x14ac:dyDescent="0.25"/>
    <row r="221" spans="2:17" ht="12" x14ac:dyDescent="0.25"/>
    <row r="222" spans="2:17" ht="12" x14ac:dyDescent="0.25"/>
    <row r="223" spans="2:17" ht="12" x14ac:dyDescent="0.25"/>
    <row r="224" spans="2:17" ht="12" x14ac:dyDescent="0.25"/>
  </sheetData>
  <hyperlinks>
    <hyperlink ref="B5" location="'Index sheet'!A1" display="Back to index" xr:uid="{00000000-0004-0000-0300-000000000000}"/>
  </hyperlinks>
  <pageMargins left="0.7" right="0.7" top="0.75" bottom="0.75" header="0.3" footer="0.3"/>
  <pageSetup paperSize="9" orientation="portrait"/>
  <ignoredErrors>
    <ignoredError sqref="A198:Z215 A1:Z11 A217:Z22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57"/>
  <sheetViews>
    <sheetView showGridLines="0" zoomScaleNormal="100" workbookViewId="0">
      <selection activeCell="Y1" sqref="Y1"/>
    </sheetView>
  </sheetViews>
  <sheetFormatPr baseColWidth="10" defaultColWidth="9.109375" defaultRowHeight="11.55" customHeight="1" x14ac:dyDescent="0.25"/>
  <cols>
    <col min="1" max="1" width="2.44140625" style="1" customWidth="1"/>
    <col min="2" max="2" width="27.44140625" style="1" customWidth="1"/>
    <col min="3" max="23" width="9.109375" style="1" customWidth="1"/>
    <col min="24" max="24" width="10.109375" style="1" customWidth="1"/>
    <col min="25" max="25" width="10.44140625" style="1" customWidth="1"/>
    <col min="26" max="26" width="20.44140625" style="1" customWidth="1"/>
    <col min="27" max="27" width="9.109375" style="1" customWidth="1"/>
    <col min="28" max="16384" width="9.109375" style="1"/>
  </cols>
  <sheetData>
    <row r="1" spans="1:26" ht="16.05" customHeight="1" x14ac:dyDescent="0.3">
      <c r="B1" s="8" t="s">
        <v>94</v>
      </c>
    </row>
    <row r="2" spans="1:26" ht="16.05" customHeight="1" x14ac:dyDescent="0.3">
      <c r="B2" s="7" t="s">
        <v>15</v>
      </c>
      <c r="J2" s="46" t="s">
        <v>80</v>
      </c>
      <c r="K2" s="46" t="s">
        <v>95</v>
      </c>
    </row>
    <row r="3" spans="1:26" ht="16.05" customHeight="1" x14ac:dyDescent="0.25">
      <c r="B3" s="10" t="s">
        <v>18</v>
      </c>
      <c r="C3" s="11">
        <v>0.85</v>
      </c>
    </row>
    <row r="4" spans="1:26" ht="16.05" customHeight="1" x14ac:dyDescent="0.25">
      <c r="B4" s="12"/>
      <c r="C4" s="12"/>
    </row>
    <row r="5" spans="1:26" ht="12" x14ac:dyDescent="0.25">
      <c r="B5" s="13" t="s">
        <v>19</v>
      </c>
    </row>
    <row r="6" spans="1:26" ht="12" x14ac:dyDescent="0.25">
      <c r="B6" s="9"/>
    </row>
    <row r="7" spans="1:26" s="20" customFormat="1" ht="73.95" customHeight="1" x14ac:dyDescent="0.25">
      <c r="B7" s="47" t="s">
        <v>96</v>
      </c>
      <c r="C7" s="48" t="s">
        <v>97</v>
      </c>
      <c r="D7" s="48"/>
      <c r="E7" s="48"/>
      <c r="F7" s="48"/>
      <c r="G7" s="48"/>
      <c r="H7" s="48"/>
      <c r="I7" s="48"/>
      <c r="J7" s="48"/>
      <c r="K7" s="48"/>
      <c r="L7" s="48"/>
      <c r="M7" s="48"/>
      <c r="N7" s="48"/>
      <c r="O7" s="15" t="s">
        <v>98</v>
      </c>
      <c r="P7" s="15" t="s">
        <v>99</v>
      </c>
      <c r="Q7" s="15" t="s">
        <v>23</v>
      </c>
      <c r="R7" s="15" t="s">
        <v>24</v>
      </c>
      <c r="S7" s="15" t="s">
        <v>25</v>
      </c>
      <c r="T7" s="15" t="s">
        <v>100</v>
      </c>
      <c r="U7" s="15" t="s">
        <v>27</v>
      </c>
      <c r="V7" s="15" t="s">
        <v>101</v>
      </c>
      <c r="W7" s="15" t="s">
        <v>102</v>
      </c>
      <c r="X7" s="15" t="s">
        <v>103</v>
      </c>
      <c r="Y7" s="19" t="s">
        <v>104</v>
      </c>
      <c r="Z7" s="15" t="s">
        <v>105</v>
      </c>
    </row>
    <row r="8" spans="1:26" s="20" customFormat="1" ht="21" customHeight="1" x14ac:dyDescent="0.25">
      <c r="B8" s="49"/>
      <c r="C8" s="48" t="s">
        <v>106</v>
      </c>
      <c r="D8" s="48"/>
      <c r="E8" s="48"/>
      <c r="F8" s="48"/>
      <c r="G8" s="48"/>
      <c r="H8" s="48"/>
      <c r="I8" s="48"/>
      <c r="J8" s="48"/>
      <c r="K8" s="48" t="s">
        <v>107</v>
      </c>
      <c r="L8" s="48"/>
      <c r="M8" s="48"/>
      <c r="N8" s="48"/>
      <c r="O8" s="21"/>
      <c r="P8" s="21"/>
      <c r="Q8" s="21"/>
      <c r="R8" s="21"/>
      <c r="S8" s="21"/>
      <c r="T8" s="21"/>
      <c r="U8" s="21"/>
      <c r="V8" s="21"/>
      <c r="W8" s="21"/>
      <c r="X8" s="21"/>
      <c r="Y8" s="24"/>
      <c r="Z8" s="21"/>
    </row>
    <row r="9" spans="1:26" s="20" customFormat="1" ht="29.25" customHeight="1" x14ac:dyDescent="0.25">
      <c r="B9" s="49"/>
      <c r="C9" s="48" t="s">
        <v>108</v>
      </c>
      <c r="D9" s="48"/>
      <c r="E9" s="48"/>
      <c r="F9" s="48"/>
      <c r="G9" s="48" t="s">
        <v>109</v>
      </c>
      <c r="H9" s="48"/>
      <c r="I9" s="48"/>
      <c r="J9" s="48"/>
      <c r="K9" s="48" t="s">
        <v>109</v>
      </c>
      <c r="L9" s="48"/>
      <c r="M9" s="48"/>
      <c r="N9" s="48"/>
      <c r="O9" s="21"/>
      <c r="P9" s="21"/>
      <c r="Q9" s="21"/>
      <c r="R9" s="21"/>
      <c r="S9" s="21"/>
      <c r="T9" s="21"/>
      <c r="U9" s="21"/>
      <c r="V9" s="21"/>
      <c r="W9" s="21"/>
      <c r="X9" s="21"/>
      <c r="Y9" s="24"/>
      <c r="Z9" s="21"/>
    </row>
    <row r="10" spans="1:26" s="20" customFormat="1" ht="23.55" customHeight="1" x14ac:dyDescent="0.25">
      <c r="B10" s="49"/>
      <c r="C10" s="50" t="s">
        <v>33</v>
      </c>
      <c r="D10" s="50"/>
      <c r="E10" s="50" t="s">
        <v>34</v>
      </c>
      <c r="F10" s="50"/>
      <c r="G10" s="50" t="s">
        <v>33</v>
      </c>
      <c r="H10" s="50"/>
      <c r="I10" s="50" t="s">
        <v>34</v>
      </c>
      <c r="J10" s="50"/>
      <c r="K10" s="50" t="s">
        <v>33</v>
      </c>
      <c r="L10" s="50"/>
      <c r="M10" s="50" t="s">
        <v>34</v>
      </c>
      <c r="N10" s="50"/>
      <c r="O10" s="21"/>
      <c r="P10" s="21"/>
      <c r="Q10" s="21"/>
      <c r="R10" s="21"/>
      <c r="S10" s="21"/>
      <c r="T10" s="21"/>
      <c r="U10" s="21"/>
      <c r="V10" s="21"/>
      <c r="W10" s="21"/>
      <c r="X10" s="21"/>
      <c r="Y10" s="24"/>
      <c r="Z10" s="21"/>
    </row>
    <row r="11" spans="1:26" s="20" customFormat="1" ht="22.95" customHeight="1" x14ac:dyDescent="0.25">
      <c r="B11" s="49"/>
      <c r="C11" s="47" t="s">
        <v>35</v>
      </c>
      <c r="D11" s="51" t="s">
        <v>36</v>
      </c>
      <c r="E11" s="47" t="s">
        <v>35</v>
      </c>
      <c r="F11" s="51" t="s">
        <v>36</v>
      </c>
      <c r="G11" s="47" t="s">
        <v>35</v>
      </c>
      <c r="H11" s="51" t="s">
        <v>36</v>
      </c>
      <c r="I11" s="47" t="s">
        <v>35</v>
      </c>
      <c r="J11" s="51" t="s">
        <v>36</v>
      </c>
      <c r="K11" s="47" t="s">
        <v>35</v>
      </c>
      <c r="L11" s="51" t="s">
        <v>36</v>
      </c>
      <c r="M11" s="47" t="s">
        <v>35</v>
      </c>
      <c r="N11" s="51" t="s">
        <v>36</v>
      </c>
      <c r="O11" s="25"/>
      <c r="P11" s="25"/>
      <c r="Q11" s="25"/>
      <c r="R11" s="25"/>
      <c r="S11" s="25"/>
      <c r="T11" s="25"/>
      <c r="U11" s="25"/>
      <c r="V11" s="25"/>
      <c r="W11" s="25"/>
      <c r="X11" s="25"/>
      <c r="Y11" s="28"/>
      <c r="Z11" s="21"/>
    </row>
    <row r="12" spans="1:26" s="105" customFormat="1" ht="84" x14ac:dyDescent="0.25">
      <c r="A12" s="112"/>
      <c r="B12" s="95" t="s">
        <v>892</v>
      </c>
      <c r="C12" s="113" t="s">
        <v>893</v>
      </c>
      <c r="D12" s="114" t="s">
        <v>893</v>
      </c>
      <c r="E12" s="114" t="s">
        <v>893</v>
      </c>
      <c r="F12" s="114" t="s">
        <v>893</v>
      </c>
      <c r="G12" s="114" t="s">
        <v>893</v>
      </c>
      <c r="H12" s="114" t="s">
        <v>893</v>
      </c>
      <c r="I12" s="114" t="s">
        <v>893</v>
      </c>
      <c r="J12" s="114" t="s">
        <v>893</v>
      </c>
      <c r="K12" s="114">
        <v>106000000</v>
      </c>
      <c r="L12" s="114">
        <v>125443786.98224853</v>
      </c>
      <c r="M12" s="114" t="s">
        <v>894</v>
      </c>
      <c r="N12" s="114" t="s">
        <v>894</v>
      </c>
      <c r="O12" s="94" t="s">
        <v>291</v>
      </c>
      <c r="P12" s="94" t="s">
        <v>1254</v>
      </c>
      <c r="Q12" s="94" t="s">
        <v>39</v>
      </c>
      <c r="R12" s="94" t="s">
        <v>1255</v>
      </c>
      <c r="S12" s="94" t="s">
        <v>46</v>
      </c>
      <c r="T12" s="94" t="s">
        <v>898</v>
      </c>
      <c r="U12" s="94" t="s">
        <v>43</v>
      </c>
      <c r="V12" s="94" t="s">
        <v>54</v>
      </c>
      <c r="W12" s="94" t="s">
        <v>55</v>
      </c>
      <c r="X12" s="95" t="s">
        <v>171</v>
      </c>
      <c r="Y12" s="95" t="s">
        <v>171</v>
      </c>
      <c r="Z12" s="95" t="s">
        <v>1256</v>
      </c>
    </row>
    <row r="13" spans="1:26" s="105" customFormat="1" ht="120" x14ac:dyDescent="0.25">
      <c r="A13" s="112"/>
      <c r="B13" s="95" t="s">
        <v>892</v>
      </c>
      <c r="C13" s="113" t="s">
        <v>893</v>
      </c>
      <c r="D13" s="114" t="s">
        <v>893</v>
      </c>
      <c r="E13" s="114" t="s">
        <v>893</v>
      </c>
      <c r="F13" s="114" t="s">
        <v>893</v>
      </c>
      <c r="G13" s="114" t="s">
        <v>893</v>
      </c>
      <c r="H13" s="114" t="s">
        <v>893</v>
      </c>
      <c r="I13" s="114" t="s">
        <v>893</v>
      </c>
      <c r="J13" s="114" t="s">
        <v>893</v>
      </c>
      <c r="K13" s="114">
        <v>45000000</v>
      </c>
      <c r="L13" s="114">
        <v>53254437.869822487</v>
      </c>
      <c r="M13" s="114" t="s">
        <v>894</v>
      </c>
      <c r="N13" s="114" t="s">
        <v>894</v>
      </c>
      <c r="O13" s="94" t="s">
        <v>388</v>
      </c>
      <c r="P13" s="94" t="s">
        <v>1257</v>
      </c>
      <c r="Q13" s="94" t="s">
        <v>39</v>
      </c>
      <c r="R13" s="94" t="s">
        <v>1255</v>
      </c>
      <c r="S13" s="94" t="s">
        <v>46</v>
      </c>
      <c r="T13" s="94" t="s">
        <v>898</v>
      </c>
      <c r="U13" s="94" t="s">
        <v>43</v>
      </c>
      <c r="V13" s="94" t="s">
        <v>54</v>
      </c>
      <c r="W13" s="94" t="s">
        <v>55</v>
      </c>
      <c r="X13" s="95" t="s">
        <v>171</v>
      </c>
      <c r="Y13" s="95" t="s">
        <v>171</v>
      </c>
      <c r="Z13" s="95" t="s">
        <v>1258</v>
      </c>
    </row>
    <row r="14" spans="1:26" s="105" customFormat="1" ht="156" x14ac:dyDescent="0.25">
      <c r="A14" s="112"/>
      <c r="B14" s="95" t="s">
        <v>892</v>
      </c>
      <c r="C14" s="113" t="s">
        <v>893</v>
      </c>
      <c r="D14" s="114" t="s">
        <v>893</v>
      </c>
      <c r="E14" s="114" t="s">
        <v>893</v>
      </c>
      <c r="F14" s="114" t="s">
        <v>893</v>
      </c>
      <c r="G14" s="114" t="s">
        <v>893</v>
      </c>
      <c r="H14" s="114" t="s">
        <v>893</v>
      </c>
      <c r="I14" s="114" t="s">
        <v>893</v>
      </c>
      <c r="J14" s="114" t="s">
        <v>893</v>
      </c>
      <c r="K14" s="114">
        <v>150000</v>
      </c>
      <c r="L14" s="114">
        <v>177514.79289940829</v>
      </c>
      <c r="M14" s="114" t="s">
        <v>894</v>
      </c>
      <c r="N14" s="114" t="s">
        <v>894</v>
      </c>
      <c r="O14" s="94" t="s">
        <v>1245</v>
      </c>
      <c r="P14" s="94" t="s">
        <v>1246</v>
      </c>
      <c r="Q14" s="94" t="s">
        <v>39</v>
      </c>
      <c r="R14" s="94" t="s">
        <v>1255</v>
      </c>
      <c r="S14" s="94" t="s">
        <v>679</v>
      </c>
      <c r="T14" s="94" t="s">
        <v>898</v>
      </c>
      <c r="U14" s="94" t="s">
        <v>43</v>
      </c>
      <c r="V14" s="94" t="s">
        <v>49</v>
      </c>
      <c r="W14" s="94" t="s">
        <v>51</v>
      </c>
      <c r="X14" s="95" t="s">
        <v>171</v>
      </c>
      <c r="Y14" s="95" t="s">
        <v>171</v>
      </c>
      <c r="Z14" s="95" t="s">
        <v>1247</v>
      </c>
    </row>
    <row r="15" spans="1:26" s="105" customFormat="1" ht="120" x14ac:dyDescent="0.25">
      <c r="A15" s="112"/>
      <c r="B15" s="95" t="s">
        <v>892</v>
      </c>
      <c r="C15" s="113" t="s">
        <v>893</v>
      </c>
      <c r="D15" s="114" t="s">
        <v>893</v>
      </c>
      <c r="E15" s="114" t="s">
        <v>893</v>
      </c>
      <c r="F15" s="114" t="s">
        <v>893</v>
      </c>
      <c r="G15" s="114" t="s">
        <v>893</v>
      </c>
      <c r="H15" s="114" t="s">
        <v>893</v>
      </c>
      <c r="I15" s="114" t="s">
        <v>893</v>
      </c>
      <c r="J15" s="114" t="s">
        <v>893</v>
      </c>
      <c r="K15" s="114">
        <v>500000</v>
      </c>
      <c r="L15" s="114">
        <v>591715.97633136099</v>
      </c>
      <c r="M15" s="114" t="s">
        <v>894</v>
      </c>
      <c r="N15" s="114" t="s">
        <v>894</v>
      </c>
      <c r="O15" s="94" t="s">
        <v>551</v>
      </c>
      <c r="P15" s="94" t="s">
        <v>1259</v>
      </c>
      <c r="Q15" s="94" t="s">
        <v>39</v>
      </c>
      <c r="R15" s="94" t="s">
        <v>1255</v>
      </c>
      <c r="S15" s="94" t="s">
        <v>46</v>
      </c>
      <c r="T15" s="94" t="s">
        <v>898</v>
      </c>
      <c r="U15" s="94" t="s">
        <v>43</v>
      </c>
      <c r="V15" s="94" t="s">
        <v>49</v>
      </c>
      <c r="W15" s="94" t="s">
        <v>51</v>
      </c>
      <c r="X15" s="95" t="s">
        <v>171</v>
      </c>
      <c r="Y15" s="95" t="s">
        <v>171</v>
      </c>
      <c r="Z15" s="95" t="s">
        <v>1260</v>
      </c>
    </row>
    <row r="16" spans="1:26" s="105" customFormat="1" ht="60" x14ac:dyDescent="0.25">
      <c r="A16" s="112"/>
      <c r="B16" s="95" t="s">
        <v>892</v>
      </c>
      <c r="C16" s="113" t="s">
        <v>893</v>
      </c>
      <c r="D16" s="114" t="s">
        <v>893</v>
      </c>
      <c r="E16" s="114" t="s">
        <v>893</v>
      </c>
      <c r="F16" s="114" t="s">
        <v>893</v>
      </c>
      <c r="G16" s="114" t="s">
        <v>893</v>
      </c>
      <c r="H16" s="114" t="s">
        <v>893</v>
      </c>
      <c r="I16" s="114" t="s">
        <v>893</v>
      </c>
      <c r="J16" s="114" t="s">
        <v>893</v>
      </c>
      <c r="K16" s="114">
        <v>71032500</v>
      </c>
      <c r="L16" s="114">
        <v>84062130.177514791</v>
      </c>
      <c r="M16" s="114" t="s">
        <v>894</v>
      </c>
      <c r="N16" s="114" t="s">
        <v>894</v>
      </c>
      <c r="O16" s="94" t="s">
        <v>61</v>
      </c>
      <c r="P16" s="94" t="s">
        <v>1261</v>
      </c>
      <c r="Q16" s="94" t="s">
        <v>39</v>
      </c>
      <c r="R16" s="94" t="s">
        <v>1255</v>
      </c>
      <c r="S16" s="94" t="s">
        <v>46</v>
      </c>
      <c r="T16" s="94" t="s">
        <v>898</v>
      </c>
      <c r="U16" s="94" t="s">
        <v>43</v>
      </c>
      <c r="V16" s="94" t="s">
        <v>50</v>
      </c>
      <c r="W16" s="94" t="s">
        <v>92</v>
      </c>
      <c r="X16" s="95" t="s">
        <v>171</v>
      </c>
      <c r="Y16" s="95" t="s">
        <v>171</v>
      </c>
      <c r="Z16" s="95" t="s">
        <v>1262</v>
      </c>
    </row>
    <row r="17" spans="1:26" s="105" customFormat="1" ht="204" x14ac:dyDescent="0.25">
      <c r="A17" s="112"/>
      <c r="B17" s="95" t="s">
        <v>892</v>
      </c>
      <c r="C17" s="113" t="s">
        <v>893</v>
      </c>
      <c r="D17" s="114" t="s">
        <v>893</v>
      </c>
      <c r="E17" s="114" t="s">
        <v>893</v>
      </c>
      <c r="F17" s="114" t="s">
        <v>893</v>
      </c>
      <c r="G17" s="114" t="s">
        <v>893</v>
      </c>
      <c r="H17" s="114" t="s">
        <v>893</v>
      </c>
      <c r="I17" s="114" t="s">
        <v>893</v>
      </c>
      <c r="J17" s="114" t="s">
        <v>893</v>
      </c>
      <c r="K17" s="114">
        <v>27300000</v>
      </c>
      <c r="L17" s="114">
        <v>32307692.307692308</v>
      </c>
      <c r="M17" s="114" t="s">
        <v>894</v>
      </c>
      <c r="N17" s="114" t="s">
        <v>894</v>
      </c>
      <c r="O17" s="94" t="s">
        <v>943</v>
      </c>
      <c r="P17" s="94" t="s">
        <v>1263</v>
      </c>
      <c r="Q17" s="94" t="s">
        <v>39</v>
      </c>
      <c r="R17" s="94" t="s">
        <v>1255</v>
      </c>
      <c r="S17" s="94" t="s">
        <v>46</v>
      </c>
      <c r="T17" s="94" t="s">
        <v>898</v>
      </c>
      <c r="U17" s="94" t="s">
        <v>43</v>
      </c>
      <c r="V17" s="94" t="s">
        <v>50</v>
      </c>
      <c r="W17" s="94" t="s">
        <v>92</v>
      </c>
      <c r="X17" s="95" t="s">
        <v>171</v>
      </c>
      <c r="Y17" s="95" t="s">
        <v>171</v>
      </c>
      <c r="Z17" s="95" t="s">
        <v>1264</v>
      </c>
    </row>
    <row r="18" spans="1:26" s="105" customFormat="1" ht="132" x14ac:dyDescent="0.25">
      <c r="A18" s="112"/>
      <c r="B18" s="95" t="s">
        <v>892</v>
      </c>
      <c r="C18" s="113" t="s">
        <v>893</v>
      </c>
      <c r="D18" s="114" t="s">
        <v>893</v>
      </c>
      <c r="E18" s="114" t="s">
        <v>893</v>
      </c>
      <c r="F18" s="114" t="s">
        <v>893</v>
      </c>
      <c r="G18" s="114" t="s">
        <v>893</v>
      </c>
      <c r="H18" s="114" t="s">
        <v>893</v>
      </c>
      <c r="I18" s="114" t="s">
        <v>893</v>
      </c>
      <c r="J18" s="114" t="s">
        <v>893</v>
      </c>
      <c r="K18" s="114">
        <v>46280713.564456999</v>
      </c>
      <c r="L18" s="114">
        <v>54770075.224209465</v>
      </c>
      <c r="M18" s="114" t="s">
        <v>894</v>
      </c>
      <c r="N18" s="114" t="s">
        <v>894</v>
      </c>
      <c r="O18" s="94" t="s">
        <v>1265</v>
      </c>
      <c r="P18" s="94" t="s">
        <v>1266</v>
      </c>
      <c r="Q18" s="94" t="s">
        <v>39</v>
      </c>
      <c r="R18" s="94" t="s">
        <v>1255</v>
      </c>
      <c r="S18" s="94" t="s">
        <v>46</v>
      </c>
      <c r="T18" s="94" t="s">
        <v>898</v>
      </c>
      <c r="U18" s="94" t="s">
        <v>62</v>
      </c>
      <c r="V18" s="94" t="s">
        <v>44</v>
      </c>
      <c r="W18" s="94" t="s">
        <v>45</v>
      </c>
      <c r="X18" s="95" t="s">
        <v>171</v>
      </c>
      <c r="Y18" s="95" t="s">
        <v>171</v>
      </c>
      <c r="Z18" s="95" t="s">
        <v>1267</v>
      </c>
    </row>
    <row r="19" spans="1:26" s="105" customFormat="1" ht="396" x14ac:dyDescent="0.25">
      <c r="A19" s="112"/>
      <c r="B19" s="95" t="s">
        <v>892</v>
      </c>
      <c r="C19" s="113" t="s">
        <v>893</v>
      </c>
      <c r="D19" s="114" t="s">
        <v>893</v>
      </c>
      <c r="E19" s="114" t="s">
        <v>893</v>
      </c>
      <c r="F19" s="114" t="s">
        <v>893</v>
      </c>
      <c r="G19" s="114" t="s">
        <v>893</v>
      </c>
      <c r="H19" s="114" t="s">
        <v>893</v>
      </c>
      <c r="I19" s="114" t="s">
        <v>893</v>
      </c>
      <c r="J19" s="114" t="s">
        <v>893</v>
      </c>
      <c r="K19" s="114">
        <v>30160000</v>
      </c>
      <c r="L19" s="114">
        <v>35692307.692307696</v>
      </c>
      <c r="M19" s="114" t="s">
        <v>894</v>
      </c>
      <c r="N19" s="114" t="s">
        <v>894</v>
      </c>
      <c r="O19" s="94" t="s">
        <v>789</v>
      </c>
      <c r="P19" s="94" t="s">
        <v>1268</v>
      </c>
      <c r="Q19" s="94" t="s">
        <v>39</v>
      </c>
      <c r="R19" s="94" t="s">
        <v>1255</v>
      </c>
      <c r="S19" s="94" t="s">
        <v>46</v>
      </c>
      <c r="T19" s="94" t="s">
        <v>898</v>
      </c>
      <c r="U19" s="94" t="s">
        <v>43</v>
      </c>
      <c r="V19" s="94" t="s">
        <v>50</v>
      </c>
      <c r="W19" s="94" t="s">
        <v>92</v>
      </c>
      <c r="X19" s="95" t="s">
        <v>171</v>
      </c>
      <c r="Y19" s="95" t="s">
        <v>171</v>
      </c>
      <c r="Z19" s="95" t="s">
        <v>1269</v>
      </c>
    </row>
    <row r="20" spans="1:26" s="105" customFormat="1" ht="72" x14ac:dyDescent="0.25">
      <c r="A20" s="112"/>
      <c r="B20" s="95" t="s">
        <v>892</v>
      </c>
      <c r="C20" s="113" t="s">
        <v>893</v>
      </c>
      <c r="D20" s="114" t="s">
        <v>893</v>
      </c>
      <c r="E20" s="114" t="s">
        <v>893</v>
      </c>
      <c r="F20" s="114" t="s">
        <v>893</v>
      </c>
      <c r="G20" s="114" t="s">
        <v>893</v>
      </c>
      <c r="H20" s="114" t="s">
        <v>893</v>
      </c>
      <c r="I20" s="114" t="s">
        <v>893</v>
      </c>
      <c r="J20" s="114" t="s">
        <v>893</v>
      </c>
      <c r="K20" s="114">
        <v>300000</v>
      </c>
      <c r="L20" s="114">
        <v>355029.58579881658</v>
      </c>
      <c r="M20" s="114" t="s">
        <v>894</v>
      </c>
      <c r="N20" s="114" t="s">
        <v>894</v>
      </c>
      <c r="O20" s="94" t="s">
        <v>237</v>
      </c>
      <c r="P20" s="94" t="s">
        <v>1097</v>
      </c>
      <c r="Q20" s="94" t="s">
        <v>39</v>
      </c>
      <c r="R20" s="94" t="s">
        <v>1255</v>
      </c>
      <c r="S20" s="94" t="s">
        <v>46</v>
      </c>
      <c r="T20" s="94" t="s">
        <v>898</v>
      </c>
      <c r="U20" s="94" t="s">
        <v>43</v>
      </c>
      <c r="V20" s="94" t="s">
        <v>63</v>
      </c>
      <c r="W20" s="94" t="s">
        <v>64</v>
      </c>
      <c r="X20" s="95" t="s">
        <v>171</v>
      </c>
      <c r="Y20" s="95" t="s">
        <v>171</v>
      </c>
      <c r="Z20" s="95" t="s">
        <v>1098</v>
      </c>
    </row>
    <row r="21" spans="1:26" s="105" customFormat="1" ht="108" x14ac:dyDescent="0.25">
      <c r="A21" s="112"/>
      <c r="B21" s="95" t="s">
        <v>892</v>
      </c>
      <c r="C21" s="113" t="s">
        <v>893</v>
      </c>
      <c r="D21" s="114" t="s">
        <v>893</v>
      </c>
      <c r="E21" s="114" t="s">
        <v>893</v>
      </c>
      <c r="F21" s="114" t="s">
        <v>893</v>
      </c>
      <c r="G21" s="114" t="s">
        <v>893</v>
      </c>
      <c r="H21" s="114" t="s">
        <v>893</v>
      </c>
      <c r="I21" s="114" t="s">
        <v>893</v>
      </c>
      <c r="J21" s="114" t="s">
        <v>893</v>
      </c>
      <c r="K21" s="114">
        <v>140000</v>
      </c>
      <c r="L21" s="114">
        <v>165680.47337278107</v>
      </c>
      <c r="M21" s="114" t="s">
        <v>894</v>
      </c>
      <c r="N21" s="114" t="s">
        <v>894</v>
      </c>
      <c r="O21" s="94" t="s">
        <v>1270</v>
      </c>
      <c r="P21" s="94" t="s">
        <v>1136</v>
      </c>
      <c r="Q21" s="94" t="s">
        <v>39</v>
      </c>
      <c r="R21" s="94" t="s">
        <v>1255</v>
      </c>
      <c r="S21" s="94" t="s">
        <v>46</v>
      </c>
      <c r="T21" s="94" t="s">
        <v>898</v>
      </c>
      <c r="U21" s="94" t="s">
        <v>43</v>
      </c>
      <c r="V21" s="94" t="s">
        <v>49</v>
      </c>
      <c r="W21" s="94" t="s">
        <v>51</v>
      </c>
      <c r="X21" s="95" t="s">
        <v>171</v>
      </c>
      <c r="Y21" s="95" t="s">
        <v>171</v>
      </c>
      <c r="Z21" s="95" t="s">
        <v>1271</v>
      </c>
    </row>
    <row r="22" spans="1:26" s="105" customFormat="1" ht="96" x14ac:dyDescent="0.25">
      <c r="A22" s="112"/>
      <c r="B22" s="95" t="s">
        <v>892</v>
      </c>
      <c r="C22" s="113" t="s">
        <v>893</v>
      </c>
      <c r="D22" s="114" t="s">
        <v>893</v>
      </c>
      <c r="E22" s="114" t="s">
        <v>893</v>
      </c>
      <c r="F22" s="114" t="s">
        <v>893</v>
      </c>
      <c r="G22" s="114" t="s">
        <v>893</v>
      </c>
      <c r="H22" s="114" t="s">
        <v>893</v>
      </c>
      <c r="I22" s="114" t="s">
        <v>893</v>
      </c>
      <c r="J22" s="114" t="s">
        <v>893</v>
      </c>
      <c r="K22" s="114">
        <v>7500000</v>
      </c>
      <c r="L22" s="114">
        <v>8875739.6449704152</v>
      </c>
      <c r="M22" s="114" t="s">
        <v>894</v>
      </c>
      <c r="N22" s="114" t="s">
        <v>894</v>
      </c>
      <c r="O22" s="94" t="s">
        <v>1119</v>
      </c>
      <c r="P22" s="94" t="s">
        <v>1120</v>
      </c>
      <c r="Q22" s="94" t="s">
        <v>39</v>
      </c>
      <c r="R22" s="94" t="s">
        <v>1255</v>
      </c>
      <c r="S22" s="94" t="s">
        <v>46</v>
      </c>
      <c r="T22" s="94" t="s">
        <v>913</v>
      </c>
      <c r="U22" s="94" t="s">
        <v>43</v>
      </c>
      <c r="V22" s="94" t="s">
        <v>193</v>
      </c>
      <c r="W22" s="94" t="s">
        <v>194</v>
      </c>
      <c r="X22" s="95" t="s">
        <v>171</v>
      </c>
      <c r="Y22" s="95" t="s">
        <v>171</v>
      </c>
      <c r="Z22" s="95" t="s">
        <v>1122</v>
      </c>
    </row>
    <row r="23" spans="1:26" s="105" customFormat="1" ht="120" x14ac:dyDescent="0.25">
      <c r="A23" s="112"/>
      <c r="B23" s="95" t="s">
        <v>892</v>
      </c>
      <c r="C23" s="113" t="s">
        <v>893</v>
      </c>
      <c r="D23" s="114" t="s">
        <v>893</v>
      </c>
      <c r="E23" s="114" t="s">
        <v>893</v>
      </c>
      <c r="F23" s="114" t="s">
        <v>893</v>
      </c>
      <c r="G23" s="114" t="s">
        <v>893</v>
      </c>
      <c r="H23" s="114" t="s">
        <v>893</v>
      </c>
      <c r="I23" s="114" t="s">
        <v>893</v>
      </c>
      <c r="J23" s="114" t="s">
        <v>893</v>
      </c>
      <c r="K23" s="114">
        <v>4831430.8468279997</v>
      </c>
      <c r="L23" s="114">
        <v>5717669.6412165677</v>
      </c>
      <c r="M23" s="114" t="s">
        <v>894</v>
      </c>
      <c r="N23" s="114" t="s">
        <v>894</v>
      </c>
      <c r="O23" s="94" t="s">
        <v>973</v>
      </c>
      <c r="P23" s="94" t="s">
        <v>1272</v>
      </c>
      <c r="Q23" s="94" t="s">
        <v>39</v>
      </c>
      <c r="R23" s="94" t="s">
        <v>1255</v>
      </c>
      <c r="S23" s="94" t="s">
        <v>46</v>
      </c>
      <c r="T23" s="94" t="s">
        <v>913</v>
      </c>
      <c r="U23" s="94" t="s">
        <v>49</v>
      </c>
      <c r="V23" s="94" t="s">
        <v>49</v>
      </c>
      <c r="W23" s="94" t="s">
        <v>51</v>
      </c>
      <c r="X23" s="95" t="s">
        <v>171</v>
      </c>
      <c r="Y23" s="95" t="s">
        <v>171</v>
      </c>
      <c r="Z23" s="95" t="s">
        <v>1273</v>
      </c>
    </row>
    <row r="24" spans="1:26" s="105" customFormat="1" ht="120" x14ac:dyDescent="0.25">
      <c r="A24" s="112"/>
      <c r="B24" s="95" t="s">
        <v>892</v>
      </c>
      <c r="C24" s="113" t="s">
        <v>893</v>
      </c>
      <c r="D24" s="114" t="s">
        <v>893</v>
      </c>
      <c r="E24" s="114" t="s">
        <v>893</v>
      </c>
      <c r="F24" s="114" t="s">
        <v>893</v>
      </c>
      <c r="G24" s="114" t="s">
        <v>893</v>
      </c>
      <c r="H24" s="114" t="s">
        <v>893</v>
      </c>
      <c r="I24" s="114" t="s">
        <v>893</v>
      </c>
      <c r="J24" s="114" t="s">
        <v>893</v>
      </c>
      <c r="K24" s="114">
        <v>2070613.2200690005</v>
      </c>
      <c r="L24" s="114">
        <v>2450429.8462355034</v>
      </c>
      <c r="M24" s="114" t="s">
        <v>894</v>
      </c>
      <c r="N24" s="114" t="s">
        <v>894</v>
      </c>
      <c r="O24" s="94" t="s">
        <v>1051</v>
      </c>
      <c r="P24" s="94" t="s">
        <v>1272</v>
      </c>
      <c r="Q24" s="94" t="s">
        <v>39</v>
      </c>
      <c r="R24" s="94" t="s">
        <v>1255</v>
      </c>
      <c r="S24" s="94" t="s">
        <v>46</v>
      </c>
      <c r="T24" s="94" t="s">
        <v>913</v>
      </c>
      <c r="U24" s="94" t="s">
        <v>49</v>
      </c>
      <c r="V24" s="94" t="s">
        <v>49</v>
      </c>
      <c r="W24" s="94" t="s">
        <v>51</v>
      </c>
      <c r="X24" s="95" t="s">
        <v>171</v>
      </c>
      <c r="Y24" s="95" t="s">
        <v>171</v>
      </c>
      <c r="Z24" s="95" t="s">
        <v>1273</v>
      </c>
    </row>
    <row r="25" spans="1:26" s="105" customFormat="1" ht="84" x14ac:dyDescent="0.25">
      <c r="A25" s="112"/>
      <c r="B25" s="95" t="s">
        <v>892</v>
      </c>
      <c r="C25" s="113" t="s">
        <v>893</v>
      </c>
      <c r="D25" s="114" t="s">
        <v>893</v>
      </c>
      <c r="E25" s="114" t="s">
        <v>893</v>
      </c>
      <c r="F25" s="114" t="s">
        <v>893</v>
      </c>
      <c r="G25" s="114" t="s">
        <v>893</v>
      </c>
      <c r="H25" s="114" t="s">
        <v>893</v>
      </c>
      <c r="I25" s="114" t="s">
        <v>893</v>
      </c>
      <c r="J25" s="114" t="s">
        <v>893</v>
      </c>
      <c r="K25" s="114">
        <v>66271980.206768006</v>
      </c>
      <c r="L25" s="114">
        <v>78428378.942920715</v>
      </c>
      <c r="M25" s="114" t="s">
        <v>894</v>
      </c>
      <c r="N25" s="114" t="s">
        <v>894</v>
      </c>
      <c r="O25" s="94" t="s">
        <v>1274</v>
      </c>
      <c r="P25" s="94" t="s">
        <v>1275</v>
      </c>
      <c r="Q25" s="94" t="s">
        <v>39</v>
      </c>
      <c r="R25" s="94" t="s">
        <v>1255</v>
      </c>
      <c r="S25" s="94" t="s">
        <v>46</v>
      </c>
      <c r="T25" s="94" t="s">
        <v>898</v>
      </c>
      <c r="U25" s="94" t="s">
        <v>43</v>
      </c>
      <c r="V25" s="94" t="s">
        <v>44</v>
      </c>
      <c r="W25" s="94" t="s">
        <v>45</v>
      </c>
      <c r="X25" s="95" t="s">
        <v>171</v>
      </c>
      <c r="Y25" s="95" t="s">
        <v>171</v>
      </c>
      <c r="Z25" s="95" t="s">
        <v>1276</v>
      </c>
    </row>
    <row r="26" spans="1:26" s="105" customFormat="1" ht="60" x14ac:dyDescent="0.25">
      <c r="A26" s="112"/>
      <c r="B26" s="95" t="s">
        <v>892</v>
      </c>
      <c r="C26" s="113" t="s">
        <v>893</v>
      </c>
      <c r="D26" s="114" t="s">
        <v>893</v>
      </c>
      <c r="E26" s="114" t="s">
        <v>893</v>
      </c>
      <c r="F26" s="114" t="s">
        <v>893</v>
      </c>
      <c r="G26" s="114" t="s">
        <v>893</v>
      </c>
      <c r="H26" s="114" t="s">
        <v>893</v>
      </c>
      <c r="I26" s="114" t="s">
        <v>893</v>
      </c>
      <c r="J26" s="114" t="s">
        <v>893</v>
      </c>
      <c r="K26" s="114">
        <v>16335000</v>
      </c>
      <c r="L26" s="114">
        <v>19331360.946745563</v>
      </c>
      <c r="M26" s="114" t="s">
        <v>894</v>
      </c>
      <c r="N26" s="114" t="s">
        <v>894</v>
      </c>
      <c r="O26" s="94" t="s">
        <v>298</v>
      </c>
      <c r="P26" s="94" t="s">
        <v>1277</v>
      </c>
      <c r="Q26" s="94" t="s">
        <v>39</v>
      </c>
      <c r="R26" s="94" t="s">
        <v>1255</v>
      </c>
      <c r="S26" s="94" t="s">
        <v>46</v>
      </c>
      <c r="T26" s="94" t="s">
        <v>898</v>
      </c>
      <c r="U26" s="94" t="s">
        <v>43</v>
      </c>
      <c r="V26" s="94" t="s">
        <v>44</v>
      </c>
      <c r="W26" s="94" t="s">
        <v>45</v>
      </c>
      <c r="X26" s="95" t="s">
        <v>171</v>
      </c>
      <c r="Y26" s="95" t="s">
        <v>171</v>
      </c>
      <c r="Z26" s="95" t="s">
        <v>1278</v>
      </c>
    </row>
    <row r="27" spans="1:26" s="105" customFormat="1" ht="60" x14ac:dyDescent="0.25">
      <c r="A27" s="112"/>
      <c r="B27" s="95" t="s">
        <v>892</v>
      </c>
      <c r="C27" s="113" t="s">
        <v>893</v>
      </c>
      <c r="D27" s="114" t="s">
        <v>893</v>
      </c>
      <c r="E27" s="114" t="s">
        <v>893</v>
      </c>
      <c r="F27" s="114" t="s">
        <v>893</v>
      </c>
      <c r="G27" s="114" t="s">
        <v>893</v>
      </c>
      <c r="H27" s="114" t="s">
        <v>893</v>
      </c>
      <c r="I27" s="114" t="s">
        <v>893</v>
      </c>
      <c r="J27" s="114" t="s">
        <v>893</v>
      </c>
      <c r="K27" s="114">
        <v>70207900</v>
      </c>
      <c r="L27" s="114">
        <v>83086272.189349115</v>
      </c>
      <c r="M27" s="114" t="s">
        <v>894</v>
      </c>
      <c r="N27" s="114" t="s">
        <v>894</v>
      </c>
      <c r="O27" s="94" t="s">
        <v>262</v>
      </c>
      <c r="P27" s="94" t="s">
        <v>1279</v>
      </c>
      <c r="Q27" s="94" t="s">
        <v>39</v>
      </c>
      <c r="R27" s="94" t="s">
        <v>1255</v>
      </c>
      <c r="S27" s="94" t="s">
        <v>46</v>
      </c>
      <c r="T27" s="94" t="s">
        <v>898</v>
      </c>
      <c r="U27" s="94" t="s">
        <v>62</v>
      </c>
      <c r="V27" s="94" t="s">
        <v>44</v>
      </c>
      <c r="W27" s="94" t="s">
        <v>45</v>
      </c>
      <c r="X27" s="95" t="s">
        <v>171</v>
      </c>
      <c r="Y27" s="95" t="s">
        <v>171</v>
      </c>
      <c r="Z27" s="95" t="s">
        <v>1280</v>
      </c>
    </row>
    <row r="28" spans="1:26" s="105" customFormat="1" ht="72" x14ac:dyDescent="0.25">
      <c r="A28" s="112"/>
      <c r="B28" s="95" t="s">
        <v>892</v>
      </c>
      <c r="C28" s="113" t="s">
        <v>893</v>
      </c>
      <c r="D28" s="114" t="s">
        <v>893</v>
      </c>
      <c r="E28" s="114" t="s">
        <v>893</v>
      </c>
      <c r="F28" s="114" t="s">
        <v>893</v>
      </c>
      <c r="G28" s="114" t="s">
        <v>893</v>
      </c>
      <c r="H28" s="114" t="s">
        <v>893</v>
      </c>
      <c r="I28" s="114" t="s">
        <v>893</v>
      </c>
      <c r="J28" s="114" t="s">
        <v>893</v>
      </c>
      <c r="K28" s="114">
        <v>25395982.656402003</v>
      </c>
      <c r="L28" s="114">
        <v>30054417.344854441</v>
      </c>
      <c r="M28" s="114" t="s">
        <v>894</v>
      </c>
      <c r="N28" s="114" t="s">
        <v>894</v>
      </c>
      <c r="O28" s="94" t="s">
        <v>789</v>
      </c>
      <c r="P28" s="94" t="s">
        <v>1281</v>
      </c>
      <c r="Q28" s="94" t="s">
        <v>39</v>
      </c>
      <c r="R28" s="94" t="s">
        <v>1255</v>
      </c>
      <c r="S28" s="94" t="s">
        <v>46</v>
      </c>
      <c r="T28" s="94" t="s">
        <v>898</v>
      </c>
      <c r="U28" s="94" t="s">
        <v>49</v>
      </c>
      <c r="V28" s="94" t="s">
        <v>63</v>
      </c>
      <c r="W28" s="94" t="s">
        <v>64</v>
      </c>
      <c r="X28" s="95" t="s">
        <v>171</v>
      </c>
      <c r="Y28" s="95" t="s">
        <v>171</v>
      </c>
      <c r="Z28" s="95" t="s">
        <v>1282</v>
      </c>
    </row>
    <row r="29" spans="1:26" s="105" customFormat="1" ht="108" x14ac:dyDescent="0.25">
      <c r="A29" s="112"/>
      <c r="B29" s="95" t="s">
        <v>892</v>
      </c>
      <c r="C29" s="113" t="s">
        <v>893</v>
      </c>
      <c r="D29" s="114" t="s">
        <v>893</v>
      </c>
      <c r="E29" s="114" t="s">
        <v>893</v>
      </c>
      <c r="F29" s="114" t="s">
        <v>893</v>
      </c>
      <c r="G29" s="114" t="s">
        <v>893</v>
      </c>
      <c r="H29" s="114" t="s">
        <v>893</v>
      </c>
      <c r="I29" s="114" t="s">
        <v>893</v>
      </c>
      <c r="J29" s="114" t="s">
        <v>893</v>
      </c>
      <c r="K29" s="114">
        <v>10400000</v>
      </c>
      <c r="L29" s="114">
        <v>12307692.307692308</v>
      </c>
      <c r="M29" s="114" t="s">
        <v>894</v>
      </c>
      <c r="N29" s="114" t="s">
        <v>894</v>
      </c>
      <c r="O29" s="94" t="s">
        <v>438</v>
      </c>
      <c r="P29" s="94" t="s">
        <v>1283</v>
      </c>
      <c r="Q29" s="94" t="s">
        <v>39</v>
      </c>
      <c r="R29" s="94" t="s">
        <v>1255</v>
      </c>
      <c r="S29" s="94" t="s">
        <v>46</v>
      </c>
      <c r="T29" s="94" t="s">
        <v>898</v>
      </c>
      <c r="U29" s="94" t="s">
        <v>62</v>
      </c>
      <c r="V29" s="94" t="s">
        <v>44</v>
      </c>
      <c r="W29" s="94" t="s">
        <v>45</v>
      </c>
      <c r="X29" s="95" t="s">
        <v>171</v>
      </c>
      <c r="Y29" s="95" t="s">
        <v>171</v>
      </c>
      <c r="Z29" s="95" t="s">
        <v>1284</v>
      </c>
    </row>
    <row r="30" spans="1:26" s="105" customFormat="1" ht="168" x14ac:dyDescent="0.25">
      <c r="A30" s="112"/>
      <c r="B30" s="95" t="s">
        <v>892</v>
      </c>
      <c r="C30" s="113" t="s">
        <v>893</v>
      </c>
      <c r="D30" s="114" t="s">
        <v>893</v>
      </c>
      <c r="E30" s="114" t="s">
        <v>893</v>
      </c>
      <c r="F30" s="114" t="s">
        <v>893</v>
      </c>
      <c r="G30" s="114" t="s">
        <v>893</v>
      </c>
      <c r="H30" s="114" t="s">
        <v>893</v>
      </c>
      <c r="I30" s="114" t="s">
        <v>893</v>
      </c>
      <c r="J30" s="114" t="s">
        <v>893</v>
      </c>
      <c r="K30" s="114">
        <v>81300000</v>
      </c>
      <c r="L30" s="114">
        <v>96213017.751479298</v>
      </c>
      <c r="M30" s="114" t="s">
        <v>894</v>
      </c>
      <c r="N30" s="114" t="s">
        <v>894</v>
      </c>
      <c r="O30" s="94" t="s">
        <v>198</v>
      </c>
      <c r="P30" s="94" t="s">
        <v>1285</v>
      </c>
      <c r="Q30" s="94" t="s">
        <v>39</v>
      </c>
      <c r="R30" s="94" t="s">
        <v>1255</v>
      </c>
      <c r="S30" s="94" t="s">
        <v>46</v>
      </c>
      <c r="T30" s="94" t="s">
        <v>898</v>
      </c>
      <c r="U30" s="94" t="s">
        <v>43</v>
      </c>
      <c r="V30" s="94" t="s">
        <v>193</v>
      </c>
      <c r="W30" s="94" t="s">
        <v>194</v>
      </c>
      <c r="X30" s="95" t="s">
        <v>171</v>
      </c>
      <c r="Y30" s="95" t="s">
        <v>171</v>
      </c>
      <c r="Z30" s="95" t="s">
        <v>1286</v>
      </c>
    </row>
    <row r="31" spans="1:26" s="105" customFormat="1" ht="84" x14ac:dyDescent="0.25">
      <c r="A31" s="112"/>
      <c r="B31" s="95" t="s">
        <v>892</v>
      </c>
      <c r="C31" s="113" t="s">
        <v>893</v>
      </c>
      <c r="D31" s="114" t="s">
        <v>893</v>
      </c>
      <c r="E31" s="114" t="s">
        <v>893</v>
      </c>
      <c r="F31" s="114" t="s">
        <v>893</v>
      </c>
      <c r="G31" s="114" t="s">
        <v>893</v>
      </c>
      <c r="H31" s="114" t="s">
        <v>893</v>
      </c>
      <c r="I31" s="114" t="s">
        <v>893</v>
      </c>
      <c r="J31" s="114" t="s">
        <v>893</v>
      </c>
      <c r="K31" s="114">
        <v>1003870.7505889999</v>
      </c>
      <c r="L31" s="114">
        <v>1188012.7225905326</v>
      </c>
      <c r="M31" s="114" t="s">
        <v>894</v>
      </c>
      <c r="N31" s="114" t="s">
        <v>894</v>
      </c>
      <c r="O31" s="94" t="s">
        <v>262</v>
      </c>
      <c r="P31" s="94" t="s">
        <v>1162</v>
      </c>
      <c r="Q31" s="94" t="s">
        <v>39</v>
      </c>
      <c r="R31" s="94" t="s">
        <v>1255</v>
      </c>
      <c r="S31" s="94" t="s">
        <v>41</v>
      </c>
      <c r="T31" s="94" t="s">
        <v>898</v>
      </c>
      <c r="U31" s="94" t="s">
        <v>43</v>
      </c>
      <c r="V31" s="94" t="s">
        <v>49</v>
      </c>
      <c r="W31" s="94" t="s">
        <v>51</v>
      </c>
      <c r="X31" s="95" t="s">
        <v>171</v>
      </c>
      <c r="Y31" s="95" t="s">
        <v>171</v>
      </c>
      <c r="Z31" s="95" t="s">
        <v>1163</v>
      </c>
    </row>
    <row r="32" spans="1:26" s="105" customFormat="1" ht="60" x14ac:dyDescent="0.25">
      <c r="A32" s="112"/>
      <c r="B32" s="95" t="s">
        <v>892</v>
      </c>
      <c r="C32" s="113" t="s">
        <v>893</v>
      </c>
      <c r="D32" s="114" t="s">
        <v>893</v>
      </c>
      <c r="E32" s="114" t="s">
        <v>893</v>
      </c>
      <c r="F32" s="114" t="s">
        <v>893</v>
      </c>
      <c r="G32" s="114" t="s">
        <v>893</v>
      </c>
      <c r="H32" s="114" t="s">
        <v>893</v>
      </c>
      <c r="I32" s="114" t="s">
        <v>893</v>
      </c>
      <c r="J32" s="114" t="s">
        <v>893</v>
      </c>
      <c r="K32" s="114">
        <v>17600985.655197002</v>
      </c>
      <c r="L32" s="114">
        <v>20829568.822718345</v>
      </c>
      <c r="M32" s="114" t="s">
        <v>894</v>
      </c>
      <c r="N32" s="114" t="s">
        <v>894</v>
      </c>
      <c r="O32" s="94" t="s">
        <v>1079</v>
      </c>
      <c r="P32" s="94" t="s">
        <v>1287</v>
      </c>
      <c r="Q32" s="94" t="s">
        <v>39</v>
      </c>
      <c r="R32" s="94" t="s">
        <v>1255</v>
      </c>
      <c r="S32" s="94" t="s">
        <v>46</v>
      </c>
      <c r="T32" s="94" t="s">
        <v>50</v>
      </c>
      <c r="U32" s="94" t="s">
        <v>62</v>
      </c>
      <c r="V32" s="94" t="s">
        <v>50</v>
      </c>
      <c r="W32" s="94" t="s">
        <v>350</v>
      </c>
      <c r="X32" s="95" t="s">
        <v>171</v>
      </c>
      <c r="Y32" s="95" t="s">
        <v>171</v>
      </c>
      <c r="Z32" s="95" t="s">
        <v>1288</v>
      </c>
    </row>
    <row r="33" spans="1:26" s="105" customFormat="1" ht="60" x14ac:dyDescent="0.25">
      <c r="A33" s="112"/>
      <c r="B33" s="95" t="s">
        <v>892</v>
      </c>
      <c r="C33" s="113" t="s">
        <v>893</v>
      </c>
      <c r="D33" s="114" t="s">
        <v>893</v>
      </c>
      <c r="E33" s="114" t="s">
        <v>893</v>
      </c>
      <c r="F33" s="114" t="s">
        <v>893</v>
      </c>
      <c r="G33" s="114" t="s">
        <v>893</v>
      </c>
      <c r="H33" s="114" t="s">
        <v>893</v>
      </c>
      <c r="I33" s="114" t="s">
        <v>893</v>
      </c>
      <c r="J33" s="114" t="s">
        <v>893</v>
      </c>
      <c r="K33" s="114">
        <v>250000</v>
      </c>
      <c r="L33" s="114">
        <v>295857.98816568049</v>
      </c>
      <c r="M33" s="114" t="s">
        <v>894</v>
      </c>
      <c r="N33" s="114" t="s">
        <v>894</v>
      </c>
      <c r="O33" s="94" t="s">
        <v>265</v>
      </c>
      <c r="P33" s="94" t="s">
        <v>1289</v>
      </c>
      <c r="Q33" s="94" t="s">
        <v>39</v>
      </c>
      <c r="R33" s="94" t="s">
        <v>1255</v>
      </c>
      <c r="S33" s="94" t="s">
        <v>46</v>
      </c>
      <c r="T33" s="94" t="s">
        <v>898</v>
      </c>
      <c r="U33" s="94" t="s">
        <v>43</v>
      </c>
      <c r="V33" s="94" t="s">
        <v>63</v>
      </c>
      <c r="W33" s="94" t="s">
        <v>64</v>
      </c>
      <c r="X33" s="95" t="s">
        <v>171</v>
      </c>
      <c r="Y33" s="95" t="s">
        <v>171</v>
      </c>
      <c r="Z33" s="95" t="s">
        <v>1290</v>
      </c>
    </row>
    <row r="34" spans="1:26" s="105" customFormat="1" ht="108" x14ac:dyDescent="0.25">
      <c r="A34" s="112"/>
      <c r="B34" s="95" t="s">
        <v>892</v>
      </c>
      <c r="C34" s="113" t="s">
        <v>893</v>
      </c>
      <c r="D34" s="114" t="s">
        <v>893</v>
      </c>
      <c r="E34" s="114" t="s">
        <v>893</v>
      </c>
      <c r="F34" s="114" t="s">
        <v>893</v>
      </c>
      <c r="G34" s="114" t="s">
        <v>893</v>
      </c>
      <c r="H34" s="114" t="s">
        <v>893</v>
      </c>
      <c r="I34" s="114" t="s">
        <v>893</v>
      </c>
      <c r="J34" s="114" t="s">
        <v>893</v>
      </c>
      <c r="K34" s="114">
        <v>300000</v>
      </c>
      <c r="L34" s="114">
        <v>355029.58579881658</v>
      </c>
      <c r="M34" s="114" t="s">
        <v>894</v>
      </c>
      <c r="N34" s="114" t="s">
        <v>894</v>
      </c>
      <c r="O34" s="94" t="s">
        <v>551</v>
      </c>
      <c r="P34" s="94" t="s">
        <v>1166</v>
      </c>
      <c r="Q34" s="94" t="s">
        <v>39</v>
      </c>
      <c r="R34" s="94" t="s">
        <v>1255</v>
      </c>
      <c r="S34" s="94" t="s">
        <v>41</v>
      </c>
      <c r="T34" s="94" t="s">
        <v>898</v>
      </c>
      <c r="U34" s="94" t="s">
        <v>43</v>
      </c>
      <c r="V34" s="94" t="s">
        <v>49</v>
      </c>
      <c r="W34" s="94" t="s">
        <v>51</v>
      </c>
      <c r="X34" s="95" t="s">
        <v>171</v>
      </c>
      <c r="Y34" s="95" t="s">
        <v>171</v>
      </c>
      <c r="Z34" s="95" t="s">
        <v>1167</v>
      </c>
    </row>
    <row r="35" spans="1:26" s="105" customFormat="1" ht="180" x14ac:dyDescent="0.25">
      <c r="A35" s="112"/>
      <c r="B35" s="95" t="s">
        <v>892</v>
      </c>
      <c r="C35" s="113" t="s">
        <v>893</v>
      </c>
      <c r="D35" s="114" t="s">
        <v>893</v>
      </c>
      <c r="E35" s="114" t="s">
        <v>893</v>
      </c>
      <c r="F35" s="114" t="s">
        <v>893</v>
      </c>
      <c r="G35" s="114" t="s">
        <v>893</v>
      </c>
      <c r="H35" s="114" t="s">
        <v>893</v>
      </c>
      <c r="I35" s="114" t="s">
        <v>893</v>
      </c>
      <c r="J35" s="114" t="s">
        <v>893</v>
      </c>
      <c r="K35" s="114">
        <v>10000000</v>
      </c>
      <c r="L35" s="114">
        <v>11834319.52662722</v>
      </c>
      <c r="M35" s="114" t="s">
        <v>894</v>
      </c>
      <c r="N35" s="114" t="s">
        <v>894</v>
      </c>
      <c r="O35" s="94" t="s">
        <v>425</v>
      </c>
      <c r="P35" s="94" t="s">
        <v>1291</v>
      </c>
      <c r="Q35" s="94" t="s">
        <v>39</v>
      </c>
      <c r="R35" s="94" t="s">
        <v>1255</v>
      </c>
      <c r="S35" s="94" t="s">
        <v>46</v>
      </c>
      <c r="T35" s="94" t="s">
        <v>898</v>
      </c>
      <c r="U35" s="94" t="s">
        <v>43</v>
      </c>
      <c r="V35" s="94" t="s">
        <v>44</v>
      </c>
      <c r="W35" s="94" t="s">
        <v>45</v>
      </c>
      <c r="X35" s="95" t="s">
        <v>171</v>
      </c>
      <c r="Y35" s="95" t="s">
        <v>171</v>
      </c>
      <c r="Z35" s="95" t="s">
        <v>1292</v>
      </c>
    </row>
    <row r="36" spans="1:26" s="105" customFormat="1" ht="60" x14ac:dyDescent="0.25">
      <c r="A36" s="112"/>
      <c r="B36" s="95" t="s">
        <v>892</v>
      </c>
      <c r="C36" s="113" t="s">
        <v>893</v>
      </c>
      <c r="D36" s="114" t="s">
        <v>893</v>
      </c>
      <c r="E36" s="114" t="s">
        <v>893</v>
      </c>
      <c r="F36" s="114" t="s">
        <v>893</v>
      </c>
      <c r="G36" s="114" t="s">
        <v>893</v>
      </c>
      <c r="H36" s="114" t="s">
        <v>893</v>
      </c>
      <c r="I36" s="114" t="s">
        <v>893</v>
      </c>
      <c r="J36" s="114" t="s">
        <v>893</v>
      </c>
      <c r="K36" s="114">
        <v>29200000</v>
      </c>
      <c r="L36" s="114">
        <v>34556213.017751478</v>
      </c>
      <c r="M36" s="114" t="s">
        <v>894</v>
      </c>
      <c r="N36" s="114" t="s">
        <v>894</v>
      </c>
      <c r="O36" s="94" t="s">
        <v>551</v>
      </c>
      <c r="P36" s="94" t="s">
        <v>1293</v>
      </c>
      <c r="Q36" s="94" t="s">
        <v>39</v>
      </c>
      <c r="R36" s="94" t="s">
        <v>1255</v>
      </c>
      <c r="S36" s="94" t="s">
        <v>46</v>
      </c>
      <c r="T36" s="94" t="s">
        <v>898</v>
      </c>
      <c r="U36" s="94" t="s">
        <v>43</v>
      </c>
      <c r="V36" s="94" t="s">
        <v>54</v>
      </c>
      <c r="W36" s="94" t="s">
        <v>55</v>
      </c>
      <c r="X36" s="95" t="s">
        <v>171</v>
      </c>
      <c r="Y36" s="95" t="s">
        <v>171</v>
      </c>
      <c r="Z36" s="95" t="s">
        <v>1294</v>
      </c>
    </row>
    <row r="37" spans="1:26" s="105" customFormat="1" ht="60" x14ac:dyDescent="0.25">
      <c r="A37" s="112"/>
      <c r="B37" s="95" t="s">
        <v>892</v>
      </c>
      <c r="C37" s="113" t="s">
        <v>893</v>
      </c>
      <c r="D37" s="114" t="s">
        <v>893</v>
      </c>
      <c r="E37" s="114" t="s">
        <v>893</v>
      </c>
      <c r="F37" s="114" t="s">
        <v>893</v>
      </c>
      <c r="G37" s="114" t="s">
        <v>893</v>
      </c>
      <c r="H37" s="114" t="s">
        <v>893</v>
      </c>
      <c r="I37" s="114" t="s">
        <v>893</v>
      </c>
      <c r="J37" s="114" t="s">
        <v>893</v>
      </c>
      <c r="K37" s="114">
        <v>42488331</v>
      </c>
      <c r="L37" s="114">
        <v>50282048.520710059</v>
      </c>
      <c r="M37" s="114" t="s">
        <v>894</v>
      </c>
      <c r="N37" s="114" t="s">
        <v>894</v>
      </c>
      <c r="O37" s="94" t="s">
        <v>366</v>
      </c>
      <c r="P37" s="94" t="s">
        <v>1170</v>
      </c>
      <c r="Q37" s="94" t="s">
        <v>39</v>
      </c>
      <c r="R37" s="94" t="s">
        <v>1255</v>
      </c>
      <c r="S37" s="94" t="s">
        <v>41</v>
      </c>
      <c r="T37" s="94" t="s">
        <v>898</v>
      </c>
      <c r="U37" s="94" t="s">
        <v>43</v>
      </c>
      <c r="V37" s="94" t="s">
        <v>193</v>
      </c>
      <c r="W37" s="94" t="s">
        <v>194</v>
      </c>
      <c r="X37" s="95" t="s">
        <v>171</v>
      </c>
      <c r="Y37" s="95" t="s">
        <v>171</v>
      </c>
      <c r="Z37" s="95" t="s">
        <v>1171</v>
      </c>
    </row>
    <row r="38" spans="1:26" s="105" customFormat="1" ht="180" x14ac:dyDescent="0.25">
      <c r="A38" s="112"/>
      <c r="B38" s="95" t="s">
        <v>892</v>
      </c>
      <c r="C38" s="113" t="s">
        <v>893</v>
      </c>
      <c r="D38" s="114" t="s">
        <v>893</v>
      </c>
      <c r="E38" s="114" t="s">
        <v>893</v>
      </c>
      <c r="F38" s="114" t="s">
        <v>893</v>
      </c>
      <c r="G38" s="114" t="s">
        <v>893</v>
      </c>
      <c r="H38" s="114" t="s">
        <v>893</v>
      </c>
      <c r="I38" s="114" t="s">
        <v>893</v>
      </c>
      <c r="J38" s="114" t="s">
        <v>893</v>
      </c>
      <c r="K38" s="114">
        <v>6935000</v>
      </c>
      <c r="L38" s="114">
        <v>8207100.5917159766</v>
      </c>
      <c r="M38" s="114" t="s">
        <v>894</v>
      </c>
      <c r="N38" s="114" t="s">
        <v>894</v>
      </c>
      <c r="O38" s="94" t="s">
        <v>597</v>
      </c>
      <c r="P38" s="94" t="s">
        <v>1174</v>
      </c>
      <c r="Q38" s="94" t="s">
        <v>39</v>
      </c>
      <c r="R38" s="94" t="s">
        <v>1255</v>
      </c>
      <c r="S38" s="94" t="s">
        <v>46</v>
      </c>
      <c r="T38" s="94" t="s">
        <v>898</v>
      </c>
      <c r="U38" s="94" t="s">
        <v>43</v>
      </c>
      <c r="V38" s="94" t="s">
        <v>49</v>
      </c>
      <c r="W38" s="94" t="s">
        <v>51</v>
      </c>
      <c r="X38" s="95" t="s">
        <v>171</v>
      </c>
      <c r="Y38" s="95" t="s">
        <v>171</v>
      </c>
      <c r="Z38" s="95" t="s">
        <v>1295</v>
      </c>
    </row>
    <row r="39" spans="1:26" s="105" customFormat="1" ht="60" x14ac:dyDescent="0.25">
      <c r="A39" s="112"/>
      <c r="B39" s="95" t="s">
        <v>892</v>
      </c>
      <c r="C39" s="113" t="s">
        <v>893</v>
      </c>
      <c r="D39" s="114" t="s">
        <v>893</v>
      </c>
      <c r="E39" s="114" t="s">
        <v>893</v>
      </c>
      <c r="F39" s="114" t="s">
        <v>893</v>
      </c>
      <c r="G39" s="114" t="s">
        <v>893</v>
      </c>
      <c r="H39" s="114" t="s">
        <v>893</v>
      </c>
      <c r="I39" s="114" t="s">
        <v>893</v>
      </c>
      <c r="J39" s="114" t="s">
        <v>893</v>
      </c>
      <c r="K39" s="114">
        <v>280000</v>
      </c>
      <c r="L39" s="114">
        <v>331360.94674556213</v>
      </c>
      <c r="M39" s="114" t="s">
        <v>894</v>
      </c>
      <c r="N39" s="114" t="s">
        <v>894</v>
      </c>
      <c r="O39" s="94" t="s">
        <v>61</v>
      </c>
      <c r="P39" s="94" t="s">
        <v>1178</v>
      </c>
      <c r="Q39" s="94" t="s">
        <v>39</v>
      </c>
      <c r="R39" s="94" t="s">
        <v>1255</v>
      </c>
      <c r="S39" s="94" t="s">
        <v>41</v>
      </c>
      <c r="T39" s="94" t="s">
        <v>898</v>
      </c>
      <c r="U39" s="94" t="s">
        <v>43</v>
      </c>
      <c r="V39" s="94" t="s">
        <v>49</v>
      </c>
      <c r="W39" s="94" t="s">
        <v>51</v>
      </c>
      <c r="X39" s="95" t="s">
        <v>171</v>
      </c>
      <c r="Y39" s="95" t="s">
        <v>171</v>
      </c>
      <c r="Z39" s="95" t="s">
        <v>1179</v>
      </c>
    </row>
    <row r="40" spans="1:26" s="105" customFormat="1" ht="96" x14ac:dyDescent="0.25">
      <c r="A40" s="112"/>
      <c r="B40" s="95" t="s">
        <v>892</v>
      </c>
      <c r="C40" s="113" t="s">
        <v>893</v>
      </c>
      <c r="D40" s="114" t="s">
        <v>893</v>
      </c>
      <c r="E40" s="114" t="s">
        <v>893</v>
      </c>
      <c r="F40" s="114" t="s">
        <v>893</v>
      </c>
      <c r="G40" s="114" t="s">
        <v>893</v>
      </c>
      <c r="H40" s="114" t="s">
        <v>893</v>
      </c>
      <c r="I40" s="114" t="s">
        <v>893</v>
      </c>
      <c r="J40" s="114" t="s">
        <v>893</v>
      </c>
      <c r="K40" s="114">
        <v>3225000</v>
      </c>
      <c r="L40" s="114">
        <v>3816568.0473372783</v>
      </c>
      <c r="M40" s="114" t="s">
        <v>894</v>
      </c>
      <c r="N40" s="114" t="s">
        <v>894</v>
      </c>
      <c r="O40" s="94" t="s">
        <v>425</v>
      </c>
      <c r="P40" s="94" t="s">
        <v>1180</v>
      </c>
      <c r="Q40" s="94" t="s">
        <v>39</v>
      </c>
      <c r="R40" s="94" t="s">
        <v>1255</v>
      </c>
      <c r="S40" s="94" t="s">
        <v>46</v>
      </c>
      <c r="T40" s="94" t="s">
        <v>898</v>
      </c>
      <c r="U40" s="94" t="s">
        <v>62</v>
      </c>
      <c r="V40" s="94" t="s">
        <v>44</v>
      </c>
      <c r="W40" s="94" t="s">
        <v>45</v>
      </c>
      <c r="X40" s="95" t="s">
        <v>171</v>
      </c>
      <c r="Y40" s="95" t="s">
        <v>171</v>
      </c>
      <c r="Z40" s="95" t="s">
        <v>1181</v>
      </c>
    </row>
    <row r="41" spans="1:26" s="105" customFormat="1" ht="72" x14ac:dyDescent="0.25">
      <c r="A41" s="112"/>
      <c r="B41" s="95" t="s">
        <v>892</v>
      </c>
      <c r="C41" s="113" t="s">
        <v>893</v>
      </c>
      <c r="D41" s="114" t="s">
        <v>893</v>
      </c>
      <c r="E41" s="114" t="s">
        <v>893</v>
      </c>
      <c r="F41" s="114" t="s">
        <v>893</v>
      </c>
      <c r="G41" s="114" t="s">
        <v>893</v>
      </c>
      <c r="H41" s="114" t="s">
        <v>893</v>
      </c>
      <c r="I41" s="114" t="s">
        <v>893</v>
      </c>
      <c r="J41" s="114" t="s">
        <v>893</v>
      </c>
      <c r="K41" s="114">
        <v>80000</v>
      </c>
      <c r="L41" s="114">
        <v>94674.556213017757</v>
      </c>
      <c r="M41" s="114" t="s">
        <v>894</v>
      </c>
      <c r="N41" s="114" t="s">
        <v>894</v>
      </c>
      <c r="O41" s="94" t="s">
        <v>237</v>
      </c>
      <c r="P41" s="94" t="s">
        <v>1296</v>
      </c>
      <c r="Q41" s="94" t="s">
        <v>39</v>
      </c>
      <c r="R41" s="94" t="s">
        <v>1255</v>
      </c>
      <c r="S41" s="94" t="s">
        <v>46</v>
      </c>
      <c r="T41" s="94" t="s">
        <v>50</v>
      </c>
      <c r="U41" s="94" t="s">
        <v>43</v>
      </c>
      <c r="V41" s="94" t="s">
        <v>63</v>
      </c>
      <c r="W41" s="94" t="s">
        <v>64</v>
      </c>
      <c r="X41" s="95" t="s">
        <v>171</v>
      </c>
      <c r="Y41" s="95" t="s">
        <v>171</v>
      </c>
      <c r="Z41" s="95" t="s">
        <v>1297</v>
      </c>
    </row>
    <row r="42" spans="1:26" s="105" customFormat="1" ht="72" x14ac:dyDescent="0.25">
      <c r="A42" s="112"/>
      <c r="B42" s="95" t="s">
        <v>892</v>
      </c>
      <c r="C42" s="113" t="s">
        <v>893</v>
      </c>
      <c r="D42" s="114" t="s">
        <v>893</v>
      </c>
      <c r="E42" s="114" t="s">
        <v>893</v>
      </c>
      <c r="F42" s="114" t="s">
        <v>893</v>
      </c>
      <c r="G42" s="114" t="s">
        <v>893</v>
      </c>
      <c r="H42" s="114" t="s">
        <v>893</v>
      </c>
      <c r="I42" s="114" t="s">
        <v>893</v>
      </c>
      <c r="J42" s="114" t="s">
        <v>893</v>
      </c>
      <c r="K42" s="114">
        <v>31960000</v>
      </c>
      <c r="L42" s="114">
        <v>37822485.207100593</v>
      </c>
      <c r="M42" s="114" t="s">
        <v>894</v>
      </c>
      <c r="N42" s="114" t="s">
        <v>894</v>
      </c>
      <c r="O42" s="94" t="s">
        <v>917</v>
      </c>
      <c r="P42" s="94" t="s">
        <v>1298</v>
      </c>
      <c r="Q42" s="94" t="s">
        <v>39</v>
      </c>
      <c r="R42" s="94" t="s">
        <v>1255</v>
      </c>
      <c r="S42" s="94" t="s">
        <v>46</v>
      </c>
      <c r="T42" s="94" t="s">
        <v>913</v>
      </c>
      <c r="U42" s="94" t="s">
        <v>49</v>
      </c>
      <c r="V42" s="94" t="s">
        <v>50</v>
      </c>
      <c r="W42" s="94" t="s">
        <v>82</v>
      </c>
      <c r="X42" s="95" t="s">
        <v>171</v>
      </c>
      <c r="Y42" s="95" t="s">
        <v>171</v>
      </c>
      <c r="Z42" s="95" t="s">
        <v>1299</v>
      </c>
    </row>
    <row r="43" spans="1:26" s="105" customFormat="1" ht="60" x14ac:dyDescent="0.25">
      <c r="A43" s="112"/>
      <c r="B43" s="95" t="s">
        <v>892</v>
      </c>
      <c r="C43" s="113" t="s">
        <v>893</v>
      </c>
      <c r="D43" s="114" t="s">
        <v>893</v>
      </c>
      <c r="E43" s="114" t="s">
        <v>893</v>
      </c>
      <c r="F43" s="114" t="s">
        <v>893</v>
      </c>
      <c r="G43" s="114" t="s">
        <v>893</v>
      </c>
      <c r="H43" s="114" t="s">
        <v>893</v>
      </c>
      <c r="I43" s="114" t="s">
        <v>893</v>
      </c>
      <c r="J43" s="114" t="s">
        <v>893</v>
      </c>
      <c r="K43" s="114">
        <v>7990000</v>
      </c>
      <c r="L43" s="114">
        <v>9455621.3017751481</v>
      </c>
      <c r="M43" s="114" t="s">
        <v>894</v>
      </c>
      <c r="N43" s="114" t="s">
        <v>894</v>
      </c>
      <c r="O43" s="94" t="s">
        <v>1069</v>
      </c>
      <c r="P43" s="94" t="s">
        <v>1298</v>
      </c>
      <c r="Q43" s="94" t="s">
        <v>39</v>
      </c>
      <c r="R43" s="94" t="s">
        <v>1255</v>
      </c>
      <c r="S43" s="94" t="s">
        <v>46</v>
      </c>
      <c r="T43" s="94" t="s">
        <v>913</v>
      </c>
      <c r="U43" s="94" t="s">
        <v>49</v>
      </c>
      <c r="V43" s="94" t="s">
        <v>50</v>
      </c>
      <c r="W43" s="94" t="s">
        <v>82</v>
      </c>
      <c r="X43" s="95" t="s">
        <v>171</v>
      </c>
      <c r="Y43" s="95" t="s">
        <v>171</v>
      </c>
      <c r="Z43" s="95" t="s">
        <v>1300</v>
      </c>
    </row>
    <row r="44" spans="1:26" s="105" customFormat="1" ht="72" x14ac:dyDescent="0.25">
      <c r="A44" s="112"/>
      <c r="B44" s="95" t="s">
        <v>892</v>
      </c>
      <c r="C44" s="113" t="s">
        <v>893</v>
      </c>
      <c r="D44" s="114" t="s">
        <v>893</v>
      </c>
      <c r="E44" s="114" t="s">
        <v>893</v>
      </c>
      <c r="F44" s="114" t="s">
        <v>893</v>
      </c>
      <c r="G44" s="114" t="s">
        <v>893</v>
      </c>
      <c r="H44" s="114" t="s">
        <v>893</v>
      </c>
      <c r="I44" s="114" t="s">
        <v>893</v>
      </c>
      <c r="J44" s="114" t="s">
        <v>893</v>
      </c>
      <c r="K44" s="114">
        <v>100000000</v>
      </c>
      <c r="L44" s="114">
        <v>118343195.26627219</v>
      </c>
      <c r="M44" s="114" t="s">
        <v>894</v>
      </c>
      <c r="N44" s="114" t="s">
        <v>894</v>
      </c>
      <c r="O44" s="94" t="s">
        <v>789</v>
      </c>
      <c r="P44" s="94" t="s">
        <v>1301</v>
      </c>
      <c r="Q44" s="94" t="s">
        <v>39</v>
      </c>
      <c r="R44" s="94" t="s">
        <v>1255</v>
      </c>
      <c r="S44" s="94" t="s">
        <v>46</v>
      </c>
      <c r="T44" s="94" t="s">
        <v>898</v>
      </c>
      <c r="U44" s="94" t="s">
        <v>43</v>
      </c>
      <c r="V44" s="94" t="s">
        <v>54</v>
      </c>
      <c r="W44" s="94" t="s">
        <v>55</v>
      </c>
      <c r="X44" s="95" t="s">
        <v>171</v>
      </c>
      <c r="Y44" s="95" t="s">
        <v>171</v>
      </c>
      <c r="Z44" s="95" t="s">
        <v>1302</v>
      </c>
    </row>
    <row r="45" spans="1:26" s="105" customFormat="1" ht="72" x14ac:dyDescent="0.25">
      <c r="A45" s="112"/>
      <c r="B45" s="95" t="s">
        <v>892</v>
      </c>
      <c r="C45" s="113" t="s">
        <v>893</v>
      </c>
      <c r="D45" s="114" t="s">
        <v>893</v>
      </c>
      <c r="E45" s="114" t="s">
        <v>893</v>
      </c>
      <c r="F45" s="114" t="s">
        <v>893</v>
      </c>
      <c r="G45" s="114" t="s">
        <v>893</v>
      </c>
      <c r="H45" s="114" t="s">
        <v>893</v>
      </c>
      <c r="I45" s="114" t="s">
        <v>893</v>
      </c>
      <c r="J45" s="114" t="s">
        <v>893</v>
      </c>
      <c r="K45" s="114">
        <v>55000000</v>
      </c>
      <c r="L45" s="114">
        <v>65088757.396449707</v>
      </c>
      <c r="M45" s="114" t="s">
        <v>894</v>
      </c>
      <c r="N45" s="114" t="s">
        <v>894</v>
      </c>
      <c r="O45" s="94" t="s">
        <v>428</v>
      </c>
      <c r="P45" s="94" t="s">
        <v>1303</v>
      </c>
      <c r="Q45" s="94" t="s">
        <v>39</v>
      </c>
      <c r="R45" s="94" t="s">
        <v>1255</v>
      </c>
      <c r="S45" s="94" t="s">
        <v>46</v>
      </c>
      <c r="T45" s="94" t="s">
        <v>898</v>
      </c>
      <c r="U45" s="94" t="s">
        <v>62</v>
      </c>
      <c r="V45" s="94" t="s">
        <v>44</v>
      </c>
      <c r="W45" s="94" t="s">
        <v>45</v>
      </c>
      <c r="X45" s="95" t="s">
        <v>171</v>
      </c>
      <c r="Y45" s="95" t="s">
        <v>171</v>
      </c>
      <c r="Z45" s="95" t="s">
        <v>1304</v>
      </c>
    </row>
    <row r="46" spans="1:26" s="105" customFormat="1" ht="96" x14ac:dyDescent="0.25">
      <c r="A46" s="112"/>
      <c r="B46" s="95" t="s">
        <v>892</v>
      </c>
      <c r="C46" s="113" t="s">
        <v>893</v>
      </c>
      <c r="D46" s="114" t="s">
        <v>893</v>
      </c>
      <c r="E46" s="114" t="s">
        <v>893</v>
      </c>
      <c r="F46" s="114" t="s">
        <v>893</v>
      </c>
      <c r="G46" s="114" t="s">
        <v>893</v>
      </c>
      <c r="H46" s="114" t="s">
        <v>893</v>
      </c>
      <c r="I46" s="114" t="s">
        <v>893</v>
      </c>
      <c r="J46" s="114" t="s">
        <v>893</v>
      </c>
      <c r="K46" s="114">
        <v>16656950.112434</v>
      </c>
      <c r="L46" s="114">
        <v>19712366.996963315</v>
      </c>
      <c r="M46" s="114" t="s">
        <v>894</v>
      </c>
      <c r="N46" s="114" t="s">
        <v>894</v>
      </c>
      <c r="O46" s="94" t="s">
        <v>1199</v>
      </c>
      <c r="P46" s="94" t="s">
        <v>1200</v>
      </c>
      <c r="Q46" s="94" t="s">
        <v>39</v>
      </c>
      <c r="R46" s="94" t="s">
        <v>1255</v>
      </c>
      <c r="S46" s="94" t="s">
        <v>46</v>
      </c>
      <c r="T46" s="94" t="s">
        <v>898</v>
      </c>
      <c r="U46" s="94" t="s">
        <v>43</v>
      </c>
      <c r="V46" s="94" t="s">
        <v>49</v>
      </c>
      <c r="W46" s="94" t="s">
        <v>51</v>
      </c>
      <c r="X46" s="95" t="s">
        <v>171</v>
      </c>
      <c r="Y46" s="95" t="s">
        <v>171</v>
      </c>
      <c r="Z46" s="95" t="s">
        <v>1201</v>
      </c>
    </row>
    <row r="47" spans="1:26" s="105" customFormat="1" ht="132" x14ac:dyDescent="0.25">
      <c r="A47" s="112"/>
      <c r="B47" s="95" t="s">
        <v>892</v>
      </c>
      <c r="C47" s="113" t="s">
        <v>893</v>
      </c>
      <c r="D47" s="114" t="s">
        <v>893</v>
      </c>
      <c r="E47" s="114" t="s">
        <v>893</v>
      </c>
      <c r="F47" s="114" t="s">
        <v>893</v>
      </c>
      <c r="G47" s="114" t="s">
        <v>893</v>
      </c>
      <c r="H47" s="114" t="s">
        <v>893</v>
      </c>
      <c r="I47" s="114" t="s">
        <v>893</v>
      </c>
      <c r="J47" s="114" t="s">
        <v>893</v>
      </c>
      <c r="K47" s="114">
        <v>800000</v>
      </c>
      <c r="L47" s="114">
        <v>946745.56213017751</v>
      </c>
      <c r="M47" s="114" t="s">
        <v>894</v>
      </c>
      <c r="N47" s="114" t="s">
        <v>894</v>
      </c>
      <c r="O47" s="94" t="s">
        <v>298</v>
      </c>
      <c r="P47" s="94" t="s">
        <v>1305</v>
      </c>
      <c r="Q47" s="94" t="s">
        <v>39</v>
      </c>
      <c r="R47" s="94" t="s">
        <v>1255</v>
      </c>
      <c r="S47" s="94" t="s">
        <v>46</v>
      </c>
      <c r="T47" s="94" t="s">
        <v>898</v>
      </c>
      <c r="U47" s="94" t="s">
        <v>62</v>
      </c>
      <c r="V47" s="94" t="s">
        <v>49</v>
      </c>
      <c r="W47" s="94" t="s">
        <v>51</v>
      </c>
      <c r="X47" s="95" t="s">
        <v>171</v>
      </c>
      <c r="Y47" s="95" t="s">
        <v>171</v>
      </c>
      <c r="Z47" s="95" t="s">
        <v>1306</v>
      </c>
    </row>
    <row r="48" spans="1:26" s="105" customFormat="1" ht="72" x14ac:dyDescent="0.25">
      <c r="A48" s="112"/>
      <c r="B48" s="95" t="s">
        <v>892</v>
      </c>
      <c r="C48" s="113" t="s">
        <v>893</v>
      </c>
      <c r="D48" s="114" t="s">
        <v>893</v>
      </c>
      <c r="E48" s="114" t="s">
        <v>893</v>
      </c>
      <c r="F48" s="114" t="s">
        <v>893</v>
      </c>
      <c r="G48" s="114" t="s">
        <v>893</v>
      </c>
      <c r="H48" s="114" t="s">
        <v>893</v>
      </c>
      <c r="I48" s="114" t="s">
        <v>893</v>
      </c>
      <c r="J48" s="114" t="s">
        <v>893</v>
      </c>
      <c r="K48" s="114">
        <v>17414388.107246999</v>
      </c>
      <c r="L48" s="114">
        <v>20608743.322185799</v>
      </c>
      <c r="M48" s="114" t="s">
        <v>894</v>
      </c>
      <c r="N48" s="114" t="s">
        <v>894</v>
      </c>
      <c r="O48" s="94" t="s">
        <v>789</v>
      </c>
      <c r="P48" s="94" t="s">
        <v>1281</v>
      </c>
      <c r="Q48" s="94" t="s">
        <v>39</v>
      </c>
      <c r="R48" s="94" t="s">
        <v>1255</v>
      </c>
      <c r="S48" s="94" t="s">
        <v>46</v>
      </c>
      <c r="T48" s="94" t="s">
        <v>898</v>
      </c>
      <c r="U48" s="94" t="s">
        <v>49</v>
      </c>
      <c r="V48" s="94" t="s">
        <v>63</v>
      </c>
      <c r="W48" s="94" t="s">
        <v>64</v>
      </c>
      <c r="X48" s="95" t="s">
        <v>171</v>
      </c>
      <c r="Y48" s="95" t="s">
        <v>171</v>
      </c>
      <c r="Z48" s="95" t="s">
        <v>1282</v>
      </c>
    </row>
    <row r="49" spans="1:26" s="105" customFormat="1" ht="240" x14ac:dyDescent="0.25">
      <c r="A49" s="112"/>
      <c r="B49" s="95" t="s">
        <v>892</v>
      </c>
      <c r="C49" s="113" t="s">
        <v>893</v>
      </c>
      <c r="D49" s="114" t="s">
        <v>893</v>
      </c>
      <c r="E49" s="114" t="s">
        <v>893</v>
      </c>
      <c r="F49" s="114" t="s">
        <v>893</v>
      </c>
      <c r="G49" s="114" t="s">
        <v>893</v>
      </c>
      <c r="H49" s="114" t="s">
        <v>893</v>
      </c>
      <c r="I49" s="114" t="s">
        <v>893</v>
      </c>
      <c r="J49" s="114" t="s">
        <v>893</v>
      </c>
      <c r="K49" s="114">
        <v>16572600.000000002</v>
      </c>
      <c r="L49" s="114">
        <v>19612544.378698226</v>
      </c>
      <c r="M49" s="114" t="s">
        <v>894</v>
      </c>
      <c r="N49" s="114" t="s">
        <v>894</v>
      </c>
      <c r="O49" s="94" t="s">
        <v>319</v>
      </c>
      <c r="P49" s="94" t="s">
        <v>1307</v>
      </c>
      <c r="Q49" s="94" t="s">
        <v>39</v>
      </c>
      <c r="R49" s="94" t="s">
        <v>1255</v>
      </c>
      <c r="S49" s="94" t="s">
        <v>46</v>
      </c>
      <c r="T49" s="94" t="s">
        <v>42</v>
      </c>
      <c r="U49" s="94" t="s">
        <v>62</v>
      </c>
      <c r="V49" s="94" t="s">
        <v>44</v>
      </c>
      <c r="W49" s="94" t="s">
        <v>45</v>
      </c>
      <c r="X49" s="95" t="s">
        <v>171</v>
      </c>
      <c r="Y49" s="95" t="s">
        <v>171</v>
      </c>
      <c r="Z49" s="95" t="s">
        <v>1308</v>
      </c>
    </row>
    <row r="50" spans="1:26" s="105" customFormat="1" ht="108" x14ac:dyDescent="0.25">
      <c r="A50" s="112"/>
      <c r="B50" s="95" t="s">
        <v>892</v>
      </c>
      <c r="C50" s="113" t="s">
        <v>893</v>
      </c>
      <c r="D50" s="114" t="s">
        <v>893</v>
      </c>
      <c r="E50" s="114" t="s">
        <v>893</v>
      </c>
      <c r="F50" s="114" t="s">
        <v>893</v>
      </c>
      <c r="G50" s="114" t="s">
        <v>893</v>
      </c>
      <c r="H50" s="114" t="s">
        <v>893</v>
      </c>
      <c r="I50" s="114" t="s">
        <v>893</v>
      </c>
      <c r="J50" s="114" t="s">
        <v>893</v>
      </c>
      <c r="K50" s="114">
        <v>4000000</v>
      </c>
      <c r="L50" s="114">
        <v>4733727.8106508879</v>
      </c>
      <c r="M50" s="114" t="s">
        <v>894</v>
      </c>
      <c r="N50" s="114" t="s">
        <v>894</v>
      </c>
      <c r="O50" s="94" t="s">
        <v>246</v>
      </c>
      <c r="P50" s="94" t="s">
        <v>1206</v>
      </c>
      <c r="Q50" s="94" t="s">
        <v>39</v>
      </c>
      <c r="R50" s="94" t="s">
        <v>1255</v>
      </c>
      <c r="S50" s="94" t="s">
        <v>46</v>
      </c>
      <c r="T50" s="94" t="s">
        <v>898</v>
      </c>
      <c r="U50" s="94" t="s">
        <v>62</v>
      </c>
      <c r="V50" s="94" t="s">
        <v>49</v>
      </c>
      <c r="W50" s="94" t="s">
        <v>51</v>
      </c>
      <c r="X50" s="95" t="s">
        <v>171</v>
      </c>
      <c r="Y50" s="95" t="s">
        <v>171</v>
      </c>
      <c r="Z50" s="95" t="s">
        <v>1207</v>
      </c>
    </row>
    <row r="51" spans="1:26" s="105" customFormat="1" ht="156" x14ac:dyDescent="0.25">
      <c r="A51" s="112"/>
      <c r="B51" s="95" t="s">
        <v>892</v>
      </c>
      <c r="C51" s="113" t="s">
        <v>893</v>
      </c>
      <c r="D51" s="114" t="s">
        <v>893</v>
      </c>
      <c r="E51" s="114" t="s">
        <v>893</v>
      </c>
      <c r="F51" s="114" t="s">
        <v>893</v>
      </c>
      <c r="G51" s="114" t="s">
        <v>893</v>
      </c>
      <c r="H51" s="114" t="s">
        <v>893</v>
      </c>
      <c r="I51" s="114" t="s">
        <v>893</v>
      </c>
      <c r="J51" s="114" t="s">
        <v>893</v>
      </c>
      <c r="K51" s="114">
        <v>40000</v>
      </c>
      <c r="L51" s="114">
        <v>47337.278106508878</v>
      </c>
      <c r="M51" s="114" t="s">
        <v>894</v>
      </c>
      <c r="N51" s="114" t="s">
        <v>894</v>
      </c>
      <c r="O51" s="94" t="s">
        <v>1208</v>
      </c>
      <c r="P51" s="94" t="s">
        <v>1209</v>
      </c>
      <c r="Q51" s="94" t="s">
        <v>39</v>
      </c>
      <c r="R51" s="94" t="s">
        <v>1255</v>
      </c>
      <c r="S51" s="94" t="s">
        <v>46</v>
      </c>
      <c r="T51" s="94" t="s">
        <v>50</v>
      </c>
      <c r="U51" s="94" t="s">
        <v>43</v>
      </c>
      <c r="V51" s="94" t="s">
        <v>49</v>
      </c>
      <c r="W51" s="94" t="s">
        <v>51</v>
      </c>
      <c r="X51" s="95" t="s">
        <v>171</v>
      </c>
      <c r="Y51" s="95" t="s">
        <v>171</v>
      </c>
      <c r="Z51" s="95" t="s">
        <v>1210</v>
      </c>
    </row>
    <row r="52" spans="1:26" s="105" customFormat="1" ht="156" x14ac:dyDescent="0.25">
      <c r="A52" s="112"/>
      <c r="B52" s="95" t="s">
        <v>892</v>
      </c>
      <c r="C52" s="113" t="s">
        <v>893</v>
      </c>
      <c r="D52" s="114" t="s">
        <v>893</v>
      </c>
      <c r="E52" s="114" t="s">
        <v>893</v>
      </c>
      <c r="F52" s="114" t="s">
        <v>893</v>
      </c>
      <c r="G52" s="114" t="s">
        <v>893</v>
      </c>
      <c r="H52" s="114" t="s">
        <v>893</v>
      </c>
      <c r="I52" s="114" t="s">
        <v>893</v>
      </c>
      <c r="J52" s="114" t="s">
        <v>893</v>
      </c>
      <c r="K52" s="114">
        <v>40000</v>
      </c>
      <c r="L52" s="114">
        <v>47337.278106508878</v>
      </c>
      <c r="M52" s="114" t="s">
        <v>894</v>
      </c>
      <c r="N52" s="114" t="s">
        <v>894</v>
      </c>
      <c r="O52" s="94" t="s">
        <v>1208</v>
      </c>
      <c r="P52" s="94" t="s">
        <v>1209</v>
      </c>
      <c r="Q52" s="94" t="s">
        <v>39</v>
      </c>
      <c r="R52" s="94" t="s">
        <v>1255</v>
      </c>
      <c r="S52" s="94" t="s">
        <v>46</v>
      </c>
      <c r="T52" s="94" t="s">
        <v>50</v>
      </c>
      <c r="U52" s="94" t="s">
        <v>43</v>
      </c>
      <c r="V52" s="94" t="s">
        <v>49</v>
      </c>
      <c r="W52" s="94" t="s">
        <v>51</v>
      </c>
      <c r="X52" s="95" t="s">
        <v>171</v>
      </c>
      <c r="Y52" s="95" t="s">
        <v>171</v>
      </c>
      <c r="Z52" s="95" t="s">
        <v>1210</v>
      </c>
    </row>
    <row r="53" spans="1:26" s="105" customFormat="1" ht="144" x14ac:dyDescent="0.25">
      <c r="A53" s="112"/>
      <c r="B53" s="95" t="s">
        <v>892</v>
      </c>
      <c r="C53" s="113" t="s">
        <v>893</v>
      </c>
      <c r="D53" s="114" t="s">
        <v>893</v>
      </c>
      <c r="E53" s="114" t="s">
        <v>893</v>
      </c>
      <c r="F53" s="114" t="s">
        <v>893</v>
      </c>
      <c r="G53" s="114" t="s">
        <v>893</v>
      </c>
      <c r="H53" s="114" t="s">
        <v>893</v>
      </c>
      <c r="I53" s="114" t="s">
        <v>893</v>
      </c>
      <c r="J53" s="114" t="s">
        <v>893</v>
      </c>
      <c r="K53" s="114">
        <v>500000</v>
      </c>
      <c r="L53" s="114">
        <v>591715.97633136099</v>
      </c>
      <c r="M53" s="114" t="s">
        <v>894</v>
      </c>
      <c r="N53" s="114" t="s">
        <v>894</v>
      </c>
      <c r="O53" s="94" t="s">
        <v>246</v>
      </c>
      <c r="P53" s="94" t="s">
        <v>1213</v>
      </c>
      <c r="Q53" s="94" t="s">
        <v>39</v>
      </c>
      <c r="R53" s="94" t="s">
        <v>1255</v>
      </c>
      <c r="S53" s="94" t="s">
        <v>46</v>
      </c>
      <c r="T53" s="94" t="s">
        <v>898</v>
      </c>
      <c r="U53" s="94" t="s">
        <v>43</v>
      </c>
      <c r="V53" s="94" t="s">
        <v>49</v>
      </c>
      <c r="W53" s="94" t="s">
        <v>51</v>
      </c>
      <c r="X53" s="95" t="s">
        <v>171</v>
      </c>
      <c r="Y53" s="95" t="s">
        <v>171</v>
      </c>
      <c r="Z53" s="95" t="s">
        <v>1214</v>
      </c>
    </row>
    <row r="54" spans="1:26" s="105" customFormat="1" ht="96" x14ac:dyDescent="0.25">
      <c r="A54" s="112"/>
      <c r="B54" s="95" t="s">
        <v>892</v>
      </c>
      <c r="C54" s="113" t="s">
        <v>893</v>
      </c>
      <c r="D54" s="114" t="s">
        <v>893</v>
      </c>
      <c r="E54" s="114" t="s">
        <v>893</v>
      </c>
      <c r="F54" s="114" t="s">
        <v>893</v>
      </c>
      <c r="G54" s="114" t="s">
        <v>893</v>
      </c>
      <c r="H54" s="114" t="s">
        <v>893</v>
      </c>
      <c r="I54" s="114" t="s">
        <v>893</v>
      </c>
      <c r="J54" s="114" t="s">
        <v>893</v>
      </c>
      <c r="K54" s="114">
        <v>500000</v>
      </c>
      <c r="L54" s="114">
        <v>591715.97633136099</v>
      </c>
      <c r="M54" s="114" t="s">
        <v>894</v>
      </c>
      <c r="N54" s="114" t="s">
        <v>894</v>
      </c>
      <c r="O54" s="94" t="s">
        <v>1079</v>
      </c>
      <c r="P54" s="94" t="s">
        <v>1309</v>
      </c>
      <c r="Q54" s="94" t="s">
        <v>39</v>
      </c>
      <c r="R54" s="94" t="s">
        <v>1255</v>
      </c>
      <c r="S54" s="94" t="s">
        <v>46</v>
      </c>
      <c r="T54" s="94" t="s">
        <v>898</v>
      </c>
      <c r="U54" s="94" t="s">
        <v>43</v>
      </c>
      <c r="V54" s="94" t="s">
        <v>49</v>
      </c>
      <c r="W54" s="94" t="s">
        <v>51</v>
      </c>
      <c r="X54" s="95" t="s">
        <v>171</v>
      </c>
      <c r="Y54" s="95" t="s">
        <v>171</v>
      </c>
      <c r="Z54" s="95" t="s">
        <v>1310</v>
      </c>
    </row>
    <row r="55" spans="1:26" s="105" customFormat="1" ht="84" x14ac:dyDescent="0.25">
      <c r="A55" s="112"/>
      <c r="B55" s="95" t="s">
        <v>892</v>
      </c>
      <c r="C55" s="113" t="s">
        <v>893</v>
      </c>
      <c r="D55" s="114" t="s">
        <v>893</v>
      </c>
      <c r="E55" s="114" t="s">
        <v>893</v>
      </c>
      <c r="F55" s="114" t="s">
        <v>893</v>
      </c>
      <c r="G55" s="114" t="s">
        <v>893</v>
      </c>
      <c r="H55" s="114" t="s">
        <v>893</v>
      </c>
      <c r="I55" s="114" t="s">
        <v>893</v>
      </c>
      <c r="J55" s="114" t="s">
        <v>893</v>
      </c>
      <c r="K55" s="114">
        <v>264643.61326699995</v>
      </c>
      <c r="L55" s="114">
        <v>313187.70800828398</v>
      </c>
      <c r="M55" s="114" t="s">
        <v>894</v>
      </c>
      <c r="N55" s="114" t="s">
        <v>894</v>
      </c>
      <c r="O55" s="94" t="s">
        <v>262</v>
      </c>
      <c r="P55" s="94" t="s">
        <v>1162</v>
      </c>
      <c r="Q55" s="94" t="s">
        <v>39</v>
      </c>
      <c r="R55" s="94" t="s">
        <v>1255</v>
      </c>
      <c r="S55" s="94" t="s">
        <v>46</v>
      </c>
      <c r="T55" s="94" t="s">
        <v>898</v>
      </c>
      <c r="U55" s="94" t="s">
        <v>43</v>
      </c>
      <c r="V55" s="94" t="s">
        <v>49</v>
      </c>
      <c r="W55" s="94" t="s">
        <v>51</v>
      </c>
      <c r="X55" s="95" t="s">
        <v>171</v>
      </c>
      <c r="Y55" s="95" t="s">
        <v>171</v>
      </c>
      <c r="Z55" s="95" t="s">
        <v>1163</v>
      </c>
    </row>
    <row r="56" spans="1:26" s="105" customFormat="1" ht="144" x14ac:dyDescent="0.25">
      <c r="A56" s="112"/>
      <c r="B56" s="95" t="s">
        <v>892</v>
      </c>
      <c r="C56" s="113" t="s">
        <v>893</v>
      </c>
      <c r="D56" s="114" t="s">
        <v>893</v>
      </c>
      <c r="E56" s="114" t="s">
        <v>893</v>
      </c>
      <c r="F56" s="114" t="s">
        <v>893</v>
      </c>
      <c r="G56" s="114" t="s">
        <v>893</v>
      </c>
      <c r="H56" s="114" t="s">
        <v>893</v>
      </c>
      <c r="I56" s="114" t="s">
        <v>893</v>
      </c>
      <c r="J56" s="114" t="s">
        <v>893</v>
      </c>
      <c r="K56" s="114">
        <v>52500</v>
      </c>
      <c r="L56" s="114">
        <v>62130.1775147929</v>
      </c>
      <c r="M56" s="114" t="s">
        <v>894</v>
      </c>
      <c r="N56" s="114" t="s">
        <v>894</v>
      </c>
      <c r="O56" s="94" t="s">
        <v>262</v>
      </c>
      <c r="P56" s="94" t="s">
        <v>1217</v>
      </c>
      <c r="Q56" s="94" t="s">
        <v>39</v>
      </c>
      <c r="R56" s="94" t="s">
        <v>1255</v>
      </c>
      <c r="S56" s="94" t="s">
        <v>46</v>
      </c>
      <c r="T56" s="94" t="s">
        <v>50</v>
      </c>
      <c r="U56" s="94" t="s">
        <v>43</v>
      </c>
      <c r="V56" s="94" t="s">
        <v>49</v>
      </c>
      <c r="W56" s="94" t="s">
        <v>51</v>
      </c>
      <c r="X56" s="95" t="s">
        <v>171</v>
      </c>
      <c r="Y56" s="95" t="s">
        <v>171</v>
      </c>
      <c r="Z56" s="95" t="s">
        <v>1218</v>
      </c>
    </row>
    <row r="57" spans="1:26" s="105" customFormat="1" ht="120" x14ac:dyDescent="0.25">
      <c r="A57" s="112"/>
      <c r="B57" s="95" t="s">
        <v>892</v>
      </c>
      <c r="C57" s="113" t="s">
        <v>893</v>
      </c>
      <c r="D57" s="114" t="s">
        <v>893</v>
      </c>
      <c r="E57" s="114" t="s">
        <v>893</v>
      </c>
      <c r="F57" s="114" t="s">
        <v>893</v>
      </c>
      <c r="G57" s="114" t="s">
        <v>893</v>
      </c>
      <c r="H57" s="114" t="s">
        <v>893</v>
      </c>
      <c r="I57" s="114" t="s">
        <v>893</v>
      </c>
      <c r="J57" s="114" t="s">
        <v>893</v>
      </c>
      <c r="K57" s="114">
        <v>250000000</v>
      </c>
      <c r="L57" s="114">
        <v>295857988.16568047</v>
      </c>
      <c r="M57" s="114" t="s">
        <v>894</v>
      </c>
      <c r="N57" s="114" t="s">
        <v>894</v>
      </c>
      <c r="O57" s="94" t="s">
        <v>616</v>
      </c>
      <c r="P57" s="94" t="s">
        <v>1311</v>
      </c>
      <c r="Q57" s="94" t="s">
        <v>39</v>
      </c>
      <c r="R57" s="94" t="s">
        <v>1255</v>
      </c>
      <c r="S57" s="94" t="s">
        <v>46</v>
      </c>
      <c r="T57" s="94" t="s">
        <v>898</v>
      </c>
      <c r="U57" s="94" t="s">
        <v>43</v>
      </c>
      <c r="V57" s="94" t="s">
        <v>54</v>
      </c>
      <c r="W57" s="94" t="s">
        <v>55</v>
      </c>
      <c r="X57" s="95" t="s">
        <v>171</v>
      </c>
      <c r="Y57" s="95" t="s">
        <v>171</v>
      </c>
      <c r="Z57" s="95" t="s">
        <v>1312</v>
      </c>
    </row>
    <row r="58" spans="1:26" s="105" customFormat="1" ht="72" x14ac:dyDescent="0.25">
      <c r="A58" s="112"/>
      <c r="B58" s="95" t="s">
        <v>892</v>
      </c>
      <c r="C58" s="113" t="s">
        <v>893</v>
      </c>
      <c r="D58" s="114" t="s">
        <v>893</v>
      </c>
      <c r="E58" s="114" t="s">
        <v>893</v>
      </c>
      <c r="F58" s="114" t="s">
        <v>893</v>
      </c>
      <c r="G58" s="114" t="s">
        <v>893</v>
      </c>
      <c r="H58" s="114" t="s">
        <v>893</v>
      </c>
      <c r="I58" s="114" t="s">
        <v>893</v>
      </c>
      <c r="J58" s="114" t="s">
        <v>893</v>
      </c>
      <c r="K58" s="114">
        <v>4250000</v>
      </c>
      <c r="L58" s="114">
        <v>5029585.7988165682</v>
      </c>
      <c r="M58" s="114" t="s">
        <v>894</v>
      </c>
      <c r="N58" s="114" t="s">
        <v>894</v>
      </c>
      <c r="O58" s="94" t="s">
        <v>917</v>
      </c>
      <c r="P58" s="94" t="s">
        <v>1313</v>
      </c>
      <c r="Q58" s="94" t="s">
        <v>39</v>
      </c>
      <c r="R58" s="94" t="s">
        <v>1255</v>
      </c>
      <c r="S58" s="94" t="s">
        <v>46</v>
      </c>
      <c r="T58" s="94" t="s">
        <v>913</v>
      </c>
      <c r="U58" s="94" t="s">
        <v>49</v>
      </c>
      <c r="V58" s="94" t="s">
        <v>49</v>
      </c>
      <c r="W58" s="94" t="s">
        <v>51</v>
      </c>
      <c r="X58" s="95" t="s">
        <v>171</v>
      </c>
      <c r="Y58" s="95" t="s">
        <v>171</v>
      </c>
      <c r="Z58" s="95" t="s">
        <v>1299</v>
      </c>
    </row>
    <row r="59" spans="1:26" s="105" customFormat="1" ht="156" x14ac:dyDescent="0.25">
      <c r="A59" s="112"/>
      <c r="B59" s="95" t="s">
        <v>892</v>
      </c>
      <c r="C59" s="113" t="s">
        <v>893</v>
      </c>
      <c r="D59" s="114" t="s">
        <v>893</v>
      </c>
      <c r="E59" s="114" t="s">
        <v>893</v>
      </c>
      <c r="F59" s="114" t="s">
        <v>893</v>
      </c>
      <c r="G59" s="114" t="s">
        <v>893</v>
      </c>
      <c r="H59" s="114" t="s">
        <v>893</v>
      </c>
      <c r="I59" s="114" t="s">
        <v>893</v>
      </c>
      <c r="J59" s="114" t="s">
        <v>893</v>
      </c>
      <c r="K59" s="114">
        <v>45000000</v>
      </c>
      <c r="L59" s="114">
        <v>53254437.869822487</v>
      </c>
      <c r="M59" s="114" t="s">
        <v>894</v>
      </c>
      <c r="N59" s="114" t="s">
        <v>894</v>
      </c>
      <c r="O59" s="94" t="s">
        <v>917</v>
      </c>
      <c r="P59" s="94" t="s">
        <v>1219</v>
      </c>
      <c r="Q59" s="94" t="s">
        <v>39</v>
      </c>
      <c r="R59" s="94" t="s">
        <v>1255</v>
      </c>
      <c r="S59" s="94" t="s">
        <v>46</v>
      </c>
      <c r="T59" s="94" t="s">
        <v>913</v>
      </c>
      <c r="U59" s="94" t="s">
        <v>49</v>
      </c>
      <c r="V59" s="94" t="s">
        <v>49</v>
      </c>
      <c r="W59" s="94" t="s">
        <v>51</v>
      </c>
      <c r="X59" s="95" t="s">
        <v>171</v>
      </c>
      <c r="Y59" s="95" t="s">
        <v>171</v>
      </c>
      <c r="Z59" s="95" t="s">
        <v>1220</v>
      </c>
    </row>
    <row r="60" spans="1:26" s="105" customFormat="1" ht="96" x14ac:dyDescent="0.25">
      <c r="A60" s="112"/>
      <c r="B60" s="95" t="s">
        <v>892</v>
      </c>
      <c r="C60" s="113" t="s">
        <v>893</v>
      </c>
      <c r="D60" s="114" t="s">
        <v>893</v>
      </c>
      <c r="E60" s="114" t="s">
        <v>893</v>
      </c>
      <c r="F60" s="114" t="s">
        <v>893</v>
      </c>
      <c r="G60" s="114" t="s">
        <v>893</v>
      </c>
      <c r="H60" s="114" t="s">
        <v>893</v>
      </c>
      <c r="I60" s="114" t="s">
        <v>893</v>
      </c>
      <c r="J60" s="114" t="s">
        <v>893</v>
      </c>
      <c r="K60" s="114">
        <v>528000000</v>
      </c>
      <c r="L60" s="114">
        <v>624852071.00591719</v>
      </c>
      <c r="M60" s="114" t="s">
        <v>894</v>
      </c>
      <c r="N60" s="114" t="s">
        <v>894</v>
      </c>
      <c r="O60" s="94" t="s">
        <v>211</v>
      </c>
      <c r="P60" s="94" t="s">
        <v>1314</v>
      </c>
      <c r="Q60" s="94" t="s">
        <v>39</v>
      </c>
      <c r="R60" s="94" t="s">
        <v>1255</v>
      </c>
      <c r="S60" s="94" t="s">
        <v>46</v>
      </c>
      <c r="T60" s="94" t="s">
        <v>898</v>
      </c>
      <c r="U60" s="94" t="s">
        <v>43</v>
      </c>
      <c r="V60" s="94" t="s">
        <v>54</v>
      </c>
      <c r="W60" s="94" t="s">
        <v>55</v>
      </c>
      <c r="X60" s="95" t="s">
        <v>171</v>
      </c>
      <c r="Y60" s="95" t="s">
        <v>171</v>
      </c>
      <c r="Z60" s="95" t="s">
        <v>1315</v>
      </c>
    </row>
    <row r="61" spans="1:26" s="105" customFormat="1" ht="120" x14ac:dyDescent="0.25">
      <c r="A61" s="112"/>
      <c r="B61" s="95" t="s">
        <v>892</v>
      </c>
      <c r="C61" s="113" t="s">
        <v>893</v>
      </c>
      <c r="D61" s="114" t="s">
        <v>893</v>
      </c>
      <c r="E61" s="114" t="s">
        <v>893</v>
      </c>
      <c r="F61" s="114" t="s">
        <v>893</v>
      </c>
      <c r="G61" s="114" t="s">
        <v>893</v>
      </c>
      <c r="H61" s="114" t="s">
        <v>893</v>
      </c>
      <c r="I61" s="114" t="s">
        <v>893</v>
      </c>
      <c r="J61" s="114" t="s">
        <v>893</v>
      </c>
      <c r="K61" s="114">
        <v>1000000</v>
      </c>
      <c r="L61" s="114">
        <v>1183431.952662722</v>
      </c>
      <c r="M61" s="114" t="s">
        <v>894</v>
      </c>
      <c r="N61" s="114" t="s">
        <v>894</v>
      </c>
      <c r="O61" s="94" t="s">
        <v>371</v>
      </c>
      <c r="P61" s="94" t="s">
        <v>1221</v>
      </c>
      <c r="Q61" s="94" t="s">
        <v>39</v>
      </c>
      <c r="R61" s="94" t="s">
        <v>1255</v>
      </c>
      <c r="S61" s="94" t="s">
        <v>679</v>
      </c>
      <c r="T61" s="94" t="s">
        <v>898</v>
      </c>
      <c r="U61" s="94" t="s">
        <v>43</v>
      </c>
      <c r="V61" s="94" t="s">
        <v>49</v>
      </c>
      <c r="W61" s="94" t="s">
        <v>51</v>
      </c>
      <c r="X61" s="95" t="s">
        <v>171</v>
      </c>
      <c r="Y61" s="95" t="s">
        <v>171</v>
      </c>
      <c r="Z61" s="95" t="s">
        <v>1223</v>
      </c>
    </row>
    <row r="62" spans="1:26" s="105" customFormat="1" ht="84" x14ac:dyDescent="0.25">
      <c r="A62" s="112"/>
      <c r="B62" s="95" t="s">
        <v>892</v>
      </c>
      <c r="C62" s="113" t="s">
        <v>893</v>
      </c>
      <c r="D62" s="114" t="s">
        <v>893</v>
      </c>
      <c r="E62" s="114" t="s">
        <v>893</v>
      </c>
      <c r="F62" s="114" t="s">
        <v>893</v>
      </c>
      <c r="G62" s="114" t="s">
        <v>893</v>
      </c>
      <c r="H62" s="114" t="s">
        <v>893</v>
      </c>
      <c r="I62" s="114" t="s">
        <v>893</v>
      </c>
      <c r="J62" s="114" t="s">
        <v>893</v>
      </c>
      <c r="K62" s="114">
        <v>25000</v>
      </c>
      <c r="L62" s="114">
        <v>29585.798816568047</v>
      </c>
      <c r="M62" s="114" t="s">
        <v>894</v>
      </c>
      <c r="N62" s="114" t="s">
        <v>894</v>
      </c>
      <c r="O62" s="94" t="s">
        <v>344</v>
      </c>
      <c r="P62" s="94" t="s">
        <v>1224</v>
      </c>
      <c r="Q62" s="94" t="s">
        <v>39</v>
      </c>
      <c r="R62" s="94" t="s">
        <v>1255</v>
      </c>
      <c r="S62" s="94" t="s">
        <v>41</v>
      </c>
      <c r="T62" s="94" t="s">
        <v>898</v>
      </c>
      <c r="U62" s="94" t="s">
        <v>43</v>
      </c>
      <c r="V62" s="94" t="s">
        <v>49</v>
      </c>
      <c r="W62" s="94" t="s">
        <v>51</v>
      </c>
      <c r="X62" s="95" t="s">
        <v>171</v>
      </c>
      <c r="Y62" s="95" t="s">
        <v>171</v>
      </c>
      <c r="Z62" s="95" t="s">
        <v>1225</v>
      </c>
    </row>
    <row r="63" spans="1:26" s="105" customFormat="1" ht="84" x14ac:dyDescent="0.25">
      <c r="A63" s="112"/>
      <c r="B63" s="95" t="s">
        <v>892</v>
      </c>
      <c r="C63" s="113" t="s">
        <v>893</v>
      </c>
      <c r="D63" s="114" t="s">
        <v>893</v>
      </c>
      <c r="E63" s="114" t="s">
        <v>893</v>
      </c>
      <c r="F63" s="114" t="s">
        <v>893</v>
      </c>
      <c r="G63" s="114" t="s">
        <v>893</v>
      </c>
      <c r="H63" s="114" t="s">
        <v>893</v>
      </c>
      <c r="I63" s="114" t="s">
        <v>893</v>
      </c>
      <c r="J63" s="114" t="s">
        <v>893</v>
      </c>
      <c r="K63" s="114">
        <v>60000</v>
      </c>
      <c r="L63" s="114">
        <v>71005.91715976331</v>
      </c>
      <c r="M63" s="114" t="s">
        <v>894</v>
      </c>
      <c r="N63" s="114" t="s">
        <v>894</v>
      </c>
      <c r="O63" s="94" t="s">
        <v>344</v>
      </c>
      <c r="P63" s="94" t="s">
        <v>1224</v>
      </c>
      <c r="Q63" s="94" t="s">
        <v>39</v>
      </c>
      <c r="R63" s="94" t="s">
        <v>1255</v>
      </c>
      <c r="S63" s="94" t="s">
        <v>46</v>
      </c>
      <c r="T63" s="94" t="s">
        <v>898</v>
      </c>
      <c r="U63" s="94" t="s">
        <v>43</v>
      </c>
      <c r="V63" s="94" t="s">
        <v>49</v>
      </c>
      <c r="W63" s="94" t="s">
        <v>51</v>
      </c>
      <c r="X63" s="95" t="s">
        <v>171</v>
      </c>
      <c r="Y63" s="95" t="s">
        <v>171</v>
      </c>
      <c r="Z63" s="95" t="s">
        <v>1225</v>
      </c>
    </row>
    <row r="64" spans="1:26" s="105" customFormat="1" ht="72" x14ac:dyDescent="0.25">
      <c r="A64" s="112"/>
      <c r="B64" s="95" t="s">
        <v>892</v>
      </c>
      <c r="C64" s="113" t="s">
        <v>893</v>
      </c>
      <c r="D64" s="114" t="s">
        <v>893</v>
      </c>
      <c r="E64" s="114" t="s">
        <v>893</v>
      </c>
      <c r="F64" s="114" t="s">
        <v>893</v>
      </c>
      <c r="G64" s="114" t="s">
        <v>893</v>
      </c>
      <c r="H64" s="114" t="s">
        <v>893</v>
      </c>
      <c r="I64" s="114" t="s">
        <v>893</v>
      </c>
      <c r="J64" s="114" t="s">
        <v>893</v>
      </c>
      <c r="K64" s="114">
        <v>3250000</v>
      </c>
      <c r="L64" s="114">
        <v>3846153.8461538465</v>
      </c>
      <c r="M64" s="114" t="s">
        <v>894</v>
      </c>
      <c r="N64" s="114" t="s">
        <v>894</v>
      </c>
      <c r="O64" s="94" t="s">
        <v>211</v>
      </c>
      <c r="P64" s="94" t="s">
        <v>1316</v>
      </c>
      <c r="Q64" s="94" t="s">
        <v>39</v>
      </c>
      <c r="R64" s="94" t="s">
        <v>1255</v>
      </c>
      <c r="S64" s="94" t="s">
        <v>41</v>
      </c>
      <c r="T64" s="94" t="s">
        <v>898</v>
      </c>
      <c r="U64" s="94" t="s">
        <v>43</v>
      </c>
      <c r="V64" s="94" t="s">
        <v>49</v>
      </c>
      <c r="W64" s="94" t="s">
        <v>51</v>
      </c>
      <c r="X64" s="95" t="s">
        <v>171</v>
      </c>
      <c r="Y64" s="95" t="s">
        <v>171</v>
      </c>
      <c r="Z64" s="95" t="s">
        <v>1317</v>
      </c>
    </row>
    <row r="65" spans="1:26" s="105" customFormat="1" ht="120" x14ac:dyDescent="0.25">
      <c r="A65" s="112"/>
      <c r="B65" s="95" t="s">
        <v>892</v>
      </c>
      <c r="C65" s="113" t="s">
        <v>893</v>
      </c>
      <c r="D65" s="114" t="s">
        <v>893</v>
      </c>
      <c r="E65" s="114" t="s">
        <v>893</v>
      </c>
      <c r="F65" s="114" t="s">
        <v>893</v>
      </c>
      <c r="G65" s="114" t="s">
        <v>893</v>
      </c>
      <c r="H65" s="114" t="s">
        <v>893</v>
      </c>
      <c r="I65" s="114" t="s">
        <v>893</v>
      </c>
      <c r="J65" s="114" t="s">
        <v>893</v>
      </c>
      <c r="K65" s="114">
        <v>450000</v>
      </c>
      <c r="L65" s="114">
        <v>532544.3786982249</v>
      </c>
      <c r="M65" s="114" t="s">
        <v>894</v>
      </c>
      <c r="N65" s="114" t="s">
        <v>894</v>
      </c>
      <c r="O65" s="94" t="s">
        <v>428</v>
      </c>
      <c r="P65" s="94" t="s">
        <v>1318</v>
      </c>
      <c r="Q65" s="94" t="s">
        <v>39</v>
      </c>
      <c r="R65" s="94" t="s">
        <v>1255</v>
      </c>
      <c r="S65" s="94" t="s">
        <v>46</v>
      </c>
      <c r="T65" s="94" t="s">
        <v>898</v>
      </c>
      <c r="U65" s="94" t="s">
        <v>43</v>
      </c>
      <c r="V65" s="94" t="s">
        <v>49</v>
      </c>
      <c r="W65" s="94" t="s">
        <v>51</v>
      </c>
      <c r="X65" s="95" t="s">
        <v>171</v>
      </c>
      <c r="Y65" s="95" t="s">
        <v>171</v>
      </c>
      <c r="Z65" s="95" t="s">
        <v>1319</v>
      </c>
    </row>
    <row r="66" spans="1:26" s="105" customFormat="1" ht="204" x14ac:dyDescent="0.25">
      <c r="A66" s="112"/>
      <c r="B66" s="95" t="s">
        <v>892</v>
      </c>
      <c r="C66" s="113" t="s">
        <v>893</v>
      </c>
      <c r="D66" s="114" t="s">
        <v>893</v>
      </c>
      <c r="E66" s="114" t="s">
        <v>893</v>
      </c>
      <c r="F66" s="114" t="s">
        <v>893</v>
      </c>
      <c r="G66" s="114" t="s">
        <v>893</v>
      </c>
      <c r="H66" s="114" t="s">
        <v>893</v>
      </c>
      <c r="I66" s="114" t="s">
        <v>893</v>
      </c>
      <c r="J66" s="114" t="s">
        <v>893</v>
      </c>
      <c r="K66" s="114">
        <v>1500000</v>
      </c>
      <c r="L66" s="114">
        <v>1775147.9289940828</v>
      </c>
      <c r="M66" s="114" t="s">
        <v>894</v>
      </c>
      <c r="N66" s="114" t="s">
        <v>894</v>
      </c>
      <c r="O66" s="94" t="s">
        <v>61</v>
      </c>
      <c r="P66" s="94" t="s">
        <v>1320</v>
      </c>
      <c r="Q66" s="94" t="s">
        <v>39</v>
      </c>
      <c r="R66" s="94" t="s">
        <v>1255</v>
      </c>
      <c r="S66" s="94" t="s">
        <v>1321</v>
      </c>
      <c r="T66" s="94" t="s">
        <v>898</v>
      </c>
      <c r="U66" s="94" t="s">
        <v>43</v>
      </c>
      <c r="V66" s="94" t="s">
        <v>49</v>
      </c>
      <c r="W66" s="94" t="s">
        <v>51</v>
      </c>
      <c r="X66" s="95" t="s">
        <v>171</v>
      </c>
      <c r="Y66" s="95" t="s">
        <v>171</v>
      </c>
      <c r="Z66" s="95" t="s">
        <v>1322</v>
      </c>
    </row>
    <row r="67" spans="1:26" s="105" customFormat="1" ht="168" x14ac:dyDescent="0.25">
      <c r="A67" s="112"/>
      <c r="B67" s="95" t="s">
        <v>892</v>
      </c>
      <c r="C67" s="113" t="s">
        <v>893</v>
      </c>
      <c r="D67" s="114" t="s">
        <v>893</v>
      </c>
      <c r="E67" s="114" t="s">
        <v>893</v>
      </c>
      <c r="F67" s="114" t="s">
        <v>893</v>
      </c>
      <c r="G67" s="114" t="s">
        <v>893</v>
      </c>
      <c r="H67" s="114" t="s">
        <v>893</v>
      </c>
      <c r="I67" s="114" t="s">
        <v>893</v>
      </c>
      <c r="J67" s="114" t="s">
        <v>893</v>
      </c>
      <c r="K67" s="114">
        <v>100000</v>
      </c>
      <c r="L67" s="114">
        <v>118343.19526627219</v>
      </c>
      <c r="M67" s="114" t="s">
        <v>894</v>
      </c>
      <c r="N67" s="114" t="s">
        <v>894</v>
      </c>
      <c r="O67" s="94" t="s">
        <v>1186</v>
      </c>
      <c r="P67" s="94" t="s">
        <v>1215</v>
      </c>
      <c r="Q67" s="94" t="s">
        <v>39</v>
      </c>
      <c r="R67" s="94" t="s">
        <v>1255</v>
      </c>
      <c r="S67" s="94" t="s">
        <v>46</v>
      </c>
      <c r="T67" s="94" t="s">
        <v>898</v>
      </c>
      <c r="U67" s="94" t="s">
        <v>43</v>
      </c>
      <c r="V67" s="94" t="s">
        <v>49</v>
      </c>
      <c r="W67" s="94" t="s">
        <v>51</v>
      </c>
      <c r="X67" s="95" t="s">
        <v>171</v>
      </c>
      <c r="Y67" s="95" t="s">
        <v>171</v>
      </c>
      <c r="Z67" s="95" t="s">
        <v>1216</v>
      </c>
    </row>
    <row r="68" spans="1:26" s="105" customFormat="1" ht="96" x14ac:dyDescent="0.25">
      <c r="A68" s="112"/>
      <c r="B68" s="95" t="s">
        <v>892</v>
      </c>
      <c r="C68" s="113" t="s">
        <v>893</v>
      </c>
      <c r="D68" s="114" t="s">
        <v>893</v>
      </c>
      <c r="E68" s="114" t="s">
        <v>893</v>
      </c>
      <c r="F68" s="114" t="s">
        <v>893</v>
      </c>
      <c r="G68" s="114" t="s">
        <v>893</v>
      </c>
      <c r="H68" s="114" t="s">
        <v>893</v>
      </c>
      <c r="I68" s="114" t="s">
        <v>893</v>
      </c>
      <c r="J68" s="114" t="s">
        <v>893</v>
      </c>
      <c r="K68" s="114">
        <v>50000</v>
      </c>
      <c r="L68" s="114">
        <v>59171.597633136094</v>
      </c>
      <c r="M68" s="114" t="s">
        <v>894</v>
      </c>
      <c r="N68" s="114" t="s">
        <v>894</v>
      </c>
      <c r="O68" s="94" t="s">
        <v>1079</v>
      </c>
      <c r="P68" s="94" t="s">
        <v>1184</v>
      </c>
      <c r="Q68" s="94" t="s">
        <v>39</v>
      </c>
      <c r="R68" s="94" t="s">
        <v>1255</v>
      </c>
      <c r="S68" s="94" t="s">
        <v>46</v>
      </c>
      <c r="T68" s="94" t="s">
        <v>898</v>
      </c>
      <c r="U68" s="94" t="s">
        <v>43</v>
      </c>
      <c r="V68" s="94" t="s">
        <v>49</v>
      </c>
      <c r="W68" s="94" t="s">
        <v>51</v>
      </c>
      <c r="X68" s="95" t="s">
        <v>171</v>
      </c>
      <c r="Y68" s="95" t="s">
        <v>171</v>
      </c>
      <c r="Z68" s="95" t="s">
        <v>1185</v>
      </c>
    </row>
    <row r="69" spans="1:26" s="105" customFormat="1" ht="72" x14ac:dyDescent="0.25">
      <c r="A69" s="112"/>
      <c r="B69" s="95" t="s">
        <v>892</v>
      </c>
      <c r="C69" s="113" t="s">
        <v>893</v>
      </c>
      <c r="D69" s="114" t="s">
        <v>893</v>
      </c>
      <c r="E69" s="114" t="s">
        <v>893</v>
      </c>
      <c r="F69" s="114" t="s">
        <v>893</v>
      </c>
      <c r="G69" s="114" t="s">
        <v>893</v>
      </c>
      <c r="H69" s="114" t="s">
        <v>893</v>
      </c>
      <c r="I69" s="114" t="s">
        <v>893</v>
      </c>
      <c r="J69" s="114" t="s">
        <v>893</v>
      </c>
      <c r="K69" s="114">
        <v>123590000</v>
      </c>
      <c r="L69" s="114">
        <v>146260355.02958581</v>
      </c>
      <c r="M69" s="114" t="s">
        <v>894</v>
      </c>
      <c r="N69" s="114" t="s">
        <v>894</v>
      </c>
      <c r="O69" s="94" t="s">
        <v>1006</v>
      </c>
      <c r="P69" s="94" t="s">
        <v>1023</v>
      </c>
      <c r="Q69" s="94" t="s">
        <v>39</v>
      </c>
      <c r="R69" s="94" t="s">
        <v>1255</v>
      </c>
      <c r="S69" s="94" t="s">
        <v>46</v>
      </c>
      <c r="T69" s="94" t="s">
        <v>898</v>
      </c>
      <c r="U69" s="94" t="s">
        <v>43</v>
      </c>
      <c r="V69" s="94" t="s">
        <v>193</v>
      </c>
      <c r="W69" s="94" t="s">
        <v>194</v>
      </c>
      <c r="X69" s="95" t="s">
        <v>171</v>
      </c>
      <c r="Y69" s="95" t="s">
        <v>171</v>
      </c>
      <c r="Z69" s="95" t="s">
        <v>1024</v>
      </c>
    </row>
    <row r="70" spans="1:26" s="105" customFormat="1" ht="72" x14ac:dyDescent="0.25">
      <c r="A70" s="112"/>
      <c r="B70" s="95" t="s">
        <v>892</v>
      </c>
      <c r="C70" s="113" t="s">
        <v>893</v>
      </c>
      <c r="D70" s="114" t="s">
        <v>893</v>
      </c>
      <c r="E70" s="114" t="s">
        <v>893</v>
      </c>
      <c r="F70" s="114" t="s">
        <v>893</v>
      </c>
      <c r="G70" s="114" t="s">
        <v>893</v>
      </c>
      <c r="H70" s="114" t="s">
        <v>893</v>
      </c>
      <c r="I70" s="114" t="s">
        <v>893</v>
      </c>
      <c r="J70" s="114" t="s">
        <v>893</v>
      </c>
      <c r="K70" s="114">
        <v>1405000</v>
      </c>
      <c r="L70" s="114">
        <v>1662721.8934911243</v>
      </c>
      <c r="M70" s="114" t="s">
        <v>894</v>
      </c>
      <c r="N70" s="114" t="s">
        <v>894</v>
      </c>
      <c r="O70" s="94" t="s">
        <v>789</v>
      </c>
      <c r="P70" s="94" t="s">
        <v>1323</v>
      </c>
      <c r="Q70" s="94" t="s">
        <v>39</v>
      </c>
      <c r="R70" s="94" t="s">
        <v>1255</v>
      </c>
      <c r="S70" s="94" t="s">
        <v>46</v>
      </c>
      <c r="T70" s="94" t="s">
        <v>42</v>
      </c>
      <c r="U70" s="94" t="s">
        <v>43</v>
      </c>
      <c r="V70" s="94" t="s">
        <v>54</v>
      </c>
      <c r="W70" s="94" t="s">
        <v>55</v>
      </c>
      <c r="X70" s="95" t="s">
        <v>171</v>
      </c>
      <c r="Y70" s="95" t="s">
        <v>171</v>
      </c>
      <c r="Z70" s="95" t="s">
        <v>1324</v>
      </c>
    </row>
    <row r="71" spans="1:26" s="105" customFormat="1" ht="84" x14ac:dyDescent="0.25">
      <c r="A71" s="112"/>
      <c r="B71" s="95" t="s">
        <v>892</v>
      </c>
      <c r="C71" s="113" t="s">
        <v>893</v>
      </c>
      <c r="D71" s="114" t="s">
        <v>893</v>
      </c>
      <c r="E71" s="114" t="s">
        <v>893</v>
      </c>
      <c r="F71" s="114" t="s">
        <v>893</v>
      </c>
      <c r="G71" s="114" t="s">
        <v>893</v>
      </c>
      <c r="H71" s="114" t="s">
        <v>893</v>
      </c>
      <c r="I71" s="114" t="s">
        <v>893</v>
      </c>
      <c r="J71" s="114" t="s">
        <v>893</v>
      </c>
      <c r="K71" s="114">
        <v>40000</v>
      </c>
      <c r="L71" s="114">
        <v>47337.278106508878</v>
      </c>
      <c r="M71" s="114" t="s">
        <v>894</v>
      </c>
      <c r="N71" s="114" t="s">
        <v>894</v>
      </c>
      <c r="O71" s="94" t="s">
        <v>1186</v>
      </c>
      <c r="P71" s="94" t="s">
        <v>1187</v>
      </c>
      <c r="Q71" s="94" t="s">
        <v>39</v>
      </c>
      <c r="R71" s="94" t="s">
        <v>1255</v>
      </c>
      <c r="S71" s="94" t="s">
        <v>46</v>
      </c>
      <c r="T71" s="94" t="s">
        <v>898</v>
      </c>
      <c r="U71" s="94" t="s">
        <v>43</v>
      </c>
      <c r="V71" s="94" t="s">
        <v>49</v>
      </c>
      <c r="W71" s="94" t="s">
        <v>51</v>
      </c>
      <c r="X71" s="95" t="s">
        <v>171</v>
      </c>
      <c r="Y71" s="95" t="s">
        <v>171</v>
      </c>
      <c r="Z71" s="95" t="s">
        <v>1188</v>
      </c>
    </row>
    <row r="72" spans="1:26" s="105" customFormat="1" ht="120" x14ac:dyDescent="0.25">
      <c r="A72" s="112"/>
      <c r="B72" s="95" t="s">
        <v>892</v>
      </c>
      <c r="C72" s="113" t="s">
        <v>893</v>
      </c>
      <c r="D72" s="114" t="s">
        <v>893</v>
      </c>
      <c r="E72" s="114" t="s">
        <v>893</v>
      </c>
      <c r="F72" s="114" t="s">
        <v>893</v>
      </c>
      <c r="G72" s="114" t="s">
        <v>893</v>
      </c>
      <c r="H72" s="114" t="s">
        <v>893</v>
      </c>
      <c r="I72" s="114" t="s">
        <v>893</v>
      </c>
      <c r="J72" s="114" t="s">
        <v>893</v>
      </c>
      <c r="K72" s="114">
        <v>21000000</v>
      </c>
      <c r="L72" s="114">
        <v>24852071.005917162</v>
      </c>
      <c r="M72" s="114" t="s">
        <v>894</v>
      </c>
      <c r="N72" s="114" t="s">
        <v>894</v>
      </c>
      <c r="O72" s="94" t="s">
        <v>666</v>
      </c>
      <c r="P72" s="94" t="s">
        <v>1325</v>
      </c>
      <c r="Q72" s="94" t="s">
        <v>39</v>
      </c>
      <c r="R72" s="94" t="s">
        <v>1255</v>
      </c>
      <c r="S72" s="94" t="s">
        <v>46</v>
      </c>
      <c r="T72" s="94" t="s">
        <v>898</v>
      </c>
      <c r="U72" s="94" t="s">
        <v>43</v>
      </c>
      <c r="V72" s="94" t="s">
        <v>49</v>
      </c>
      <c r="W72" s="94" t="s">
        <v>51</v>
      </c>
      <c r="X72" s="95" t="s">
        <v>171</v>
      </c>
      <c r="Y72" s="95" t="s">
        <v>171</v>
      </c>
      <c r="Z72" s="95" t="s">
        <v>1326</v>
      </c>
    </row>
    <row r="73" spans="1:26" s="105" customFormat="1" ht="168" x14ac:dyDescent="0.25">
      <c r="A73" s="112"/>
      <c r="B73" s="95" t="s">
        <v>892</v>
      </c>
      <c r="C73" s="113" t="s">
        <v>893</v>
      </c>
      <c r="D73" s="114" t="s">
        <v>893</v>
      </c>
      <c r="E73" s="114" t="s">
        <v>893</v>
      </c>
      <c r="F73" s="114" t="s">
        <v>893</v>
      </c>
      <c r="G73" s="114" t="s">
        <v>893</v>
      </c>
      <c r="H73" s="114" t="s">
        <v>893</v>
      </c>
      <c r="I73" s="114" t="s">
        <v>893</v>
      </c>
      <c r="J73" s="114" t="s">
        <v>893</v>
      </c>
      <c r="K73" s="114">
        <v>240000</v>
      </c>
      <c r="L73" s="114">
        <v>284023.66863905324</v>
      </c>
      <c r="M73" s="114" t="s">
        <v>894</v>
      </c>
      <c r="N73" s="114" t="s">
        <v>894</v>
      </c>
      <c r="O73" s="94" t="s">
        <v>291</v>
      </c>
      <c r="P73" s="94" t="s">
        <v>1215</v>
      </c>
      <c r="Q73" s="94" t="s">
        <v>39</v>
      </c>
      <c r="R73" s="94" t="s">
        <v>1255</v>
      </c>
      <c r="S73" s="94" t="s">
        <v>1321</v>
      </c>
      <c r="T73" s="94" t="s">
        <v>898</v>
      </c>
      <c r="U73" s="94" t="s">
        <v>43</v>
      </c>
      <c r="V73" s="94" t="s">
        <v>49</v>
      </c>
      <c r="W73" s="94" t="s">
        <v>51</v>
      </c>
      <c r="X73" s="95" t="s">
        <v>171</v>
      </c>
      <c r="Y73" s="95" t="s">
        <v>171</v>
      </c>
      <c r="Z73" s="95" t="s">
        <v>1216</v>
      </c>
    </row>
    <row r="74" spans="1:26" s="105" customFormat="1" ht="60" x14ac:dyDescent="0.25">
      <c r="A74" s="112"/>
      <c r="B74" s="95" t="s">
        <v>892</v>
      </c>
      <c r="C74" s="113" t="s">
        <v>893</v>
      </c>
      <c r="D74" s="114" t="s">
        <v>893</v>
      </c>
      <c r="E74" s="114" t="s">
        <v>893</v>
      </c>
      <c r="F74" s="114" t="s">
        <v>893</v>
      </c>
      <c r="G74" s="114" t="s">
        <v>893</v>
      </c>
      <c r="H74" s="114" t="s">
        <v>893</v>
      </c>
      <c r="I74" s="114" t="s">
        <v>893</v>
      </c>
      <c r="J74" s="114" t="s">
        <v>893</v>
      </c>
      <c r="K74" s="114">
        <v>1210650</v>
      </c>
      <c r="L74" s="114">
        <v>1432721.8934911243</v>
      </c>
      <c r="M74" s="114" t="s">
        <v>894</v>
      </c>
      <c r="N74" s="114" t="s">
        <v>894</v>
      </c>
      <c r="O74" s="94" t="s">
        <v>366</v>
      </c>
      <c r="P74" s="94" t="s">
        <v>1170</v>
      </c>
      <c r="Q74" s="94" t="s">
        <v>39</v>
      </c>
      <c r="R74" s="94" t="s">
        <v>1255</v>
      </c>
      <c r="S74" s="94" t="s">
        <v>46</v>
      </c>
      <c r="T74" s="94" t="s">
        <v>898</v>
      </c>
      <c r="U74" s="94" t="s">
        <v>43</v>
      </c>
      <c r="V74" s="94" t="s">
        <v>193</v>
      </c>
      <c r="W74" s="94" t="s">
        <v>194</v>
      </c>
      <c r="X74" s="95" t="s">
        <v>171</v>
      </c>
      <c r="Y74" s="95" t="s">
        <v>171</v>
      </c>
      <c r="Z74" s="95" t="s">
        <v>1171</v>
      </c>
    </row>
    <row r="75" spans="1:26" s="105" customFormat="1" ht="120" x14ac:dyDescent="0.25">
      <c r="A75" s="112"/>
      <c r="B75" s="95" t="s">
        <v>892</v>
      </c>
      <c r="C75" s="113" t="s">
        <v>893</v>
      </c>
      <c r="D75" s="114" t="s">
        <v>893</v>
      </c>
      <c r="E75" s="114" t="s">
        <v>893</v>
      </c>
      <c r="F75" s="114" t="s">
        <v>893</v>
      </c>
      <c r="G75" s="114" t="s">
        <v>893</v>
      </c>
      <c r="H75" s="114" t="s">
        <v>893</v>
      </c>
      <c r="I75" s="114" t="s">
        <v>893</v>
      </c>
      <c r="J75" s="114" t="s">
        <v>893</v>
      </c>
      <c r="K75" s="114">
        <v>168194.432764</v>
      </c>
      <c r="L75" s="114">
        <v>199046.66599289942</v>
      </c>
      <c r="M75" s="114" t="s">
        <v>894</v>
      </c>
      <c r="N75" s="114" t="s">
        <v>894</v>
      </c>
      <c r="O75" s="94" t="s">
        <v>1208</v>
      </c>
      <c r="P75" s="94" t="s">
        <v>1327</v>
      </c>
      <c r="Q75" s="94" t="s">
        <v>39</v>
      </c>
      <c r="R75" s="94" t="s">
        <v>1255</v>
      </c>
      <c r="S75" s="94" t="s">
        <v>46</v>
      </c>
      <c r="T75" s="94" t="s">
        <v>898</v>
      </c>
      <c r="U75" s="94" t="s">
        <v>43</v>
      </c>
      <c r="V75" s="94" t="s">
        <v>49</v>
      </c>
      <c r="W75" s="94" t="s">
        <v>51</v>
      </c>
      <c r="X75" s="95" t="s">
        <v>171</v>
      </c>
      <c r="Y75" s="95" t="s">
        <v>171</v>
      </c>
      <c r="Z75" s="95" t="s">
        <v>1328</v>
      </c>
    </row>
    <row r="76" spans="1:26" s="105" customFormat="1" ht="120" x14ac:dyDescent="0.25">
      <c r="A76" s="112"/>
      <c r="B76" s="95" t="s">
        <v>892</v>
      </c>
      <c r="C76" s="113" t="s">
        <v>893</v>
      </c>
      <c r="D76" s="114" t="s">
        <v>893</v>
      </c>
      <c r="E76" s="114" t="s">
        <v>893</v>
      </c>
      <c r="F76" s="114" t="s">
        <v>893</v>
      </c>
      <c r="G76" s="114" t="s">
        <v>893</v>
      </c>
      <c r="H76" s="114" t="s">
        <v>893</v>
      </c>
      <c r="I76" s="114" t="s">
        <v>893</v>
      </c>
      <c r="J76" s="114" t="s">
        <v>893</v>
      </c>
      <c r="K76" s="114">
        <v>1732801.940738</v>
      </c>
      <c r="L76" s="114">
        <v>2050653.1843053254</v>
      </c>
      <c r="M76" s="114" t="s">
        <v>894</v>
      </c>
      <c r="N76" s="114" t="s">
        <v>894</v>
      </c>
      <c r="O76" s="94" t="s">
        <v>1208</v>
      </c>
      <c r="P76" s="94" t="s">
        <v>1329</v>
      </c>
      <c r="Q76" s="94" t="s">
        <v>39</v>
      </c>
      <c r="R76" s="94" t="s">
        <v>1255</v>
      </c>
      <c r="S76" s="94" t="s">
        <v>46</v>
      </c>
      <c r="T76" s="94" t="s">
        <v>898</v>
      </c>
      <c r="U76" s="94" t="s">
        <v>43</v>
      </c>
      <c r="V76" s="94" t="s">
        <v>49</v>
      </c>
      <c r="W76" s="94" t="s">
        <v>51</v>
      </c>
      <c r="X76" s="95" t="s">
        <v>171</v>
      </c>
      <c r="Y76" s="95" t="s">
        <v>171</v>
      </c>
      <c r="Z76" s="95" t="s">
        <v>1328</v>
      </c>
    </row>
    <row r="77" spans="1:26" s="105" customFormat="1" ht="72" x14ac:dyDescent="0.25">
      <c r="A77" s="112"/>
      <c r="B77" s="95" t="s">
        <v>892</v>
      </c>
      <c r="C77" s="113" t="s">
        <v>893</v>
      </c>
      <c r="D77" s="114" t="s">
        <v>893</v>
      </c>
      <c r="E77" s="114" t="s">
        <v>893</v>
      </c>
      <c r="F77" s="114" t="s">
        <v>893</v>
      </c>
      <c r="G77" s="114" t="s">
        <v>893</v>
      </c>
      <c r="H77" s="114" t="s">
        <v>893</v>
      </c>
      <c r="I77" s="114" t="s">
        <v>893</v>
      </c>
      <c r="J77" s="114" t="s">
        <v>893</v>
      </c>
      <c r="K77" s="114">
        <v>60000</v>
      </c>
      <c r="L77" s="114">
        <v>71005.91715976331</v>
      </c>
      <c r="M77" s="114" t="s">
        <v>894</v>
      </c>
      <c r="N77" s="114" t="s">
        <v>894</v>
      </c>
      <c r="O77" s="94" t="s">
        <v>262</v>
      </c>
      <c r="P77" s="94" t="s">
        <v>1228</v>
      </c>
      <c r="Q77" s="94" t="s">
        <v>39</v>
      </c>
      <c r="R77" s="94" t="s">
        <v>1255</v>
      </c>
      <c r="S77" s="94" t="s">
        <v>46</v>
      </c>
      <c r="T77" s="94" t="s">
        <v>898</v>
      </c>
      <c r="U77" s="94" t="s">
        <v>43</v>
      </c>
      <c r="V77" s="94" t="s">
        <v>49</v>
      </c>
      <c r="W77" s="94" t="s">
        <v>51</v>
      </c>
      <c r="X77" s="95" t="s">
        <v>171</v>
      </c>
      <c r="Y77" s="95" t="s">
        <v>171</v>
      </c>
      <c r="Z77" s="95" t="s">
        <v>1229</v>
      </c>
    </row>
    <row r="78" spans="1:26" s="105" customFormat="1" ht="132" x14ac:dyDescent="0.25">
      <c r="A78" s="112"/>
      <c r="B78" s="95" t="s">
        <v>892</v>
      </c>
      <c r="C78" s="113" t="s">
        <v>893</v>
      </c>
      <c r="D78" s="114" t="s">
        <v>893</v>
      </c>
      <c r="E78" s="114" t="s">
        <v>893</v>
      </c>
      <c r="F78" s="114" t="s">
        <v>893</v>
      </c>
      <c r="G78" s="114" t="s">
        <v>893</v>
      </c>
      <c r="H78" s="114" t="s">
        <v>893</v>
      </c>
      <c r="I78" s="114" t="s">
        <v>893</v>
      </c>
      <c r="J78" s="114" t="s">
        <v>893</v>
      </c>
      <c r="K78" s="114">
        <v>400000</v>
      </c>
      <c r="L78" s="114">
        <v>473372.78106508875</v>
      </c>
      <c r="M78" s="114" t="s">
        <v>894</v>
      </c>
      <c r="N78" s="114" t="s">
        <v>894</v>
      </c>
      <c r="O78" s="94" t="s">
        <v>246</v>
      </c>
      <c r="P78" s="94" t="s">
        <v>1230</v>
      </c>
      <c r="Q78" s="94" t="s">
        <v>39</v>
      </c>
      <c r="R78" s="94" t="s">
        <v>1255</v>
      </c>
      <c r="S78" s="94" t="s">
        <v>46</v>
      </c>
      <c r="T78" s="94" t="s">
        <v>898</v>
      </c>
      <c r="U78" s="94" t="s">
        <v>43</v>
      </c>
      <c r="V78" s="94" t="s">
        <v>49</v>
      </c>
      <c r="W78" s="94" t="s">
        <v>51</v>
      </c>
      <c r="X78" s="95" t="s">
        <v>171</v>
      </c>
      <c r="Y78" s="95" t="s">
        <v>171</v>
      </c>
      <c r="Z78" s="95" t="s">
        <v>1231</v>
      </c>
    </row>
    <row r="79" spans="1:26" s="105" customFormat="1" ht="144" x14ac:dyDescent="0.25">
      <c r="A79" s="112"/>
      <c r="B79" s="95" t="s">
        <v>892</v>
      </c>
      <c r="C79" s="113" t="s">
        <v>893</v>
      </c>
      <c r="D79" s="114" t="s">
        <v>893</v>
      </c>
      <c r="E79" s="114" t="s">
        <v>893</v>
      </c>
      <c r="F79" s="114" t="s">
        <v>893</v>
      </c>
      <c r="G79" s="114" t="s">
        <v>893</v>
      </c>
      <c r="H79" s="114" t="s">
        <v>893</v>
      </c>
      <c r="I79" s="114" t="s">
        <v>893</v>
      </c>
      <c r="J79" s="114" t="s">
        <v>893</v>
      </c>
      <c r="K79" s="114">
        <v>800000</v>
      </c>
      <c r="L79" s="114">
        <v>946745.56213017751</v>
      </c>
      <c r="M79" s="114" t="s">
        <v>894</v>
      </c>
      <c r="N79" s="114" t="s">
        <v>894</v>
      </c>
      <c r="O79" s="94" t="s">
        <v>973</v>
      </c>
      <c r="P79" s="94" t="s">
        <v>1232</v>
      </c>
      <c r="Q79" s="94" t="s">
        <v>39</v>
      </c>
      <c r="R79" s="94" t="s">
        <v>1255</v>
      </c>
      <c r="S79" s="94" t="s">
        <v>46</v>
      </c>
      <c r="T79" s="94" t="s">
        <v>898</v>
      </c>
      <c r="U79" s="94" t="s">
        <v>62</v>
      </c>
      <c r="V79" s="94" t="s">
        <v>49</v>
      </c>
      <c r="W79" s="94" t="s">
        <v>51</v>
      </c>
      <c r="X79" s="95" t="s">
        <v>171</v>
      </c>
      <c r="Y79" s="95" t="s">
        <v>171</v>
      </c>
      <c r="Z79" s="95" t="s">
        <v>1233</v>
      </c>
    </row>
    <row r="80" spans="1:26" s="105" customFormat="1" ht="144" x14ac:dyDescent="0.25">
      <c r="A80" s="112"/>
      <c r="B80" s="95" t="s">
        <v>892</v>
      </c>
      <c r="C80" s="113" t="s">
        <v>893</v>
      </c>
      <c r="D80" s="114" t="s">
        <v>893</v>
      </c>
      <c r="E80" s="114" t="s">
        <v>893</v>
      </c>
      <c r="F80" s="114" t="s">
        <v>893</v>
      </c>
      <c r="G80" s="114" t="s">
        <v>893</v>
      </c>
      <c r="H80" s="114" t="s">
        <v>893</v>
      </c>
      <c r="I80" s="114" t="s">
        <v>893</v>
      </c>
      <c r="J80" s="114" t="s">
        <v>893</v>
      </c>
      <c r="K80" s="114">
        <v>300000</v>
      </c>
      <c r="L80" s="114">
        <v>355029.58579881658</v>
      </c>
      <c r="M80" s="114" t="s">
        <v>894</v>
      </c>
      <c r="N80" s="114" t="s">
        <v>894</v>
      </c>
      <c r="O80" s="94" t="s">
        <v>973</v>
      </c>
      <c r="P80" s="94" t="s">
        <v>1232</v>
      </c>
      <c r="Q80" s="94" t="s">
        <v>39</v>
      </c>
      <c r="R80" s="94" t="s">
        <v>1255</v>
      </c>
      <c r="S80" s="94" t="s">
        <v>46</v>
      </c>
      <c r="T80" s="94" t="s">
        <v>898</v>
      </c>
      <c r="U80" s="94" t="s">
        <v>62</v>
      </c>
      <c r="V80" s="94" t="s">
        <v>49</v>
      </c>
      <c r="W80" s="94" t="s">
        <v>51</v>
      </c>
      <c r="X80" s="95" t="s">
        <v>171</v>
      </c>
      <c r="Y80" s="95" t="s">
        <v>171</v>
      </c>
      <c r="Z80" s="95" t="s">
        <v>1233</v>
      </c>
    </row>
    <row r="81" spans="1:26" s="105" customFormat="1" ht="84" x14ac:dyDescent="0.25">
      <c r="A81" s="112"/>
      <c r="B81" s="95" t="s">
        <v>892</v>
      </c>
      <c r="C81" s="113" t="s">
        <v>893</v>
      </c>
      <c r="D81" s="114" t="s">
        <v>893</v>
      </c>
      <c r="E81" s="114" t="s">
        <v>893</v>
      </c>
      <c r="F81" s="114" t="s">
        <v>893</v>
      </c>
      <c r="G81" s="114" t="s">
        <v>893</v>
      </c>
      <c r="H81" s="114" t="s">
        <v>893</v>
      </c>
      <c r="I81" s="114" t="s">
        <v>893</v>
      </c>
      <c r="J81" s="114" t="s">
        <v>893</v>
      </c>
      <c r="K81" s="114">
        <v>750190.53264500003</v>
      </c>
      <c r="L81" s="114">
        <v>887799.44691715983</v>
      </c>
      <c r="M81" s="114" t="s">
        <v>894</v>
      </c>
      <c r="N81" s="114" t="s">
        <v>894</v>
      </c>
      <c r="O81" s="94" t="s">
        <v>81</v>
      </c>
      <c r="P81" s="94" t="s">
        <v>1234</v>
      </c>
      <c r="Q81" s="94" t="s">
        <v>39</v>
      </c>
      <c r="R81" s="94" t="s">
        <v>1255</v>
      </c>
      <c r="S81" s="94" t="s">
        <v>46</v>
      </c>
      <c r="T81" s="94" t="s">
        <v>913</v>
      </c>
      <c r="U81" s="94" t="s">
        <v>43</v>
      </c>
      <c r="V81" s="94" t="s">
        <v>50</v>
      </c>
      <c r="W81" s="94" t="s">
        <v>55</v>
      </c>
      <c r="X81" s="95" t="s">
        <v>171</v>
      </c>
      <c r="Y81" s="95" t="s">
        <v>171</v>
      </c>
      <c r="Z81" s="95" t="s">
        <v>1235</v>
      </c>
    </row>
    <row r="82" spans="1:26" s="105" customFormat="1" ht="48" x14ac:dyDescent="0.25">
      <c r="A82" s="112"/>
      <c r="B82" s="95" t="s">
        <v>892</v>
      </c>
      <c r="C82" s="113" t="s">
        <v>893</v>
      </c>
      <c r="D82" s="114" t="s">
        <v>893</v>
      </c>
      <c r="E82" s="114" t="s">
        <v>893</v>
      </c>
      <c r="F82" s="114" t="s">
        <v>893</v>
      </c>
      <c r="G82" s="114" t="s">
        <v>893</v>
      </c>
      <c r="H82" s="114" t="s">
        <v>893</v>
      </c>
      <c r="I82" s="114" t="s">
        <v>893</v>
      </c>
      <c r="J82" s="114" t="s">
        <v>893</v>
      </c>
      <c r="K82" s="114">
        <v>15939109.655724</v>
      </c>
      <c r="L82" s="114">
        <v>18862851.6635787</v>
      </c>
      <c r="M82" s="114" t="s">
        <v>894</v>
      </c>
      <c r="N82" s="114" t="s">
        <v>894</v>
      </c>
      <c r="O82" s="94" t="s">
        <v>1069</v>
      </c>
      <c r="P82" s="94" t="s">
        <v>1330</v>
      </c>
      <c r="Q82" s="94" t="s">
        <v>39</v>
      </c>
      <c r="R82" s="94" t="s">
        <v>1255</v>
      </c>
      <c r="S82" s="94" t="s">
        <v>46</v>
      </c>
      <c r="T82" s="94" t="s">
        <v>913</v>
      </c>
      <c r="U82" s="94" t="s">
        <v>43</v>
      </c>
      <c r="V82" s="94" t="s">
        <v>49</v>
      </c>
      <c r="W82" s="94" t="s">
        <v>51</v>
      </c>
      <c r="X82" s="95" t="s">
        <v>171</v>
      </c>
      <c r="Y82" s="95" t="s">
        <v>171</v>
      </c>
      <c r="Z82" s="95" t="s">
        <v>1331</v>
      </c>
    </row>
    <row r="83" spans="1:26" s="105" customFormat="1" ht="60" x14ac:dyDescent="0.25">
      <c r="A83" s="112"/>
      <c r="B83" s="95" t="s">
        <v>892</v>
      </c>
      <c r="C83" s="113" t="s">
        <v>893</v>
      </c>
      <c r="D83" s="114" t="s">
        <v>893</v>
      </c>
      <c r="E83" s="114" t="s">
        <v>893</v>
      </c>
      <c r="F83" s="114" t="s">
        <v>893</v>
      </c>
      <c r="G83" s="114" t="s">
        <v>893</v>
      </c>
      <c r="H83" s="114" t="s">
        <v>893</v>
      </c>
      <c r="I83" s="114" t="s">
        <v>893</v>
      </c>
      <c r="J83" s="114" t="s">
        <v>893</v>
      </c>
      <c r="K83" s="114">
        <v>12350035.285815001</v>
      </c>
      <c r="L83" s="114">
        <v>14615426.373745563</v>
      </c>
      <c r="M83" s="114" t="s">
        <v>894</v>
      </c>
      <c r="N83" s="114" t="s">
        <v>894</v>
      </c>
      <c r="O83" s="94" t="s">
        <v>1069</v>
      </c>
      <c r="P83" s="94" t="s">
        <v>1332</v>
      </c>
      <c r="Q83" s="94" t="s">
        <v>39</v>
      </c>
      <c r="R83" s="94" t="s">
        <v>1255</v>
      </c>
      <c r="S83" s="94" t="s">
        <v>46</v>
      </c>
      <c r="T83" s="94" t="s">
        <v>913</v>
      </c>
      <c r="U83" s="94" t="s">
        <v>43</v>
      </c>
      <c r="V83" s="94" t="s">
        <v>44</v>
      </c>
      <c r="W83" s="94" t="s">
        <v>45</v>
      </c>
      <c r="X83" s="95" t="s">
        <v>171</v>
      </c>
      <c r="Y83" s="95" t="s">
        <v>171</v>
      </c>
      <c r="Z83" s="95" t="s">
        <v>1333</v>
      </c>
    </row>
    <row r="84" spans="1:26" s="105" customFormat="1" ht="60" x14ac:dyDescent="0.25">
      <c r="A84" s="112"/>
      <c r="B84" s="95" t="s">
        <v>892</v>
      </c>
      <c r="C84" s="113" t="s">
        <v>893</v>
      </c>
      <c r="D84" s="114" t="s">
        <v>893</v>
      </c>
      <c r="E84" s="114" t="s">
        <v>893</v>
      </c>
      <c r="F84" s="114" t="s">
        <v>893</v>
      </c>
      <c r="G84" s="114" t="s">
        <v>893</v>
      </c>
      <c r="H84" s="114" t="s">
        <v>893</v>
      </c>
      <c r="I84" s="114" t="s">
        <v>893</v>
      </c>
      <c r="J84" s="114" t="s">
        <v>893</v>
      </c>
      <c r="K84" s="114">
        <v>90000</v>
      </c>
      <c r="L84" s="114">
        <v>106508.87573964498</v>
      </c>
      <c r="M84" s="114" t="s">
        <v>894</v>
      </c>
      <c r="N84" s="114" t="s">
        <v>894</v>
      </c>
      <c r="O84" s="94" t="s">
        <v>388</v>
      </c>
      <c r="P84" s="94" t="s">
        <v>1334</v>
      </c>
      <c r="Q84" s="94" t="s">
        <v>39</v>
      </c>
      <c r="R84" s="94" t="s">
        <v>1255</v>
      </c>
      <c r="S84" s="94" t="s">
        <v>46</v>
      </c>
      <c r="T84" s="94" t="s">
        <v>898</v>
      </c>
      <c r="U84" s="94" t="s">
        <v>43</v>
      </c>
      <c r="V84" s="94" t="s">
        <v>49</v>
      </c>
      <c r="W84" s="94" t="s">
        <v>51</v>
      </c>
      <c r="X84" s="95" t="s">
        <v>171</v>
      </c>
      <c r="Y84" s="95" t="s">
        <v>171</v>
      </c>
      <c r="Z84" s="95" t="s">
        <v>1335</v>
      </c>
    </row>
    <row r="85" spans="1:26" s="105" customFormat="1" ht="84" x14ac:dyDescent="0.25">
      <c r="A85" s="112"/>
      <c r="B85" s="95" t="s">
        <v>892</v>
      </c>
      <c r="C85" s="113" t="s">
        <v>893</v>
      </c>
      <c r="D85" s="114" t="s">
        <v>893</v>
      </c>
      <c r="E85" s="114" t="s">
        <v>893</v>
      </c>
      <c r="F85" s="114" t="s">
        <v>893</v>
      </c>
      <c r="G85" s="114" t="s">
        <v>893</v>
      </c>
      <c r="H85" s="114" t="s">
        <v>893</v>
      </c>
      <c r="I85" s="114" t="s">
        <v>893</v>
      </c>
      <c r="J85" s="114" t="s">
        <v>893</v>
      </c>
      <c r="K85" s="114">
        <v>19770520.741393998</v>
      </c>
      <c r="L85" s="114">
        <v>23397065.966146745</v>
      </c>
      <c r="M85" s="114" t="s">
        <v>894</v>
      </c>
      <c r="N85" s="114" t="s">
        <v>894</v>
      </c>
      <c r="O85" s="94" t="s">
        <v>1042</v>
      </c>
      <c r="P85" s="94" t="s">
        <v>1236</v>
      </c>
      <c r="Q85" s="94" t="s">
        <v>39</v>
      </c>
      <c r="R85" s="94" t="s">
        <v>1255</v>
      </c>
      <c r="S85" s="94" t="s">
        <v>46</v>
      </c>
      <c r="T85" s="94" t="s">
        <v>913</v>
      </c>
      <c r="U85" s="94" t="s">
        <v>43</v>
      </c>
      <c r="V85" s="94" t="s">
        <v>49</v>
      </c>
      <c r="W85" s="94" t="s">
        <v>51</v>
      </c>
      <c r="X85" s="95" t="s">
        <v>171</v>
      </c>
      <c r="Y85" s="95" t="s">
        <v>171</v>
      </c>
      <c r="Z85" s="95" t="s">
        <v>1238</v>
      </c>
    </row>
    <row r="86" spans="1:26" s="105" customFormat="1" ht="168" x14ac:dyDescent="0.25">
      <c r="A86" s="112"/>
      <c r="B86" s="95" t="s">
        <v>892</v>
      </c>
      <c r="C86" s="113" t="s">
        <v>893</v>
      </c>
      <c r="D86" s="114" t="s">
        <v>893</v>
      </c>
      <c r="E86" s="114" t="s">
        <v>893</v>
      </c>
      <c r="F86" s="114" t="s">
        <v>893</v>
      </c>
      <c r="G86" s="114" t="s">
        <v>893</v>
      </c>
      <c r="H86" s="114" t="s">
        <v>893</v>
      </c>
      <c r="I86" s="114" t="s">
        <v>893</v>
      </c>
      <c r="J86" s="114" t="s">
        <v>893</v>
      </c>
      <c r="K86" s="114">
        <v>900000</v>
      </c>
      <c r="L86" s="114">
        <v>1065088.7573964498</v>
      </c>
      <c r="M86" s="114" t="s">
        <v>894</v>
      </c>
      <c r="N86" s="114" t="s">
        <v>894</v>
      </c>
      <c r="O86" s="94" t="s">
        <v>388</v>
      </c>
      <c r="P86" s="94" t="s">
        <v>1241</v>
      </c>
      <c r="Q86" s="94" t="s">
        <v>39</v>
      </c>
      <c r="R86" s="94" t="s">
        <v>1255</v>
      </c>
      <c r="S86" s="94" t="s">
        <v>46</v>
      </c>
      <c r="T86" s="94" t="s">
        <v>898</v>
      </c>
      <c r="U86" s="94" t="s">
        <v>43</v>
      </c>
      <c r="V86" s="94" t="s">
        <v>234</v>
      </c>
      <c r="W86" s="94" t="s">
        <v>235</v>
      </c>
      <c r="X86" s="95" t="s">
        <v>171</v>
      </c>
      <c r="Y86" s="95" t="s">
        <v>171</v>
      </c>
      <c r="Z86" s="95" t="s">
        <v>1242</v>
      </c>
    </row>
    <row r="87" spans="1:26" s="105" customFormat="1" ht="84" x14ac:dyDescent="0.25">
      <c r="A87" s="112"/>
      <c r="B87" s="95" t="s">
        <v>892</v>
      </c>
      <c r="C87" s="113" t="s">
        <v>893</v>
      </c>
      <c r="D87" s="114" t="s">
        <v>893</v>
      </c>
      <c r="E87" s="114" t="s">
        <v>893</v>
      </c>
      <c r="F87" s="114" t="s">
        <v>893</v>
      </c>
      <c r="G87" s="114" t="s">
        <v>893</v>
      </c>
      <c r="H87" s="114" t="s">
        <v>893</v>
      </c>
      <c r="I87" s="114" t="s">
        <v>893</v>
      </c>
      <c r="J87" s="114" t="s">
        <v>893</v>
      </c>
      <c r="K87" s="114">
        <v>150000000</v>
      </c>
      <c r="L87" s="114">
        <v>177514792.89940828</v>
      </c>
      <c r="M87" s="114" t="s">
        <v>894</v>
      </c>
      <c r="N87" s="114" t="s">
        <v>894</v>
      </c>
      <c r="O87" s="94" t="s">
        <v>616</v>
      </c>
      <c r="P87" s="94" t="s">
        <v>1336</v>
      </c>
      <c r="Q87" s="94" t="s">
        <v>39</v>
      </c>
      <c r="R87" s="94" t="s">
        <v>1255</v>
      </c>
      <c r="S87" s="94" t="s">
        <v>46</v>
      </c>
      <c r="T87" s="94" t="s">
        <v>898</v>
      </c>
      <c r="U87" s="94" t="s">
        <v>43</v>
      </c>
      <c r="V87" s="94" t="s">
        <v>54</v>
      </c>
      <c r="W87" s="94" t="s">
        <v>55</v>
      </c>
      <c r="X87" s="95" t="s">
        <v>171</v>
      </c>
      <c r="Y87" s="95" t="s">
        <v>171</v>
      </c>
      <c r="Z87" s="95" t="s">
        <v>1337</v>
      </c>
    </row>
    <row r="88" spans="1:26" s="105" customFormat="1" ht="96" x14ac:dyDescent="0.25">
      <c r="A88" s="112"/>
      <c r="B88" s="95" t="s">
        <v>892</v>
      </c>
      <c r="C88" s="113" t="s">
        <v>893</v>
      </c>
      <c r="D88" s="114" t="s">
        <v>893</v>
      </c>
      <c r="E88" s="114" t="s">
        <v>893</v>
      </c>
      <c r="F88" s="114" t="s">
        <v>893</v>
      </c>
      <c r="G88" s="114" t="s">
        <v>893</v>
      </c>
      <c r="H88" s="114" t="s">
        <v>893</v>
      </c>
      <c r="I88" s="114" t="s">
        <v>893</v>
      </c>
      <c r="J88" s="114" t="s">
        <v>893</v>
      </c>
      <c r="K88" s="114">
        <v>110000</v>
      </c>
      <c r="L88" s="114">
        <v>130177.51479289941</v>
      </c>
      <c r="M88" s="114" t="s">
        <v>894</v>
      </c>
      <c r="N88" s="114" t="s">
        <v>894</v>
      </c>
      <c r="O88" s="94" t="s">
        <v>1079</v>
      </c>
      <c r="P88" s="94" t="s">
        <v>1184</v>
      </c>
      <c r="Q88" s="94" t="s">
        <v>39</v>
      </c>
      <c r="R88" s="94" t="s">
        <v>1255</v>
      </c>
      <c r="S88" s="94" t="s">
        <v>46</v>
      </c>
      <c r="T88" s="94" t="s">
        <v>898</v>
      </c>
      <c r="U88" s="94" t="s">
        <v>43</v>
      </c>
      <c r="V88" s="94" t="s">
        <v>49</v>
      </c>
      <c r="W88" s="94" t="s">
        <v>51</v>
      </c>
      <c r="X88" s="95" t="s">
        <v>171</v>
      </c>
      <c r="Y88" s="95" t="s">
        <v>171</v>
      </c>
      <c r="Z88" s="95" t="s">
        <v>1185</v>
      </c>
    </row>
    <row r="89" spans="1:26" s="105" customFormat="1" ht="84" x14ac:dyDescent="0.25">
      <c r="A89" s="112"/>
      <c r="B89" s="95" t="s">
        <v>892</v>
      </c>
      <c r="C89" s="113" t="s">
        <v>893</v>
      </c>
      <c r="D89" s="114" t="s">
        <v>893</v>
      </c>
      <c r="E89" s="114" t="s">
        <v>893</v>
      </c>
      <c r="F89" s="114" t="s">
        <v>893</v>
      </c>
      <c r="G89" s="114" t="s">
        <v>893</v>
      </c>
      <c r="H89" s="114" t="s">
        <v>893</v>
      </c>
      <c r="I89" s="114" t="s">
        <v>893</v>
      </c>
      <c r="J89" s="114" t="s">
        <v>893</v>
      </c>
      <c r="K89" s="114">
        <v>300000</v>
      </c>
      <c r="L89" s="114">
        <v>355029.58579881658</v>
      </c>
      <c r="M89" s="114" t="s">
        <v>894</v>
      </c>
      <c r="N89" s="114" t="s">
        <v>894</v>
      </c>
      <c r="O89" s="94" t="s">
        <v>262</v>
      </c>
      <c r="P89" s="94" t="s">
        <v>1162</v>
      </c>
      <c r="Q89" s="94" t="s">
        <v>39</v>
      </c>
      <c r="R89" s="94" t="s">
        <v>1255</v>
      </c>
      <c r="S89" s="94" t="s">
        <v>46</v>
      </c>
      <c r="T89" s="94" t="s">
        <v>898</v>
      </c>
      <c r="U89" s="94" t="s">
        <v>43</v>
      </c>
      <c r="V89" s="94" t="s">
        <v>49</v>
      </c>
      <c r="W89" s="94" t="s">
        <v>51</v>
      </c>
      <c r="X89" s="95" t="s">
        <v>171</v>
      </c>
      <c r="Y89" s="95" t="s">
        <v>171</v>
      </c>
      <c r="Z89" s="95" t="s">
        <v>1163</v>
      </c>
    </row>
    <row r="90" spans="1:26" s="105" customFormat="1" ht="60" x14ac:dyDescent="0.25">
      <c r="A90" s="112"/>
      <c r="B90" s="95" t="s">
        <v>892</v>
      </c>
      <c r="C90" s="113" t="s">
        <v>893</v>
      </c>
      <c r="D90" s="114" t="s">
        <v>893</v>
      </c>
      <c r="E90" s="114" t="s">
        <v>893</v>
      </c>
      <c r="F90" s="114" t="s">
        <v>893</v>
      </c>
      <c r="G90" s="114" t="s">
        <v>893</v>
      </c>
      <c r="H90" s="114" t="s">
        <v>893</v>
      </c>
      <c r="I90" s="114" t="s">
        <v>893</v>
      </c>
      <c r="J90" s="114" t="s">
        <v>893</v>
      </c>
      <c r="K90" s="114">
        <v>320000</v>
      </c>
      <c r="L90" s="114">
        <v>378698.22485207103</v>
      </c>
      <c r="M90" s="114" t="s">
        <v>894</v>
      </c>
      <c r="N90" s="114" t="s">
        <v>894</v>
      </c>
      <c r="O90" s="94" t="s">
        <v>61</v>
      </c>
      <c r="P90" s="94" t="s">
        <v>1178</v>
      </c>
      <c r="Q90" s="94" t="s">
        <v>39</v>
      </c>
      <c r="R90" s="94" t="s">
        <v>1255</v>
      </c>
      <c r="S90" s="94" t="s">
        <v>46</v>
      </c>
      <c r="T90" s="94" t="s">
        <v>898</v>
      </c>
      <c r="U90" s="94" t="s">
        <v>43</v>
      </c>
      <c r="V90" s="94" t="s">
        <v>49</v>
      </c>
      <c r="W90" s="94" t="s">
        <v>51</v>
      </c>
      <c r="X90" s="95" t="s">
        <v>171</v>
      </c>
      <c r="Y90" s="95" t="s">
        <v>171</v>
      </c>
      <c r="Z90" s="95" t="s">
        <v>1179</v>
      </c>
    </row>
    <row r="91" spans="1:26" s="105" customFormat="1" ht="144" x14ac:dyDescent="0.25">
      <c r="A91" s="112"/>
      <c r="B91" s="95" t="s">
        <v>892</v>
      </c>
      <c r="C91" s="113" t="s">
        <v>893</v>
      </c>
      <c r="D91" s="114" t="s">
        <v>893</v>
      </c>
      <c r="E91" s="114" t="s">
        <v>893</v>
      </c>
      <c r="F91" s="114" t="s">
        <v>893</v>
      </c>
      <c r="G91" s="114" t="s">
        <v>893</v>
      </c>
      <c r="H91" s="114" t="s">
        <v>893</v>
      </c>
      <c r="I91" s="114" t="s">
        <v>893</v>
      </c>
      <c r="J91" s="114" t="s">
        <v>893</v>
      </c>
      <c r="K91" s="114">
        <v>800000</v>
      </c>
      <c r="L91" s="114">
        <v>946745.56213017751</v>
      </c>
      <c r="M91" s="114" t="s">
        <v>894</v>
      </c>
      <c r="N91" s="114" t="s">
        <v>894</v>
      </c>
      <c r="O91" s="94" t="s">
        <v>973</v>
      </c>
      <c r="P91" s="94" t="s">
        <v>1232</v>
      </c>
      <c r="Q91" s="94" t="s">
        <v>39</v>
      </c>
      <c r="R91" s="94" t="s">
        <v>1255</v>
      </c>
      <c r="S91" s="94" t="s">
        <v>46</v>
      </c>
      <c r="T91" s="94" t="s">
        <v>898</v>
      </c>
      <c r="U91" s="94" t="s">
        <v>62</v>
      </c>
      <c r="V91" s="94" t="s">
        <v>49</v>
      </c>
      <c r="W91" s="94" t="s">
        <v>51</v>
      </c>
      <c r="X91" s="95" t="s">
        <v>171</v>
      </c>
      <c r="Y91" s="95" t="s">
        <v>171</v>
      </c>
      <c r="Z91" s="95" t="s">
        <v>1233</v>
      </c>
    </row>
    <row r="92" spans="1:26" s="105" customFormat="1" ht="144" x14ac:dyDescent="0.25">
      <c r="A92" s="112"/>
      <c r="B92" s="95" t="s">
        <v>892</v>
      </c>
      <c r="C92" s="113" t="s">
        <v>893</v>
      </c>
      <c r="D92" s="114" t="s">
        <v>893</v>
      </c>
      <c r="E92" s="114" t="s">
        <v>893</v>
      </c>
      <c r="F92" s="114" t="s">
        <v>893</v>
      </c>
      <c r="G92" s="114" t="s">
        <v>893</v>
      </c>
      <c r="H92" s="114" t="s">
        <v>893</v>
      </c>
      <c r="I92" s="114" t="s">
        <v>893</v>
      </c>
      <c r="J92" s="114" t="s">
        <v>893</v>
      </c>
      <c r="K92" s="114">
        <v>300000</v>
      </c>
      <c r="L92" s="114">
        <v>355029.58579881658</v>
      </c>
      <c r="M92" s="114" t="s">
        <v>894</v>
      </c>
      <c r="N92" s="114" t="s">
        <v>894</v>
      </c>
      <c r="O92" s="94" t="s">
        <v>973</v>
      </c>
      <c r="P92" s="94" t="s">
        <v>1232</v>
      </c>
      <c r="Q92" s="94" t="s">
        <v>39</v>
      </c>
      <c r="R92" s="94" t="s">
        <v>1255</v>
      </c>
      <c r="S92" s="94" t="s">
        <v>41</v>
      </c>
      <c r="T92" s="94" t="s">
        <v>898</v>
      </c>
      <c r="U92" s="94" t="s">
        <v>62</v>
      </c>
      <c r="V92" s="94" t="s">
        <v>49</v>
      </c>
      <c r="W92" s="94" t="s">
        <v>51</v>
      </c>
      <c r="X92" s="95" t="s">
        <v>171</v>
      </c>
      <c r="Y92" s="95" t="s">
        <v>171</v>
      </c>
      <c r="Z92" s="95" t="s">
        <v>1233</v>
      </c>
    </row>
    <row r="93" spans="1:26" s="105" customFormat="1" ht="180" x14ac:dyDescent="0.25">
      <c r="A93" s="112"/>
      <c r="B93" s="95" t="s">
        <v>892</v>
      </c>
      <c r="C93" s="113" t="s">
        <v>893</v>
      </c>
      <c r="D93" s="114" t="s">
        <v>893</v>
      </c>
      <c r="E93" s="114" t="s">
        <v>893</v>
      </c>
      <c r="F93" s="114" t="s">
        <v>893</v>
      </c>
      <c r="G93" s="114" t="s">
        <v>893</v>
      </c>
      <c r="H93" s="114" t="s">
        <v>893</v>
      </c>
      <c r="I93" s="114" t="s">
        <v>893</v>
      </c>
      <c r="J93" s="114" t="s">
        <v>893</v>
      </c>
      <c r="K93" s="114">
        <v>244550</v>
      </c>
      <c r="L93" s="114">
        <v>289408.28402366868</v>
      </c>
      <c r="M93" s="114" t="s">
        <v>894</v>
      </c>
      <c r="N93" s="114" t="s">
        <v>894</v>
      </c>
      <c r="O93" s="94" t="s">
        <v>1270</v>
      </c>
      <c r="P93" s="94" t="s">
        <v>1338</v>
      </c>
      <c r="Q93" s="94" t="s">
        <v>39</v>
      </c>
      <c r="R93" s="94" t="s">
        <v>1255</v>
      </c>
      <c r="S93" s="94" t="s">
        <v>46</v>
      </c>
      <c r="T93" s="94" t="s">
        <v>898</v>
      </c>
      <c r="U93" s="94" t="s">
        <v>62</v>
      </c>
      <c r="V93" s="94" t="s">
        <v>49</v>
      </c>
      <c r="W93" s="94" t="s">
        <v>51</v>
      </c>
      <c r="X93" s="95" t="s">
        <v>171</v>
      </c>
      <c r="Y93" s="95" t="s">
        <v>171</v>
      </c>
      <c r="Z93" s="95" t="s">
        <v>1339</v>
      </c>
    </row>
    <row r="94" spans="1:26" s="105" customFormat="1" ht="180" x14ac:dyDescent="0.25">
      <c r="A94" s="112"/>
      <c r="B94" s="95" t="s">
        <v>892</v>
      </c>
      <c r="C94" s="113" t="s">
        <v>893</v>
      </c>
      <c r="D94" s="114" t="s">
        <v>893</v>
      </c>
      <c r="E94" s="114" t="s">
        <v>893</v>
      </c>
      <c r="F94" s="114" t="s">
        <v>893</v>
      </c>
      <c r="G94" s="114" t="s">
        <v>893</v>
      </c>
      <c r="H94" s="114" t="s">
        <v>893</v>
      </c>
      <c r="I94" s="114" t="s">
        <v>893</v>
      </c>
      <c r="J94" s="114" t="s">
        <v>893</v>
      </c>
      <c r="K94" s="114">
        <v>485450</v>
      </c>
      <c r="L94" s="114">
        <v>574497.04142011842</v>
      </c>
      <c r="M94" s="114" t="s">
        <v>894</v>
      </c>
      <c r="N94" s="114" t="s">
        <v>894</v>
      </c>
      <c r="O94" s="94" t="s">
        <v>1051</v>
      </c>
      <c r="P94" s="94" t="s">
        <v>1338</v>
      </c>
      <c r="Q94" s="94" t="s">
        <v>39</v>
      </c>
      <c r="R94" s="94" t="s">
        <v>1255</v>
      </c>
      <c r="S94" s="94" t="s">
        <v>46</v>
      </c>
      <c r="T94" s="94" t="s">
        <v>898</v>
      </c>
      <c r="U94" s="94" t="s">
        <v>62</v>
      </c>
      <c r="V94" s="94" t="s">
        <v>49</v>
      </c>
      <c r="W94" s="94" t="s">
        <v>51</v>
      </c>
      <c r="X94" s="95" t="s">
        <v>171</v>
      </c>
      <c r="Y94" s="95" t="s">
        <v>171</v>
      </c>
      <c r="Z94" s="95" t="s">
        <v>1339</v>
      </c>
    </row>
    <row r="95" spans="1:26" s="105" customFormat="1" ht="168" x14ac:dyDescent="0.25">
      <c r="A95" s="112"/>
      <c r="B95" s="95" t="s">
        <v>892</v>
      </c>
      <c r="C95" s="113" t="s">
        <v>893</v>
      </c>
      <c r="D95" s="114" t="s">
        <v>893</v>
      </c>
      <c r="E95" s="114" t="s">
        <v>893</v>
      </c>
      <c r="F95" s="114" t="s">
        <v>893</v>
      </c>
      <c r="G95" s="114" t="s">
        <v>893</v>
      </c>
      <c r="H95" s="114" t="s">
        <v>893</v>
      </c>
      <c r="I95" s="114" t="s">
        <v>893</v>
      </c>
      <c r="J95" s="114" t="s">
        <v>893</v>
      </c>
      <c r="K95" s="114">
        <v>25000</v>
      </c>
      <c r="L95" s="114">
        <v>29585.798816568047</v>
      </c>
      <c r="M95" s="114" t="s">
        <v>894</v>
      </c>
      <c r="N95" s="114" t="s">
        <v>894</v>
      </c>
      <c r="O95" s="94" t="s">
        <v>1340</v>
      </c>
      <c r="P95" s="94" t="s">
        <v>1215</v>
      </c>
      <c r="Q95" s="94" t="s">
        <v>39</v>
      </c>
      <c r="R95" s="94" t="s">
        <v>1255</v>
      </c>
      <c r="S95" s="94" t="s">
        <v>46</v>
      </c>
      <c r="T95" s="94" t="s">
        <v>898</v>
      </c>
      <c r="U95" s="94" t="s">
        <v>43</v>
      </c>
      <c r="V95" s="94" t="s">
        <v>49</v>
      </c>
      <c r="W95" s="94" t="s">
        <v>51</v>
      </c>
      <c r="X95" s="95" t="s">
        <v>171</v>
      </c>
      <c r="Y95" s="95" t="s">
        <v>171</v>
      </c>
      <c r="Z95" s="95" t="s">
        <v>1216</v>
      </c>
    </row>
    <row r="96" spans="1:26" s="105" customFormat="1" ht="168" x14ac:dyDescent="0.25">
      <c r="A96" s="112"/>
      <c r="B96" s="95" t="s">
        <v>892</v>
      </c>
      <c r="C96" s="113" t="s">
        <v>893</v>
      </c>
      <c r="D96" s="114" t="s">
        <v>893</v>
      </c>
      <c r="E96" s="114" t="s">
        <v>893</v>
      </c>
      <c r="F96" s="114" t="s">
        <v>893</v>
      </c>
      <c r="G96" s="114" t="s">
        <v>893</v>
      </c>
      <c r="H96" s="114" t="s">
        <v>893</v>
      </c>
      <c r="I96" s="114" t="s">
        <v>893</v>
      </c>
      <c r="J96" s="114" t="s">
        <v>893</v>
      </c>
      <c r="K96" s="114">
        <v>75000</v>
      </c>
      <c r="L96" s="114">
        <v>88757.396449704145</v>
      </c>
      <c r="M96" s="114" t="s">
        <v>894</v>
      </c>
      <c r="N96" s="114" t="s">
        <v>894</v>
      </c>
      <c r="O96" s="94" t="s">
        <v>1186</v>
      </c>
      <c r="P96" s="94" t="s">
        <v>1215</v>
      </c>
      <c r="Q96" s="94" t="s">
        <v>39</v>
      </c>
      <c r="R96" s="94" t="s">
        <v>1255</v>
      </c>
      <c r="S96" s="94" t="s">
        <v>46</v>
      </c>
      <c r="T96" s="94" t="s">
        <v>898</v>
      </c>
      <c r="U96" s="94" t="s">
        <v>43</v>
      </c>
      <c r="V96" s="94" t="s">
        <v>49</v>
      </c>
      <c r="W96" s="94" t="s">
        <v>51</v>
      </c>
      <c r="X96" s="95" t="s">
        <v>171</v>
      </c>
      <c r="Y96" s="95" t="s">
        <v>171</v>
      </c>
      <c r="Z96" s="95" t="s">
        <v>1216</v>
      </c>
    </row>
    <row r="97" spans="1:26" s="105" customFormat="1" ht="84" x14ac:dyDescent="0.25">
      <c r="A97" s="112"/>
      <c r="B97" s="95" t="s">
        <v>892</v>
      </c>
      <c r="C97" s="113" t="s">
        <v>893</v>
      </c>
      <c r="D97" s="114" t="s">
        <v>893</v>
      </c>
      <c r="E97" s="114" t="s">
        <v>893</v>
      </c>
      <c r="F97" s="114" t="s">
        <v>893</v>
      </c>
      <c r="G97" s="114" t="s">
        <v>893</v>
      </c>
      <c r="H97" s="114" t="s">
        <v>893</v>
      </c>
      <c r="I97" s="114" t="s">
        <v>893</v>
      </c>
      <c r="J97" s="114" t="s">
        <v>893</v>
      </c>
      <c r="K97" s="114">
        <v>194106.22904499999</v>
      </c>
      <c r="L97" s="114">
        <v>229711.51366272187</v>
      </c>
      <c r="M97" s="114" t="s">
        <v>894</v>
      </c>
      <c r="N97" s="114" t="s">
        <v>894</v>
      </c>
      <c r="O97" s="94" t="s">
        <v>1208</v>
      </c>
      <c r="P97" s="94" t="s">
        <v>1162</v>
      </c>
      <c r="Q97" s="94" t="s">
        <v>39</v>
      </c>
      <c r="R97" s="94" t="s">
        <v>1255</v>
      </c>
      <c r="S97" s="94" t="s">
        <v>46</v>
      </c>
      <c r="T97" s="94" t="s">
        <v>898</v>
      </c>
      <c r="U97" s="94" t="s">
        <v>43</v>
      </c>
      <c r="V97" s="94" t="s">
        <v>49</v>
      </c>
      <c r="W97" s="94" t="s">
        <v>51</v>
      </c>
      <c r="X97" s="95" t="s">
        <v>171</v>
      </c>
      <c r="Y97" s="95" t="s">
        <v>171</v>
      </c>
      <c r="Z97" s="95" t="s">
        <v>1163</v>
      </c>
    </row>
    <row r="98" spans="1:26" s="105" customFormat="1" ht="60" x14ac:dyDescent="0.25">
      <c r="A98" s="112"/>
      <c r="B98" s="95" t="s">
        <v>892</v>
      </c>
      <c r="C98" s="113" t="s">
        <v>893</v>
      </c>
      <c r="D98" s="114" t="s">
        <v>893</v>
      </c>
      <c r="E98" s="114" t="s">
        <v>893</v>
      </c>
      <c r="F98" s="114" t="s">
        <v>893</v>
      </c>
      <c r="G98" s="114" t="s">
        <v>893</v>
      </c>
      <c r="H98" s="114" t="s">
        <v>893</v>
      </c>
      <c r="I98" s="114" t="s">
        <v>893</v>
      </c>
      <c r="J98" s="114" t="s">
        <v>893</v>
      </c>
      <c r="K98" s="114">
        <v>11250000</v>
      </c>
      <c r="L98" s="114">
        <v>13313609.467455622</v>
      </c>
      <c r="M98" s="114" t="s">
        <v>894</v>
      </c>
      <c r="N98" s="114" t="s">
        <v>894</v>
      </c>
      <c r="O98" s="94" t="s">
        <v>1340</v>
      </c>
      <c r="P98" s="94" t="s">
        <v>1341</v>
      </c>
      <c r="Q98" s="94" t="s">
        <v>39</v>
      </c>
      <c r="R98" s="94" t="s">
        <v>1255</v>
      </c>
      <c r="S98" s="94" t="s">
        <v>46</v>
      </c>
      <c r="T98" s="94" t="s">
        <v>913</v>
      </c>
      <c r="U98" s="94" t="s">
        <v>43</v>
      </c>
      <c r="V98" s="94" t="s">
        <v>193</v>
      </c>
      <c r="W98" s="94" t="s">
        <v>194</v>
      </c>
      <c r="X98" s="95" t="s">
        <v>171</v>
      </c>
      <c r="Y98" s="95" t="s">
        <v>171</v>
      </c>
      <c r="Z98" s="95" t="s">
        <v>1342</v>
      </c>
    </row>
    <row r="99" spans="1:26" s="105" customFormat="1" ht="60" x14ac:dyDescent="0.25">
      <c r="A99" s="112"/>
      <c r="B99" s="95" t="s">
        <v>892</v>
      </c>
      <c r="C99" s="113" t="s">
        <v>893</v>
      </c>
      <c r="D99" s="114" t="s">
        <v>893</v>
      </c>
      <c r="E99" s="114" t="s">
        <v>893</v>
      </c>
      <c r="F99" s="114" t="s">
        <v>893</v>
      </c>
      <c r="G99" s="114" t="s">
        <v>893</v>
      </c>
      <c r="H99" s="114" t="s">
        <v>893</v>
      </c>
      <c r="I99" s="114" t="s">
        <v>893</v>
      </c>
      <c r="J99" s="114" t="s">
        <v>893</v>
      </c>
      <c r="K99" s="114">
        <v>11250000</v>
      </c>
      <c r="L99" s="114">
        <v>13313609.467455622</v>
      </c>
      <c r="M99" s="114" t="s">
        <v>894</v>
      </c>
      <c r="N99" s="114" t="s">
        <v>894</v>
      </c>
      <c r="O99" s="94" t="s">
        <v>1186</v>
      </c>
      <c r="P99" s="94" t="s">
        <v>1341</v>
      </c>
      <c r="Q99" s="94" t="s">
        <v>39</v>
      </c>
      <c r="R99" s="94" t="s">
        <v>1255</v>
      </c>
      <c r="S99" s="94" t="s">
        <v>46</v>
      </c>
      <c r="T99" s="94" t="s">
        <v>913</v>
      </c>
      <c r="U99" s="94" t="s">
        <v>43</v>
      </c>
      <c r="V99" s="94" t="s">
        <v>193</v>
      </c>
      <c r="W99" s="94" t="s">
        <v>194</v>
      </c>
      <c r="X99" s="95" t="s">
        <v>171</v>
      </c>
      <c r="Y99" s="95" t="s">
        <v>171</v>
      </c>
      <c r="Z99" s="95" t="s">
        <v>1342</v>
      </c>
    </row>
    <row r="100" spans="1:26" s="105" customFormat="1" ht="96" x14ac:dyDescent="0.25">
      <c r="A100" s="112"/>
      <c r="B100" s="95" t="s">
        <v>892</v>
      </c>
      <c r="C100" s="113" t="s">
        <v>893</v>
      </c>
      <c r="D100" s="114" t="s">
        <v>893</v>
      </c>
      <c r="E100" s="114" t="s">
        <v>893</v>
      </c>
      <c r="F100" s="114" t="s">
        <v>893</v>
      </c>
      <c r="G100" s="114" t="s">
        <v>893</v>
      </c>
      <c r="H100" s="114" t="s">
        <v>893</v>
      </c>
      <c r="I100" s="114" t="s">
        <v>893</v>
      </c>
      <c r="J100" s="114" t="s">
        <v>893</v>
      </c>
      <c r="K100" s="114">
        <v>45470000</v>
      </c>
      <c r="L100" s="114">
        <v>53810650.887573965</v>
      </c>
      <c r="M100" s="114" t="s">
        <v>894</v>
      </c>
      <c r="N100" s="114" t="s">
        <v>894</v>
      </c>
      <c r="O100" s="94" t="s">
        <v>1042</v>
      </c>
      <c r="P100" s="94" t="s">
        <v>1243</v>
      </c>
      <c r="Q100" s="94" t="s">
        <v>39</v>
      </c>
      <c r="R100" s="94" t="s">
        <v>1255</v>
      </c>
      <c r="S100" s="94" t="s">
        <v>46</v>
      </c>
      <c r="T100" s="94" t="s">
        <v>898</v>
      </c>
      <c r="U100" s="94" t="s">
        <v>43</v>
      </c>
      <c r="V100" s="94" t="s">
        <v>193</v>
      </c>
      <c r="W100" s="94" t="s">
        <v>194</v>
      </c>
      <c r="X100" s="95" t="s">
        <v>171</v>
      </c>
      <c r="Y100" s="95" t="s">
        <v>171</v>
      </c>
      <c r="Z100" s="95" t="s">
        <v>1244</v>
      </c>
    </row>
    <row r="101" spans="1:26" s="105" customFormat="1" ht="72" x14ac:dyDescent="0.25">
      <c r="A101" s="112"/>
      <c r="B101" s="95" t="s">
        <v>892</v>
      </c>
      <c r="C101" s="113" t="s">
        <v>893</v>
      </c>
      <c r="D101" s="114" t="s">
        <v>893</v>
      </c>
      <c r="E101" s="114" t="s">
        <v>893</v>
      </c>
      <c r="F101" s="114" t="s">
        <v>893</v>
      </c>
      <c r="G101" s="114" t="s">
        <v>893</v>
      </c>
      <c r="H101" s="114" t="s">
        <v>893</v>
      </c>
      <c r="I101" s="114" t="s">
        <v>893</v>
      </c>
      <c r="J101" s="114" t="s">
        <v>893</v>
      </c>
      <c r="K101" s="114">
        <v>1000000</v>
      </c>
      <c r="L101" s="114">
        <v>1183431.952662722</v>
      </c>
      <c r="M101" s="114" t="s">
        <v>894</v>
      </c>
      <c r="N101" s="114" t="s">
        <v>894</v>
      </c>
      <c r="O101" s="94" t="s">
        <v>789</v>
      </c>
      <c r="P101" s="94" t="s">
        <v>1140</v>
      </c>
      <c r="Q101" s="94" t="s">
        <v>39</v>
      </c>
      <c r="R101" s="94" t="s">
        <v>1255</v>
      </c>
      <c r="S101" s="94" t="s">
        <v>46</v>
      </c>
      <c r="T101" s="94" t="s">
        <v>42</v>
      </c>
      <c r="U101" s="94" t="s">
        <v>43</v>
      </c>
      <c r="V101" s="94" t="s">
        <v>50</v>
      </c>
      <c r="W101" s="94" t="s">
        <v>82</v>
      </c>
      <c r="X101" s="95" t="s">
        <v>171</v>
      </c>
      <c r="Y101" s="95" t="s">
        <v>171</v>
      </c>
      <c r="Z101" s="95" t="s">
        <v>1141</v>
      </c>
    </row>
    <row r="102" spans="1:26" s="105" customFormat="1" ht="72" x14ac:dyDescent="0.25">
      <c r="A102" s="112"/>
      <c r="B102" s="95" t="s">
        <v>892</v>
      </c>
      <c r="C102" s="113" t="s">
        <v>893</v>
      </c>
      <c r="D102" s="114" t="s">
        <v>893</v>
      </c>
      <c r="E102" s="114" t="s">
        <v>893</v>
      </c>
      <c r="F102" s="114" t="s">
        <v>893</v>
      </c>
      <c r="G102" s="114" t="s">
        <v>893</v>
      </c>
      <c r="H102" s="114" t="s">
        <v>893</v>
      </c>
      <c r="I102" s="114" t="s">
        <v>893</v>
      </c>
      <c r="J102" s="114" t="s">
        <v>893</v>
      </c>
      <c r="K102" s="114">
        <v>1000000</v>
      </c>
      <c r="L102" s="114">
        <v>1183431.952662722</v>
      </c>
      <c r="M102" s="114" t="s">
        <v>894</v>
      </c>
      <c r="N102" s="114" t="s">
        <v>894</v>
      </c>
      <c r="O102" s="94" t="s">
        <v>789</v>
      </c>
      <c r="P102" s="94" t="s">
        <v>1140</v>
      </c>
      <c r="Q102" s="94" t="s">
        <v>39</v>
      </c>
      <c r="R102" s="94" t="s">
        <v>1255</v>
      </c>
      <c r="S102" s="94" t="s">
        <v>46</v>
      </c>
      <c r="T102" s="94" t="s">
        <v>42</v>
      </c>
      <c r="U102" s="94" t="s">
        <v>43</v>
      </c>
      <c r="V102" s="94" t="s">
        <v>50</v>
      </c>
      <c r="W102" s="94" t="s">
        <v>82</v>
      </c>
      <c r="X102" s="95" t="s">
        <v>171</v>
      </c>
      <c r="Y102" s="95" t="s">
        <v>171</v>
      </c>
      <c r="Z102" s="95" t="s">
        <v>1141</v>
      </c>
    </row>
    <row r="103" spans="1:26" s="105" customFormat="1" ht="180" x14ac:dyDescent="0.25">
      <c r="A103" s="112"/>
      <c r="B103" s="95" t="s">
        <v>892</v>
      </c>
      <c r="C103" s="113" t="s">
        <v>893</v>
      </c>
      <c r="D103" s="114" t="s">
        <v>893</v>
      </c>
      <c r="E103" s="114" t="s">
        <v>893</v>
      </c>
      <c r="F103" s="114" t="s">
        <v>893</v>
      </c>
      <c r="G103" s="114" t="s">
        <v>893</v>
      </c>
      <c r="H103" s="114" t="s">
        <v>893</v>
      </c>
      <c r="I103" s="114" t="s">
        <v>893</v>
      </c>
      <c r="J103" s="114" t="s">
        <v>893</v>
      </c>
      <c r="K103" s="114">
        <v>140700</v>
      </c>
      <c r="L103" s="114">
        <v>166508.87573964498</v>
      </c>
      <c r="M103" s="114" t="s">
        <v>894</v>
      </c>
      <c r="N103" s="114" t="s">
        <v>894</v>
      </c>
      <c r="O103" s="94" t="s">
        <v>1270</v>
      </c>
      <c r="P103" s="94" t="s">
        <v>1338</v>
      </c>
      <c r="Q103" s="94" t="s">
        <v>39</v>
      </c>
      <c r="R103" s="94" t="s">
        <v>1255</v>
      </c>
      <c r="S103" s="94" t="s">
        <v>46</v>
      </c>
      <c r="T103" s="94" t="s">
        <v>898</v>
      </c>
      <c r="U103" s="94" t="s">
        <v>62</v>
      </c>
      <c r="V103" s="94" t="s">
        <v>49</v>
      </c>
      <c r="W103" s="94" t="s">
        <v>51</v>
      </c>
      <c r="X103" s="95" t="s">
        <v>171</v>
      </c>
      <c r="Y103" s="95" t="s">
        <v>171</v>
      </c>
      <c r="Z103" s="95" t="s">
        <v>1339</v>
      </c>
    </row>
    <row r="104" spans="1:26" s="105" customFormat="1" ht="180" x14ac:dyDescent="0.25">
      <c r="A104" s="112"/>
      <c r="B104" s="95" t="s">
        <v>892</v>
      </c>
      <c r="C104" s="113" t="s">
        <v>893</v>
      </c>
      <c r="D104" s="114" t="s">
        <v>893</v>
      </c>
      <c r="E104" s="114" t="s">
        <v>893</v>
      </c>
      <c r="F104" s="114" t="s">
        <v>893</v>
      </c>
      <c r="G104" s="114" t="s">
        <v>893</v>
      </c>
      <c r="H104" s="114" t="s">
        <v>893</v>
      </c>
      <c r="I104" s="114" t="s">
        <v>893</v>
      </c>
      <c r="J104" s="114" t="s">
        <v>893</v>
      </c>
      <c r="K104" s="114">
        <v>279300</v>
      </c>
      <c r="L104" s="114">
        <v>330532.54437869822</v>
      </c>
      <c r="M104" s="114" t="s">
        <v>894</v>
      </c>
      <c r="N104" s="114" t="s">
        <v>894</v>
      </c>
      <c r="O104" s="94" t="s">
        <v>1051</v>
      </c>
      <c r="P104" s="94" t="s">
        <v>1338</v>
      </c>
      <c r="Q104" s="94" t="s">
        <v>39</v>
      </c>
      <c r="R104" s="94" t="s">
        <v>1255</v>
      </c>
      <c r="S104" s="94" t="s">
        <v>46</v>
      </c>
      <c r="T104" s="94" t="s">
        <v>898</v>
      </c>
      <c r="U104" s="94" t="s">
        <v>62</v>
      </c>
      <c r="V104" s="94" t="s">
        <v>49</v>
      </c>
      <c r="W104" s="94" t="s">
        <v>51</v>
      </c>
      <c r="X104" s="95" t="s">
        <v>171</v>
      </c>
      <c r="Y104" s="95" t="s">
        <v>171</v>
      </c>
      <c r="Z104" s="95" t="s">
        <v>1339</v>
      </c>
    </row>
    <row r="105" spans="1:26" s="105" customFormat="1" ht="96" x14ac:dyDescent="0.25">
      <c r="A105" s="112"/>
      <c r="B105" s="95" t="s">
        <v>892</v>
      </c>
      <c r="C105" s="113" t="s">
        <v>893</v>
      </c>
      <c r="D105" s="114" t="s">
        <v>893</v>
      </c>
      <c r="E105" s="114" t="s">
        <v>893</v>
      </c>
      <c r="F105" s="114" t="s">
        <v>893</v>
      </c>
      <c r="G105" s="114" t="s">
        <v>893</v>
      </c>
      <c r="H105" s="114" t="s">
        <v>893</v>
      </c>
      <c r="I105" s="114" t="s">
        <v>893</v>
      </c>
      <c r="J105" s="114" t="s">
        <v>893</v>
      </c>
      <c r="K105" s="114">
        <v>100000</v>
      </c>
      <c r="L105" s="114">
        <v>118343.19526627219</v>
      </c>
      <c r="M105" s="114" t="s">
        <v>894</v>
      </c>
      <c r="N105" s="114" t="s">
        <v>894</v>
      </c>
      <c r="O105" s="94" t="s">
        <v>1079</v>
      </c>
      <c r="P105" s="94" t="s">
        <v>1184</v>
      </c>
      <c r="Q105" s="94" t="s">
        <v>39</v>
      </c>
      <c r="R105" s="94" t="s">
        <v>1255</v>
      </c>
      <c r="S105" s="94" t="s">
        <v>46</v>
      </c>
      <c r="T105" s="94" t="s">
        <v>898</v>
      </c>
      <c r="U105" s="94" t="s">
        <v>43</v>
      </c>
      <c r="V105" s="94" t="s">
        <v>49</v>
      </c>
      <c r="W105" s="94" t="s">
        <v>51</v>
      </c>
      <c r="X105" s="95" t="s">
        <v>171</v>
      </c>
      <c r="Y105" s="95" t="s">
        <v>171</v>
      </c>
      <c r="Z105" s="95" t="s">
        <v>1185</v>
      </c>
    </row>
    <row r="106" spans="1:26" s="105" customFormat="1" ht="168" x14ac:dyDescent="0.25">
      <c r="A106" s="112"/>
      <c r="B106" s="95" t="s">
        <v>892</v>
      </c>
      <c r="C106" s="113" t="s">
        <v>893</v>
      </c>
      <c r="D106" s="114" t="s">
        <v>893</v>
      </c>
      <c r="E106" s="114" t="s">
        <v>893</v>
      </c>
      <c r="F106" s="114" t="s">
        <v>893</v>
      </c>
      <c r="G106" s="114" t="s">
        <v>893</v>
      </c>
      <c r="H106" s="114" t="s">
        <v>893</v>
      </c>
      <c r="I106" s="114" t="s">
        <v>893</v>
      </c>
      <c r="J106" s="114" t="s">
        <v>893</v>
      </c>
      <c r="K106" s="114">
        <v>320000</v>
      </c>
      <c r="L106" s="114">
        <v>378698.22485207103</v>
      </c>
      <c r="M106" s="114" t="s">
        <v>894</v>
      </c>
      <c r="N106" s="114" t="s">
        <v>894</v>
      </c>
      <c r="O106" s="94" t="s">
        <v>1340</v>
      </c>
      <c r="P106" s="94" t="s">
        <v>1215</v>
      </c>
      <c r="Q106" s="94" t="s">
        <v>39</v>
      </c>
      <c r="R106" s="94" t="s">
        <v>1255</v>
      </c>
      <c r="S106" s="94" t="s">
        <v>46</v>
      </c>
      <c r="T106" s="94" t="s">
        <v>898</v>
      </c>
      <c r="U106" s="94" t="s">
        <v>43</v>
      </c>
      <c r="V106" s="94" t="s">
        <v>49</v>
      </c>
      <c r="W106" s="94" t="s">
        <v>51</v>
      </c>
      <c r="X106" s="95" t="s">
        <v>171</v>
      </c>
      <c r="Y106" s="95" t="s">
        <v>171</v>
      </c>
      <c r="Z106" s="95" t="s">
        <v>1216</v>
      </c>
    </row>
    <row r="107" spans="1:26" s="105" customFormat="1" ht="168" x14ac:dyDescent="0.25">
      <c r="A107" s="112"/>
      <c r="B107" s="95" t="s">
        <v>892</v>
      </c>
      <c r="C107" s="113" t="s">
        <v>893</v>
      </c>
      <c r="D107" s="114" t="s">
        <v>893</v>
      </c>
      <c r="E107" s="114" t="s">
        <v>893</v>
      </c>
      <c r="F107" s="114" t="s">
        <v>893</v>
      </c>
      <c r="G107" s="114" t="s">
        <v>893</v>
      </c>
      <c r="H107" s="114" t="s">
        <v>893</v>
      </c>
      <c r="I107" s="114" t="s">
        <v>893</v>
      </c>
      <c r="J107" s="114" t="s">
        <v>893</v>
      </c>
      <c r="K107" s="114">
        <v>960000</v>
      </c>
      <c r="L107" s="114">
        <v>1136094.674556213</v>
      </c>
      <c r="M107" s="114" t="s">
        <v>894</v>
      </c>
      <c r="N107" s="114" t="s">
        <v>894</v>
      </c>
      <c r="O107" s="94" t="s">
        <v>1186</v>
      </c>
      <c r="P107" s="94" t="s">
        <v>1215</v>
      </c>
      <c r="Q107" s="94" t="s">
        <v>39</v>
      </c>
      <c r="R107" s="94" t="s">
        <v>1255</v>
      </c>
      <c r="S107" s="94" t="s">
        <v>46</v>
      </c>
      <c r="T107" s="94" t="s">
        <v>898</v>
      </c>
      <c r="U107" s="94" t="s">
        <v>43</v>
      </c>
      <c r="V107" s="94" t="s">
        <v>49</v>
      </c>
      <c r="W107" s="94" t="s">
        <v>51</v>
      </c>
      <c r="X107" s="95" t="s">
        <v>171</v>
      </c>
      <c r="Y107" s="95" t="s">
        <v>171</v>
      </c>
      <c r="Z107" s="95" t="s">
        <v>1216</v>
      </c>
    </row>
    <row r="108" spans="1:26" s="105" customFormat="1" ht="144" x14ac:dyDescent="0.25">
      <c r="A108" s="112"/>
      <c r="B108" s="95" t="s">
        <v>892</v>
      </c>
      <c r="C108" s="113" t="s">
        <v>893</v>
      </c>
      <c r="D108" s="114" t="s">
        <v>893</v>
      </c>
      <c r="E108" s="114" t="s">
        <v>893</v>
      </c>
      <c r="F108" s="114" t="s">
        <v>893</v>
      </c>
      <c r="G108" s="114" t="s">
        <v>893</v>
      </c>
      <c r="H108" s="114" t="s">
        <v>893</v>
      </c>
      <c r="I108" s="114" t="s">
        <v>893</v>
      </c>
      <c r="J108" s="114" t="s">
        <v>893</v>
      </c>
      <c r="K108" s="114">
        <v>300000</v>
      </c>
      <c r="L108" s="114">
        <v>355029.58579881658</v>
      </c>
      <c r="M108" s="114" t="s">
        <v>894</v>
      </c>
      <c r="N108" s="114" t="s">
        <v>894</v>
      </c>
      <c r="O108" s="94" t="s">
        <v>973</v>
      </c>
      <c r="P108" s="94" t="s">
        <v>1232</v>
      </c>
      <c r="Q108" s="94" t="s">
        <v>39</v>
      </c>
      <c r="R108" s="94" t="s">
        <v>1255</v>
      </c>
      <c r="S108" s="94" t="s">
        <v>46</v>
      </c>
      <c r="T108" s="94" t="s">
        <v>898</v>
      </c>
      <c r="U108" s="94" t="s">
        <v>62</v>
      </c>
      <c r="V108" s="94" t="s">
        <v>49</v>
      </c>
      <c r="W108" s="94" t="s">
        <v>51</v>
      </c>
      <c r="X108" s="95" t="s">
        <v>171</v>
      </c>
      <c r="Y108" s="95" t="s">
        <v>171</v>
      </c>
      <c r="Z108" s="95" t="s">
        <v>1233</v>
      </c>
    </row>
    <row r="109" spans="1:26" s="105" customFormat="1" ht="96" x14ac:dyDescent="0.25">
      <c r="A109" s="112"/>
      <c r="B109" s="95" t="s">
        <v>892</v>
      </c>
      <c r="C109" s="113" t="s">
        <v>893</v>
      </c>
      <c r="D109" s="114" t="s">
        <v>893</v>
      </c>
      <c r="E109" s="114" t="s">
        <v>893</v>
      </c>
      <c r="F109" s="114" t="s">
        <v>893</v>
      </c>
      <c r="G109" s="114" t="s">
        <v>893</v>
      </c>
      <c r="H109" s="114" t="s">
        <v>893</v>
      </c>
      <c r="I109" s="114" t="s">
        <v>893</v>
      </c>
      <c r="J109" s="114" t="s">
        <v>893</v>
      </c>
      <c r="K109" s="114">
        <v>50000</v>
      </c>
      <c r="L109" s="114">
        <v>59171.597633136094</v>
      </c>
      <c r="M109" s="114" t="s">
        <v>894</v>
      </c>
      <c r="N109" s="114" t="s">
        <v>894</v>
      </c>
      <c r="O109" s="94" t="s">
        <v>1079</v>
      </c>
      <c r="P109" s="94" t="s">
        <v>1184</v>
      </c>
      <c r="Q109" s="94" t="s">
        <v>39</v>
      </c>
      <c r="R109" s="94" t="s">
        <v>1255</v>
      </c>
      <c r="S109" s="94" t="s">
        <v>46</v>
      </c>
      <c r="T109" s="94" t="s">
        <v>898</v>
      </c>
      <c r="U109" s="94" t="s">
        <v>43</v>
      </c>
      <c r="V109" s="94" t="s">
        <v>49</v>
      </c>
      <c r="W109" s="94" t="s">
        <v>51</v>
      </c>
      <c r="X109" s="95" t="s">
        <v>171</v>
      </c>
      <c r="Y109" s="95" t="s">
        <v>171</v>
      </c>
      <c r="Z109" s="95" t="s">
        <v>1185</v>
      </c>
    </row>
    <row r="110" spans="1:26" s="105" customFormat="1" ht="84" x14ac:dyDescent="0.25">
      <c r="A110" s="112"/>
      <c r="B110" s="95" t="s">
        <v>892</v>
      </c>
      <c r="C110" s="113" t="s">
        <v>893</v>
      </c>
      <c r="D110" s="114" t="s">
        <v>893</v>
      </c>
      <c r="E110" s="114" t="s">
        <v>893</v>
      </c>
      <c r="F110" s="114" t="s">
        <v>893</v>
      </c>
      <c r="G110" s="114" t="s">
        <v>893</v>
      </c>
      <c r="H110" s="114" t="s">
        <v>893</v>
      </c>
      <c r="I110" s="114" t="s">
        <v>893</v>
      </c>
      <c r="J110" s="114" t="s">
        <v>893</v>
      </c>
      <c r="K110" s="114">
        <v>95402298.850576997</v>
      </c>
      <c r="L110" s="114">
        <v>112902128.81725089</v>
      </c>
      <c r="M110" s="114" t="s">
        <v>894</v>
      </c>
      <c r="N110" s="114" t="s">
        <v>894</v>
      </c>
      <c r="O110" s="94" t="s">
        <v>1019</v>
      </c>
      <c r="P110" s="94" t="s">
        <v>1248</v>
      </c>
      <c r="Q110" s="94" t="s">
        <v>39</v>
      </c>
      <c r="R110" s="94" t="s">
        <v>1255</v>
      </c>
      <c r="S110" s="94" t="s">
        <v>46</v>
      </c>
      <c r="T110" s="94" t="s">
        <v>898</v>
      </c>
      <c r="U110" s="94" t="s">
        <v>43</v>
      </c>
      <c r="V110" s="94" t="s">
        <v>193</v>
      </c>
      <c r="W110" s="94" t="s">
        <v>194</v>
      </c>
      <c r="X110" s="95" t="s">
        <v>171</v>
      </c>
      <c r="Y110" s="95" t="s">
        <v>171</v>
      </c>
      <c r="Z110" s="95" t="s">
        <v>1249</v>
      </c>
    </row>
    <row r="111" spans="1:26" s="105" customFormat="1" ht="84" x14ac:dyDescent="0.25">
      <c r="A111" s="112"/>
      <c r="B111" s="95" t="s">
        <v>892</v>
      </c>
      <c r="C111" s="113" t="s">
        <v>893</v>
      </c>
      <c r="D111" s="114" t="s">
        <v>893</v>
      </c>
      <c r="E111" s="114" t="s">
        <v>893</v>
      </c>
      <c r="F111" s="114" t="s">
        <v>893</v>
      </c>
      <c r="G111" s="114" t="s">
        <v>893</v>
      </c>
      <c r="H111" s="114" t="s">
        <v>893</v>
      </c>
      <c r="I111" s="114" t="s">
        <v>893</v>
      </c>
      <c r="J111" s="114" t="s">
        <v>893</v>
      </c>
      <c r="K111" s="114">
        <v>5625000</v>
      </c>
      <c r="L111" s="114">
        <v>6656804.7337278109</v>
      </c>
      <c r="M111" s="114" t="s">
        <v>894</v>
      </c>
      <c r="N111" s="114" t="s">
        <v>894</v>
      </c>
      <c r="O111" s="94" t="s">
        <v>61</v>
      </c>
      <c r="P111" s="94" t="s">
        <v>1091</v>
      </c>
      <c r="Q111" s="94" t="s">
        <v>39</v>
      </c>
      <c r="R111" s="94" t="s">
        <v>1255</v>
      </c>
      <c r="S111" s="94" t="s">
        <v>46</v>
      </c>
      <c r="T111" s="94" t="s">
        <v>898</v>
      </c>
      <c r="U111" s="94" t="s">
        <v>62</v>
      </c>
      <c r="V111" s="94" t="s">
        <v>44</v>
      </c>
      <c r="W111" s="94" t="s">
        <v>45</v>
      </c>
      <c r="X111" s="95" t="s">
        <v>171</v>
      </c>
      <c r="Y111" s="95" t="s">
        <v>171</v>
      </c>
      <c r="Z111" s="95" t="s">
        <v>1092</v>
      </c>
    </row>
    <row r="112" spans="1:26" s="105" customFormat="1" ht="60" x14ac:dyDescent="0.25">
      <c r="A112" s="112"/>
      <c r="B112" s="95" t="s">
        <v>892</v>
      </c>
      <c r="C112" s="113" t="s">
        <v>893</v>
      </c>
      <c r="D112" s="114" t="s">
        <v>893</v>
      </c>
      <c r="E112" s="114" t="s">
        <v>893</v>
      </c>
      <c r="F112" s="114" t="s">
        <v>893</v>
      </c>
      <c r="G112" s="114" t="s">
        <v>893</v>
      </c>
      <c r="H112" s="114" t="s">
        <v>893</v>
      </c>
      <c r="I112" s="114" t="s">
        <v>893</v>
      </c>
      <c r="J112" s="114" t="s">
        <v>893</v>
      </c>
      <c r="K112" s="114">
        <v>220000</v>
      </c>
      <c r="L112" s="114">
        <v>260355.02958579882</v>
      </c>
      <c r="M112" s="114" t="s">
        <v>894</v>
      </c>
      <c r="N112" s="114" t="s">
        <v>894</v>
      </c>
      <c r="O112" s="94" t="s">
        <v>476</v>
      </c>
      <c r="P112" s="94" t="s">
        <v>1343</v>
      </c>
      <c r="Q112" s="94" t="s">
        <v>39</v>
      </c>
      <c r="R112" s="94" t="s">
        <v>1255</v>
      </c>
      <c r="S112" s="94" t="s">
        <v>46</v>
      </c>
      <c r="T112" s="94" t="s">
        <v>898</v>
      </c>
      <c r="U112" s="94" t="s">
        <v>43</v>
      </c>
      <c r="V112" s="94" t="s">
        <v>49</v>
      </c>
      <c r="W112" s="94" t="s">
        <v>51</v>
      </c>
      <c r="X112" s="95" t="s">
        <v>171</v>
      </c>
      <c r="Y112" s="95" t="s">
        <v>171</v>
      </c>
      <c r="Z112" s="95" t="s">
        <v>1344</v>
      </c>
    </row>
    <row r="113" spans="1:26" s="105" customFormat="1" ht="132" x14ac:dyDescent="0.25">
      <c r="A113" s="112"/>
      <c r="B113" s="95" t="s">
        <v>892</v>
      </c>
      <c r="C113" s="113" t="s">
        <v>893</v>
      </c>
      <c r="D113" s="114" t="s">
        <v>893</v>
      </c>
      <c r="E113" s="114" t="s">
        <v>893</v>
      </c>
      <c r="F113" s="114" t="s">
        <v>893</v>
      </c>
      <c r="G113" s="114" t="s">
        <v>893</v>
      </c>
      <c r="H113" s="114" t="s">
        <v>893</v>
      </c>
      <c r="I113" s="114" t="s">
        <v>893</v>
      </c>
      <c r="J113" s="114" t="s">
        <v>893</v>
      </c>
      <c r="K113" s="114">
        <v>2700000</v>
      </c>
      <c r="L113" s="114">
        <v>3195266.2721893494</v>
      </c>
      <c r="M113" s="114" t="s">
        <v>894</v>
      </c>
      <c r="N113" s="114" t="s">
        <v>894</v>
      </c>
      <c r="O113" s="94" t="s">
        <v>1143</v>
      </c>
      <c r="P113" s="94" t="s">
        <v>1345</v>
      </c>
      <c r="Q113" s="94" t="s">
        <v>39</v>
      </c>
      <c r="R113" s="94" t="s">
        <v>1255</v>
      </c>
      <c r="S113" s="94" t="s">
        <v>46</v>
      </c>
      <c r="T113" s="94" t="s">
        <v>42</v>
      </c>
      <c r="U113" s="94" t="s">
        <v>62</v>
      </c>
      <c r="V113" s="94" t="s">
        <v>54</v>
      </c>
      <c r="W113" s="94" t="s">
        <v>55</v>
      </c>
      <c r="X113" s="95" t="s">
        <v>171</v>
      </c>
      <c r="Y113" s="95" t="s">
        <v>171</v>
      </c>
      <c r="Z113" s="95" t="s">
        <v>1346</v>
      </c>
    </row>
    <row r="114" spans="1:26" s="105" customFormat="1" ht="144" x14ac:dyDescent="0.25">
      <c r="A114" s="112"/>
      <c r="B114" s="95" t="s">
        <v>892</v>
      </c>
      <c r="C114" s="113" t="s">
        <v>893</v>
      </c>
      <c r="D114" s="114" t="s">
        <v>893</v>
      </c>
      <c r="E114" s="114" t="s">
        <v>893</v>
      </c>
      <c r="F114" s="114" t="s">
        <v>893</v>
      </c>
      <c r="G114" s="114" t="s">
        <v>893</v>
      </c>
      <c r="H114" s="114" t="s">
        <v>893</v>
      </c>
      <c r="I114" s="114" t="s">
        <v>893</v>
      </c>
      <c r="J114" s="114" t="s">
        <v>893</v>
      </c>
      <c r="K114" s="114">
        <v>1000000</v>
      </c>
      <c r="L114" s="114">
        <v>1183431.952662722</v>
      </c>
      <c r="M114" s="114" t="s">
        <v>894</v>
      </c>
      <c r="N114" s="114" t="s">
        <v>894</v>
      </c>
      <c r="O114" s="94" t="s">
        <v>973</v>
      </c>
      <c r="P114" s="94" t="s">
        <v>1232</v>
      </c>
      <c r="Q114" s="94" t="s">
        <v>39</v>
      </c>
      <c r="R114" s="94" t="s">
        <v>1255</v>
      </c>
      <c r="S114" s="94" t="s">
        <v>46</v>
      </c>
      <c r="T114" s="94" t="s">
        <v>898</v>
      </c>
      <c r="U114" s="94" t="s">
        <v>62</v>
      </c>
      <c r="V114" s="94" t="s">
        <v>49</v>
      </c>
      <c r="W114" s="94" t="s">
        <v>51</v>
      </c>
      <c r="X114" s="95" t="s">
        <v>171</v>
      </c>
      <c r="Y114" s="95" t="s">
        <v>171</v>
      </c>
      <c r="Z114" s="95" t="s">
        <v>1233</v>
      </c>
    </row>
    <row r="115" spans="1:26" s="105" customFormat="1" ht="108" x14ac:dyDescent="0.25">
      <c r="A115" s="112"/>
      <c r="B115" s="95" t="s">
        <v>892</v>
      </c>
      <c r="C115" s="113" t="s">
        <v>893</v>
      </c>
      <c r="D115" s="114" t="s">
        <v>893</v>
      </c>
      <c r="E115" s="114" t="s">
        <v>893</v>
      </c>
      <c r="F115" s="114" t="s">
        <v>893</v>
      </c>
      <c r="G115" s="114" t="s">
        <v>893</v>
      </c>
      <c r="H115" s="114" t="s">
        <v>893</v>
      </c>
      <c r="I115" s="114" t="s">
        <v>893</v>
      </c>
      <c r="J115" s="114" t="s">
        <v>893</v>
      </c>
      <c r="K115" s="114">
        <v>200000</v>
      </c>
      <c r="L115" s="114">
        <v>236686.39053254438</v>
      </c>
      <c r="M115" s="114" t="s">
        <v>894</v>
      </c>
      <c r="N115" s="114" t="s">
        <v>894</v>
      </c>
      <c r="O115" s="94" t="s">
        <v>1347</v>
      </c>
      <c r="P115" s="94" t="s">
        <v>1348</v>
      </c>
      <c r="Q115" s="94" t="s">
        <v>39</v>
      </c>
      <c r="R115" s="94" t="s">
        <v>1255</v>
      </c>
      <c r="S115" s="94" t="s">
        <v>41</v>
      </c>
      <c r="T115" s="94" t="s">
        <v>898</v>
      </c>
      <c r="U115" s="94" t="s">
        <v>43</v>
      </c>
      <c r="V115" s="94" t="s">
        <v>49</v>
      </c>
      <c r="W115" s="94" t="s">
        <v>51</v>
      </c>
      <c r="X115" s="95" t="s">
        <v>171</v>
      </c>
      <c r="Y115" s="95" t="s">
        <v>171</v>
      </c>
      <c r="Z115" s="95" t="s">
        <v>1349</v>
      </c>
    </row>
    <row r="116" spans="1:26" s="105" customFormat="1" ht="156" x14ac:dyDescent="0.25">
      <c r="A116" s="112"/>
      <c r="B116" s="95" t="s">
        <v>892</v>
      </c>
      <c r="C116" s="113" t="s">
        <v>893</v>
      </c>
      <c r="D116" s="114" t="s">
        <v>893</v>
      </c>
      <c r="E116" s="114" t="s">
        <v>893</v>
      </c>
      <c r="F116" s="114" t="s">
        <v>893</v>
      </c>
      <c r="G116" s="114" t="s">
        <v>893</v>
      </c>
      <c r="H116" s="114" t="s">
        <v>893</v>
      </c>
      <c r="I116" s="114" t="s">
        <v>893</v>
      </c>
      <c r="J116" s="114" t="s">
        <v>893</v>
      </c>
      <c r="K116" s="114">
        <v>157700</v>
      </c>
      <c r="L116" s="114">
        <v>186627.21893491125</v>
      </c>
      <c r="M116" s="114" t="s">
        <v>894</v>
      </c>
      <c r="N116" s="114" t="s">
        <v>894</v>
      </c>
      <c r="O116" s="94" t="s">
        <v>1189</v>
      </c>
      <c r="P116" s="94" t="s">
        <v>1190</v>
      </c>
      <c r="Q116" s="94" t="s">
        <v>39</v>
      </c>
      <c r="R116" s="94" t="s">
        <v>1255</v>
      </c>
      <c r="S116" s="94" t="s">
        <v>46</v>
      </c>
      <c r="T116" s="94" t="s">
        <v>898</v>
      </c>
      <c r="U116" s="94" t="s">
        <v>43</v>
      </c>
      <c r="V116" s="94" t="s">
        <v>49</v>
      </c>
      <c r="W116" s="94" t="s">
        <v>51</v>
      </c>
      <c r="X116" s="95" t="s">
        <v>171</v>
      </c>
      <c r="Y116" s="95" t="s">
        <v>171</v>
      </c>
      <c r="Z116" s="95" t="s">
        <v>1191</v>
      </c>
    </row>
    <row r="117" spans="1:26" s="105" customFormat="1" ht="84" x14ac:dyDescent="0.25">
      <c r="A117" s="112"/>
      <c r="B117" s="95" t="s">
        <v>892</v>
      </c>
      <c r="C117" s="113" t="s">
        <v>893</v>
      </c>
      <c r="D117" s="114" t="s">
        <v>893</v>
      </c>
      <c r="E117" s="114" t="s">
        <v>893</v>
      </c>
      <c r="F117" s="114" t="s">
        <v>893</v>
      </c>
      <c r="G117" s="114" t="s">
        <v>893</v>
      </c>
      <c r="H117" s="114" t="s">
        <v>893</v>
      </c>
      <c r="I117" s="114" t="s">
        <v>893</v>
      </c>
      <c r="J117" s="114" t="s">
        <v>893</v>
      </c>
      <c r="K117" s="114">
        <v>17100000</v>
      </c>
      <c r="L117" s="114">
        <v>20236686.390532546</v>
      </c>
      <c r="M117" s="114" t="s">
        <v>894</v>
      </c>
      <c r="N117" s="114" t="s">
        <v>894</v>
      </c>
      <c r="O117" s="94" t="s">
        <v>291</v>
      </c>
      <c r="P117" s="94" t="s">
        <v>1254</v>
      </c>
      <c r="Q117" s="94" t="s">
        <v>39</v>
      </c>
      <c r="R117" s="94" t="s">
        <v>1255</v>
      </c>
      <c r="S117" s="94" t="s">
        <v>46</v>
      </c>
      <c r="T117" s="94" t="s">
        <v>42</v>
      </c>
      <c r="U117" s="94" t="s">
        <v>43</v>
      </c>
      <c r="V117" s="94" t="s">
        <v>54</v>
      </c>
      <c r="W117" s="94" t="s">
        <v>55</v>
      </c>
      <c r="X117" s="95" t="s">
        <v>171</v>
      </c>
      <c r="Y117" s="95" t="s">
        <v>171</v>
      </c>
      <c r="Z117" s="95" t="s">
        <v>1256</v>
      </c>
    </row>
    <row r="118" spans="1:26" s="105" customFormat="1" ht="60" x14ac:dyDescent="0.25">
      <c r="A118" s="112"/>
      <c r="B118" s="95" t="s">
        <v>892</v>
      </c>
      <c r="C118" s="113" t="s">
        <v>893</v>
      </c>
      <c r="D118" s="114" t="s">
        <v>893</v>
      </c>
      <c r="E118" s="114" t="s">
        <v>893</v>
      </c>
      <c r="F118" s="114" t="s">
        <v>893</v>
      </c>
      <c r="G118" s="114" t="s">
        <v>893</v>
      </c>
      <c r="H118" s="114" t="s">
        <v>893</v>
      </c>
      <c r="I118" s="114" t="s">
        <v>893</v>
      </c>
      <c r="J118" s="114" t="s">
        <v>893</v>
      </c>
      <c r="K118" s="114">
        <v>200000</v>
      </c>
      <c r="L118" s="114">
        <v>236686.39053254438</v>
      </c>
      <c r="M118" s="114" t="s">
        <v>894</v>
      </c>
      <c r="N118" s="114" t="s">
        <v>894</v>
      </c>
      <c r="O118" s="94" t="s">
        <v>789</v>
      </c>
      <c r="P118" s="94" t="s">
        <v>1350</v>
      </c>
      <c r="Q118" s="94" t="s">
        <v>39</v>
      </c>
      <c r="R118" s="94" t="s">
        <v>1255</v>
      </c>
      <c r="S118" s="94" t="s">
        <v>46</v>
      </c>
      <c r="T118" s="94" t="s">
        <v>898</v>
      </c>
      <c r="U118" s="94" t="s">
        <v>43</v>
      </c>
      <c r="V118" s="94" t="s">
        <v>49</v>
      </c>
      <c r="W118" s="94" t="s">
        <v>51</v>
      </c>
      <c r="X118" s="95" t="s">
        <v>171</v>
      </c>
      <c r="Y118" s="95" t="s">
        <v>171</v>
      </c>
      <c r="Z118" s="95" t="s">
        <v>1351</v>
      </c>
    </row>
    <row r="119" spans="1:26" s="105" customFormat="1" ht="96" x14ac:dyDescent="0.25">
      <c r="A119" s="112"/>
      <c r="B119" s="95" t="s">
        <v>892</v>
      </c>
      <c r="C119" s="113" t="s">
        <v>893</v>
      </c>
      <c r="D119" s="114" t="s">
        <v>893</v>
      </c>
      <c r="E119" s="114" t="s">
        <v>893</v>
      </c>
      <c r="F119" s="114" t="s">
        <v>893</v>
      </c>
      <c r="G119" s="114" t="s">
        <v>893</v>
      </c>
      <c r="H119" s="114" t="s">
        <v>893</v>
      </c>
      <c r="I119" s="114" t="s">
        <v>893</v>
      </c>
      <c r="J119" s="114" t="s">
        <v>893</v>
      </c>
      <c r="K119" s="114">
        <v>100000</v>
      </c>
      <c r="L119" s="114">
        <v>118343.19526627219</v>
      </c>
      <c r="M119" s="114" t="s">
        <v>894</v>
      </c>
      <c r="N119" s="114" t="s">
        <v>894</v>
      </c>
      <c r="O119" s="94" t="s">
        <v>1079</v>
      </c>
      <c r="P119" s="94" t="s">
        <v>1184</v>
      </c>
      <c r="Q119" s="94" t="s">
        <v>39</v>
      </c>
      <c r="R119" s="94" t="s">
        <v>1255</v>
      </c>
      <c r="S119" s="94" t="s">
        <v>46</v>
      </c>
      <c r="T119" s="94" t="s">
        <v>898</v>
      </c>
      <c r="U119" s="94" t="s">
        <v>43</v>
      </c>
      <c r="V119" s="94" t="s">
        <v>49</v>
      </c>
      <c r="W119" s="94" t="s">
        <v>51</v>
      </c>
      <c r="X119" s="95" t="s">
        <v>171</v>
      </c>
      <c r="Y119" s="95" t="s">
        <v>171</v>
      </c>
      <c r="Z119" s="95" t="s">
        <v>1185</v>
      </c>
    </row>
    <row r="120" spans="1:26" s="105" customFormat="1" ht="84" x14ac:dyDescent="0.25">
      <c r="A120" s="112"/>
      <c r="B120" s="95" t="s">
        <v>892</v>
      </c>
      <c r="C120" s="113" t="s">
        <v>893</v>
      </c>
      <c r="D120" s="114" t="s">
        <v>893</v>
      </c>
      <c r="E120" s="114" t="s">
        <v>893</v>
      </c>
      <c r="F120" s="114" t="s">
        <v>893</v>
      </c>
      <c r="G120" s="114" t="s">
        <v>893</v>
      </c>
      <c r="H120" s="114" t="s">
        <v>893</v>
      </c>
      <c r="I120" s="114" t="s">
        <v>893</v>
      </c>
      <c r="J120" s="114" t="s">
        <v>893</v>
      </c>
      <c r="K120" s="114">
        <v>14000000</v>
      </c>
      <c r="L120" s="114">
        <v>16568047.337278107</v>
      </c>
      <c r="M120" s="114" t="s">
        <v>894</v>
      </c>
      <c r="N120" s="114" t="s">
        <v>894</v>
      </c>
      <c r="O120" s="94" t="s">
        <v>1042</v>
      </c>
      <c r="P120" s="94" t="s">
        <v>1138</v>
      </c>
      <c r="Q120" s="94" t="s">
        <v>39</v>
      </c>
      <c r="R120" s="94" t="s">
        <v>1255</v>
      </c>
      <c r="S120" s="94" t="s">
        <v>46</v>
      </c>
      <c r="T120" s="94" t="s">
        <v>898</v>
      </c>
      <c r="U120" s="94" t="s">
        <v>43</v>
      </c>
      <c r="V120" s="94" t="s">
        <v>193</v>
      </c>
      <c r="W120" s="94" t="s">
        <v>194</v>
      </c>
      <c r="X120" s="95" t="s">
        <v>171</v>
      </c>
      <c r="Y120" s="95" t="s">
        <v>171</v>
      </c>
      <c r="Z120" s="95" t="s">
        <v>1139</v>
      </c>
    </row>
    <row r="121" spans="1:26" s="105" customFormat="1" ht="84" x14ac:dyDescent="0.25">
      <c r="A121" s="112"/>
      <c r="B121" s="95" t="s">
        <v>892</v>
      </c>
      <c r="C121" s="113" t="s">
        <v>893</v>
      </c>
      <c r="D121" s="114" t="s">
        <v>893</v>
      </c>
      <c r="E121" s="114" t="s">
        <v>893</v>
      </c>
      <c r="F121" s="114" t="s">
        <v>893</v>
      </c>
      <c r="G121" s="114" t="s">
        <v>893</v>
      </c>
      <c r="H121" s="114" t="s">
        <v>893</v>
      </c>
      <c r="I121" s="114" t="s">
        <v>893</v>
      </c>
      <c r="J121" s="114" t="s">
        <v>893</v>
      </c>
      <c r="K121" s="114">
        <v>120000</v>
      </c>
      <c r="L121" s="114">
        <v>142011.83431952662</v>
      </c>
      <c r="M121" s="114" t="s">
        <v>894</v>
      </c>
      <c r="N121" s="114" t="s">
        <v>894</v>
      </c>
      <c r="O121" s="94" t="s">
        <v>1042</v>
      </c>
      <c r="P121" s="94" t="s">
        <v>1138</v>
      </c>
      <c r="Q121" s="94" t="s">
        <v>39</v>
      </c>
      <c r="R121" s="94" t="s">
        <v>1255</v>
      </c>
      <c r="S121" s="94" t="s">
        <v>46</v>
      </c>
      <c r="T121" s="94" t="s">
        <v>898</v>
      </c>
      <c r="U121" s="94" t="s">
        <v>43</v>
      </c>
      <c r="V121" s="94" t="s">
        <v>49</v>
      </c>
      <c r="W121" s="94" t="s">
        <v>51</v>
      </c>
      <c r="X121" s="95" t="s">
        <v>171</v>
      </c>
      <c r="Y121" s="95" t="s">
        <v>171</v>
      </c>
      <c r="Z121" s="95" t="s">
        <v>1139</v>
      </c>
    </row>
    <row r="122" spans="1:26" s="105" customFormat="1" ht="72" x14ac:dyDescent="0.25">
      <c r="A122" s="112"/>
      <c r="B122" s="95" t="s">
        <v>892</v>
      </c>
      <c r="C122" s="113" t="s">
        <v>893</v>
      </c>
      <c r="D122" s="114" t="s">
        <v>893</v>
      </c>
      <c r="E122" s="114" t="s">
        <v>893</v>
      </c>
      <c r="F122" s="114" t="s">
        <v>893</v>
      </c>
      <c r="G122" s="114" t="s">
        <v>893</v>
      </c>
      <c r="H122" s="114" t="s">
        <v>893</v>
      </c>
      <c r="I122" s="114" t="s">
        <v>893</v>
      </c>
      <c r="J122" s="114" t="s">
        <v>893</v>
      </c>
      <c r="K122" s="114">
        <v>7470000</v>
      </c>
      <c r="L122" s="114">
        <v>8840236.6863905322</v>
      </c>
      <c r="M122" s="114" t="s">
        <v>894</v>
      </c>
      <c r="N122" s="114" t="s">
        <v>894</v>
      </c>
      <c r="O122" s="94" t="s">
        <v>428</v>
      </c>
      <c r="P122" s="94" t="s">
        <v>1303</v>
      </c>
      <c r="Q122" s="94" t="s">
        <v>39</v>
      </c>
      <c r="R122" s="94" t="s">
        <v>1255</v>
      </c>
      <c r="S122" s="94" t="s">
        <v>46</v>
      </c>
      <c r="T122" s="94" t="s">
        <v>898</v>
      </c>
      <c r="U122" s="94" t="s">
        <v>62</v>
      </c>
      <c r="V122" s="94" t="s">
        <v>44</v>
      </c>
      <c r="W122" s="94" t="s">
        <v>45</v>
      </c>
      <c r="X122" s="95" t="s">
        <v>171</v>
      </c>
      <c r="Y122" s="95" t="s">
        <v>171</v>
      </c>
      <c r="Z122" s="95" t="s">
        <v>1304</v>
      </c>
    </row>
    <row r="123" spans="1:26" s="105" customFormat="1" ht="60" x14ac:dyDescent="0.25">
      <c r="A123" s="112"/>
      <c r="B123" s="95" t="s">
        <v>892</v>
      </c>
      <c r="C123" s="113" t="s">
        <v>893</v>
      </c>
      <c r="D123" s="114" t="s">
        <v>893</v>
      </c>
      <c r="E123" s="114" t="s">
        <v>893</v>
      </c>
      <c r="F123" s="114" t="s">
        <v>893</v>
      </c>
      <c r="G123" s="114" t="s">
        <v>893</v>
      </c>
      <c r="H123" s="114" t="s">
        <v>893</v>
      </c>
      <c r="I123" s="114" t="s">
        <v>893</v>
      </c>
      <c r="J123" s="114" t="s">
        <v>893</v>
      </c>
      <c r="K123" s="114">
        <v>155000</v>
      </c>
      <c r="L123" s="114">
        <v>183431.95266272189</v>
      </c>
      <c r="M123" s="114" t="s">
        <v>894</v>
      </c>
      <c r="N123" s="114" t="s">
        <v>894</v>
      </c>
      <c r="O123" s="94" t="s">
        <v>789</v>
      </c>
      <c r="P123" s="94" t="s">
        <v>988</v>
      </c>
      <c r="Q123" s="94" t="s">
        <v>39</v>
      </c>
      <c r="R123" s="94" t="s">
        <v>1255</v>
      </c>
      <c r="S123" s="94" t="s">
        <v>46</v>
      </c>
      <c r="T123" s="94" t="s">
        <v>42</v>
      </c>
      <c r="U123" s="94" t="s">
        <v>43</v>
      </c>
      <c r="V123" s="94" t="s">
        <v>54</v>
      </c>
      <c r="W123" s="94" t="s">
        <v>55</v>
      </c>
      <c r="X123" s="95" t="s">
        <v>171</v>
      </c>
      <c r="Y123" s="95" t="s">
        <v>171</v>
      </c>
      <c r="Z123" s="95" t="s">
        <v>990</v>
      </c>
    </row>
    <row r="124" spans="1:26" s="105" customFormat="1" ht="60" x14ac:dyDescent="0.25">
      <c r="A124" s="112"/>
      <c r="B124" s="95" t="s">
        <v>892</v>
      </c>
      <c r="C124" s="113" t="s">
        <v>893</v>
      </c>
      <c r="D124" s="114" t="s">
        <v>893</v>
      </c>
      <c r="E124" s="114" t="s">
        <v>893</v>
      </c>
      <c r="F124" s="114" t="s">
        <v>893</v>
      </c>
      <c r="G124" s="114" t="s">
        <v>893</v>
      </c>
      <c r="H124" s="114" t="s">
        <v>893</v>
      </c>
      <c r="I124" s="114" t="s">
        <v>893</v>
      </c>
      <c r="J124" s="114" t="s">
        <v>893</v>
      </c>
      <c r="K124" s="114">
        <v>615000</v>
      </c>
      <c r="L124" s="114">
        <v>727810.65088757395</v>
      </c>
      <c r="M124" s="114" t="s">
        <v>894</v>
      </c>
      <c r="N124" s="114" t="s">
        <v>894</v>
      </c>
      <c r="O124" s="94" t="s">
        <v>789</v>
      </c>
      <c r="P124" s="94" t="s">
        <v>988</v>
      </c>
      <c r="Q124" s="94" t="s">
        <v>39</v>
      </c>
      <c r="R124" s="94" t="s">
        <v>1255</v>
      </c>
      <c r="S124" s="94" t="s">
        <v>46</v>
      </c>
      <c r="T124" s="94" t="s">
        <v>42</v>
      </c>
      <c r="U124" s="94" t="s">
        <v>43</v>
      </c>
      <c r="V124" s="94" t="s">
        <v>54</v>
      </c>
      <c r="W124" s="94" t="s">
        <v>55</v>
      </c>
      <c r="X124" s="95" t="s">
        <v>171</v>
      </c>
      <c r="Y124" s="95" t="s">
        <v>171</v>
      </c>
      <c r="Z124" s="95" t="s">
        <v>990</v>
      </c>
    </row>
    <row r="125" spans="1:26" s="105" customFormat="1" ht="60" x14ac:dyDescent="0.25">
      <c r="A125" s="112"/>
      <c r="B125" s="95" t="s">
        <v>892</v>
      </c>
      <c r="C125" s="113" t="s">
        <v>893</v>
      </c>
      <c r="D125" s="114" t="s">
        <v>893</v>
      </c>
      <c r="E125" s="114" t="s">
        <v>893</v>
      </c>
      <c r="F125" s="114" t="s">
        <v>893</v>
      </c>
      <c r="G125" s="114" t="s">
        <v>893</v>
      </c>
      <c r="H125" s="114" t="s">
        <v>893</v>
      </c>
      <c r="I125" s="114" t="s">
        <v>893</v>
      </c>
      <c r="J125" s="114" t="s">
        <v>893</v>
      </c>
      <c r="K125" s="114">
        <v>3030000</v>
      </c>
      <c r="L125" s="114">
        <v>3585798.8165680473</v>
      </c>
      <c r="M125" s="114" t="s">
        <v>894</v>
      </c>
      <c r="N125" s="114" t="s">
        <v>894</v>
      </c>
      <c r="O125" s="94" t="s">
        <v>789</v>
      </c>
      <c r="P125" s="94" t="s">
        <v>988</v>
      </c>
      <c r="Q125" s="94" t="s">
        <v>39</v>
      </c>
      <c r="R125" s="94" t="s">
        <v>1255</v>
      </c>
      <c r="S125" s="94" t="s">
        <v>46</v>
      </c>
      <c r="T125" s="94" t="s">
        <v>42</v>
      </c>
      <c r="U125" s="94" t="s">
        <v>43</v>
      </c>
      <c r="V125" s="94" t="s">
        <v>54</v>
      </c>
      <c r="W125" s="94" t="s">
        <v>55</v>
      </c>
      <c r="X125" s="95" t="s">
        <v>171</v>
      </c>
      <c r="Y125" s="95" t="s">
        <v>171</v>
      </c>
      <c r="Z125" s="95" t="s">
        <v>990</v>
      </c>
    </row>
    <row r="126" spans="1:26" s="105" customFormat="1" ht="132" x14ac:dyDescent="0.25">
      <c r="A126" s="112"/>
      <c r="B126" s="95" t="s">
        <v>892</v>
      </c>
      <c r="C126" s="113" t="s">
        <v>893</v>
      </c>
      <c r="D126" s="114" t="s">
        <v>893</v>
      </c>
      <c r="E126" s="114" t="s">
        <v>893</v>
      </c>
      <c r="F126" s="114" t="s">
        <v>893</v>
      </c>
      <c r="G126" s="114" t="s">
        <v>893</v>
      </c>
      <c r="H126" s="114" t="s">
        <v>893</v>
      </c>
      <c r="I126" s="114" t="s">
        <v>893</v>
      </c>
      <c r="J126" s="114" t="s">
        <v>893</v>
      </c>
      <c r="K126" s="114">
        <v>24000000</v>
      </c>
      <c r="L126" s="114">
        <v>28402366.863905326</v>
      </c>
      <c r="M126" s="114" t="s">
        <v>894</v>
      </c>
      <c r="N126" s="114" t="s">
        <v>894</v>
      </c>
      <c r="O126" s="94" t="s">
        <v>943</v>
      </c>
      <c r="P126" s="94" t="s">
        <v>968</v>
      </c>
      <c r="Q126" s="94" t="s">
        <v>39</v>
      </c>
      <c r="R126" s="94" t="s">
        <v>1255</v>
      </c>
      <c r="S126" s="94" t="s">
        <v>46</v>
      </c>
      <c r="T126" s="94" t="s">
        <v>898</v>
      </c>
      <c r="U126" s="94" t="s">
        <v>43</v>
      </c>
      <c r="V126" s="94" t="s">
        <v>54</v>
      </c>
      <c r="W126" s="94" t="s">
        <v>55</v>
      </c>
      <c r="X126" s="95" t="s">
        <v>171</v>
      </c>
      <c r="Y126" s="95" t="s">
        <v>171</v>
      </c>
      <c r="Z126" s="95" t="s">
        <v>1352</v>
      </c>
    </row>
    <row r="127" spans="1:26" s="105" customFormat="1" ht="60" x14ac:dyDescent="0.25">
      <c r="A127" s="112"/>
      <c r="B127" s="95" t="s">
        <v>892</v>
      </c>
      <c r="C127" s="113" t="s">
        <v>893</v>
      </c>
      <c r="D127" s="114" t="s">
        <v>893</v>
      </c>
      <c r="E127" s="114" t="s">
        <v>893</v>
      </c>
      <c r="F127" s="114" t="s">
        <v>893</v>
      </c>
      <c r="G127" s="114" t="s">
        <v>893</v>
      </c>
      <c r="H127" s="114" t="s">
        <v>893</v>
      </c>
      <c r="I127" s="114" t="s">
        <v>893</v>
      </c>
      <c r="J127" s="114" t="s">
        <v>893</v>
      </c>
      <c r="K127" s="114">
        <v>2266830.9425330004</v>
      </c>
      <c r="L127" s="114">
        <v>2682640.1686781072</v>
      </c>
      <c r="M127" s="114" t="s">
        <v>894</v>
      </c>
      <c r="N127" s="114" t="s">
        <v>894</v>
      </c>
      <c r="O127" s="94" t="s">
        <v>1079</v>
      </c>
      <c r="P127" s="94" t="s">
        <v>1287</v>
      </c>
      <c r="Q127" s="94" t="s">
        <v>39</v>
      </c>
      <c r="R127" s="94" t="s">
        <v>1255</v>
      </c>
      <c r="S127" s="94" t="s">
        <v>46</v>
      </c>
      <c r="T127" s="94" t="s">
        <v>50</v>
      </c>
      <c r="U127" s="94" t="s">
        <v>62</v>
      </c>
      <c r="V127" s="94" t="s">
        <v>50</v>
      </c>
      <c r="W127" s="94" t="s">
        <v>350</v>
      </c>
      <c r="X127" s="95" t="s">
        <v>171</v>
      </c>
      <c r="Y127" s="95" t="s">
        <v>171</v>
      </c>
      <c r="Z127" s="95" t="s">
        <v>1288</v>
      </c>
    </row>
    <row r="128" spans="1:26" s="105" customFormat="1" ht="96" x14ac:dyDescent="0.25">
      <c r="A128" s="112"/>
      <c r="B128" s="95" t="s">
        <v>892</v>
      </c>
      <c r="C128" s="113" t="s">
        <v>893</v>
      </c>
      <c r="D128" s="114" t="s">
        <v>893</v>
      </c>
      <c r="E128" s="114" t="s">
        <v>893</v>
      </c>
      <c r="F128" s="114" t="s">
        <v>893</v>
      </c>
      <c r="G128" s="114" t="s">
        <v>893</v>
      </c>
      <c r="H128" s="114" t="s">
        <v>893</v>
      </c>
      <c r="I128" s="114" t="s">
        <v>893</v>
      </c>
      <c r="J128" s="114" t="s">
        <v>893</v>
      </c>
      <c r="K128" s="114">
        <v>154530000</v>
      </c>
      <c r="L128" s="114">
        <v>182875739.64497042</v>
      </c>
      <c r="M128" s="114" t="s">
        <v>894</v>
      </c>
      <c r="N128" s="114" t="s">
        <v>894</v>
      </c>
      <c r="O128" s="94" t="s">
        <v>1042</v>
      </c>
      <c r="P128" s="94" t="s">
        <v>1243</v>
      </c>
      <c r="Q128" s="94" t="s">
        <v>39</v>
      </c>
      <c r="R128" s="94" t="s">
        <v>1255</v>
      </c>
      <c r="S128" s="94" t="s">
        <v>1321</v>
      </c>
      <c r="T128" s="94" t="s">
        <v>898</v>
      </c>
      <c r="U128" s="94" t="s">
        <v>43</v>
      </c>
      <c r="V128" s="94" t="s">
        <v>193</v>
      </c>
      <c r="W128" s="94" t="s">
        <v>194</v>
      </c>
      <c r="X128" s="95" t="s">
        <v>171</v>
      </c>
      <c r="Y128" s="95" t="s">
        <v>171</v>
      </c>
      <c r="Z128" s="95" t="s">
        <v>1244</v>
      </c>
    </row>
    <row r="129" spans="1:26" s="105" customFormat="1" ht="96" x14ac:dyDescent="0.25">
      <c r="A129" s="112"/>
      <c r="B129" s="95" t="s">
        <v>892</v>
      </c>
      <c r="C129" s="113" t="s">
        <v>893</v>
      </c>
      <c r="D129" s="114" t="s">
        <v>893</v>
      </c>
      <c r="E129" s="114" t="s">
        <v>893</v>
      </c>
      <c r="F129" s="114" t="s">
        <v>893</v>
      </c>
      <c r="G129" s="114" t="s">
        <v>893</v>
      </c>
      <c r="H129" s="114" t="s">
        <v>893</v>
      </c>
      <c r="I129" s="114" t="s">
        <v>893</v>
      </c>
      <c r="J129" s="114" t="s">
        <v>893</v>
      </c>
      <c r="K129" s="114">
        <v>10000</v>
      </c>
      <c r="L129" s="114">
        <v>11834.31952662722</v>
      </c>
      <c r="M129" s="114" t="s">
        <v>894</v>
      </c>
      <c r="N129" s="114" t="s">
        <v>894</v>
      </c>
      <c r="O129" s="94" t="s">
        <v>1079</v>
      </c>
      <c r="P129" s="94" t="s">
        <v>1184</v>
      </c>
      <c r="Q129" s="94" t="s">
        <v>39</v>
      </c>
      <c r="R129" s="94" t="s">
        <v>1255</v>
      </c>
      <c r="S129" s="94" t="s">
        <v>46</v>
      </c>
      <c r="T129" s="94" t="s">
        <v>898</v>
      </c>
      <c r="U129" s="94" t="s">
        <v>43</v>
      </c>
      <c r="V129" s="94" t="s">
        <v>49</v>
      </c>
      <c r="W129" s="94" t="s">
        <v>51</v>
      </c>
      <c r="X129" s="95" t="s">
        <v>171</v>
      </c>
      <c r="Y129" s="95" t="s">
        <v>171</v>
      </c>
      <c r="Z129" s="95" t="s">
        <v>1185</v>
      </c>
    </row>
    <row r="130" spans="1:26" s="105" customFormat="1" ht="72" x14ac:dyDescent="0.25">
      <c r="A130" s="112"/>
      <c r="B130" s="95" t="s">
        <v>892</v>
      </c>
      <c r="C130" s="113" t="s">
        <v>893</v>
      </c>
      <c r="D130" s="114" t="s">
        <v>893</v>
      </c>
      <c r="E130" s="114" t="s">
        <v>893</v>
      </c>
      <c r="F130" s="114" t="s">
        <v>893</v>
      </c>
      <c r="G130" s="114" t="s">
        <v>893</v>
      </c>
      <c r="H130" s="114" t="s">
        <v>893</v>
      </c>
      <c r="I130" s="114" t="s">
        <v>893</v>
      </c>
      <c r="J130" s="114" t="s">
        <v>893</v>
      </c>
      <c r="K130" s="114">
        <v>725599.50446800003</v>
      </c>
      <c r="L130" s="114">
        <v>858697.63842366869</v>
      </c>
      <c r="M130" s="114" t="s">
        <v>894</v>
      </c>
      <c r="N130" s="114" t="s">
        <v>894</v>
      </c>
      <c r="O130" s="94" t="s">
        <v>789</v>
      </c>
      <c r="P130" s="94" t="s">
        <v>1281</v>
      </c>
      <c r="Q130" s="94" t="s">
        <v>39</v>
      </c>
      <c r="R130" s="94" t="s">
        <v>1255</v>
      </c>
      <c r="S130" s="94" t="s">
        <v>46</v>
      </c>
      <c r="T130" s="94" t="s">
        <v>898</v>
      </c>
      <c r="U130" s="94" t="s">
        <v>49</v>
      </c>
      <c r="V130" s="94" t="s">
        <v>63</v>
      </c>
      <c r="W130" s="94" t="s">
        <v>64</v>
      </c>
      <c r="X130" s="95" t="s">
        <v>171</v>
      </c>
      <c r="Y130" s="95" t="s">
        <v>171</v>
      </c>
      <c r="Z130" s="95" t="s">
        <v>1282</v>
      </c>
    </row>
    <row r="131" spans="1:26" ht="12" x14ac:dyDescent="0.25">
      <c r="A131" s="52"/>
      <c r="B131" s="9"/>
    </row>
    <row r="132" spans="1:26" ht="12" x14ac:dyDescent="0.25">
      <c r="A132" s="52"/>
      <c r="B132" s="20" t="s">
        <v>65</v>
      </c>
      <c r="C132" s="20"/>
      <c r="D132" s="20"/>
      <c r="E132" s="20"/>
      <c r="F132" s="20"/>
      <c r="G132" s="20"/>
      <c r="H132" s="30"/>
      <c r="I132" s="31"/>
      <c r="J132" s="32"/>
      <c r="K132" s="32"/>
      <c r="L132" s="33"/>
      <c r="M132" s="32"/>
      <c r="N132" s="34"/>
      <c r="O132" s="32"/>
      <c r="P132" s="32"/>
      <c r="Q132" s="32"/>
    </row>
    <row r="133" spans="1:26" ht="12" x14ac:dyDescent="0.25">
      <c r="A133" s="52"/>
      <c r="B133" s="20" t="s">
        <v>66</v>
      </c>
      <c r="C133" s="20"/>
      <c r="D133" s="20"/>
      <c r="E133" s="20"/>
      <c r="F133" s="20"/>
      <c r="G133" s="20"/>
      <c r="H133" s="30"/>
      <c r="I133" s="31"/>
      <c r="J133" s="32"/>
      <c r="K133" s="32"/>
      <c r="L133" s="33"/>
      <c r="M133" s="32"/>
      <c r="N133" s="34"/>
      <c r="O133" s="32"/>
      <c r="P133" s="32"/>
      <c r="Q133" s="32"/>
    </row>
    <row r="134" spans="1:26" ht="12" x14ac:dyDescent="0.25">
      <c r="B134" s="53" t="s">
        <v>110</v>
      </c>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3.95" customHeight="1" x14ac:dyDescent="0.25">
      <c r="B135" s="54" t="s">
        <v>111</v>
      </c>
      <c r="C135" s="20"/>
      <c r="D135" s="20"/>
      <c r="E135" s="20"/>
      <c r="F135" s="20"/>
      <c r="G135" s="20"/>
      <c r="H135" s="30"/>
      <c r="I135" s="31"/>
      <c r="J135" s="32"/>
      <c r="K135" s="32"/>
      <c r="L135" s="33"/>
      <c r="M135" s="32"/>
      <c r="N135" s="34"/>
      <c r="O135" s="32"/>
      <c r="P135" s="32"/>
      <c r="Q135" s="32"/>
    </row>
    <row r="136" spans="1:26" ht="13.95" customHeight="1" x14ac:dyDescent="0.25">
      <c r="B136" s="54" t="s">
        <v>112</v>
      </c>
      <c r="C136" s="55"/>
      <c r="D136" s="36"/>
      <c r="E136" s="55"/>
      <c r="F136" s="55"/>
      <c r="G136" s="55"/>
    </row>
    <row r="137" spans="1:26" ht="13.95" customHeight="1" x14ac:dyDescent="0.25">
      <c r="B137" s="54" t="s">
        <v>113</v>
      </c>
      <c r="C137" s="37"/>
      <c r="D137" s="38"/>
      <c r="E137" s="38"/>
      <c r="F137" s="38"/>
      <c r="G137" s="39"/>
    </row>
    <row r="138" spans="1:26" ht="13.95" customHeight="1" x14ac:dyDescent="0.25">
      <c r="B138" s="54" t="s">
        <v>114</v>
      </c>
      <c r="C138" s="40"/>
    </row>
    <row r="139" spans="1:26" ht="13.95" customHeight="1" x14ac:dyDescent="0.25">
      <c r="B139" s="54" t="s">
        <v>115</v>
      </c>
      <c r="C139" s="40"/>
    </row>
    <row r="140" spans="1:26" ht="13.95" customHeight="1" x14ac:dyDescent="0.25">
      <c r="B140" s="54" t="s">
        <v>116</v>
      </c>
      <c r="C140" s="40"/>
    </row>
    <row r="141" spans="1:26" ht="13.95" customHeight="1" x14ac:dyDescent="0.25">
      <c r="B141" s="54" t="s">
        <v>117</v>
      </c>
      <c r="C141" s="40"/>
    </row>
    <row r="142" spans="1:26" ht="13.95" customHeight="1" x14ac:dyDescent="0.25">
      <c r="B142" s="54" t="s">
        <v>118</v>
      </c>
      <c r="C142" s="40"/>
    </row>
    <row r="143" spans="1:26" ht="12.75" customHeight="1" x14ac:dyDescent="0.25">
      <c r="B143" s="54" t="s">
        <v>119</v>
      </c>
      <c r="C143" s="56"/>
      <c r="D143" s="56"/>
      <c r="E143" s="56"/>
      <c r="F143" s="56"/>
      <c r="G143" s="56"/>
      <c r="H143" s="56"/>
      <c r="I143" s="56"/>
      <c r="J143" s="56"/>
      <c r="K143" s="56"/>
      <c r="L143" s="56"/>
      <c r="M143" s="56"/>
      <c r="N143" s="56"/>
      <c r="O143" s="56"/>
      <c r="P143" s="56"/>
      <c r="Q143" s="56"/>
    </row>
    <row r="144" spans="1:26" ht="13.95" customHeight="1" x14ac:dyDescent="0.25">
      <c r="B144" s="54" t="s">
        <v>120</v>
      </c>
      <c r="C144" s="40"/>
    </row>
    <row r="145" spans="2:3" ht="13.95" customHeight="1" x14ac:dyDescent="0.25">
      <c r="B145" s="54" t="s">
        <v>121</v>
      </c>
      <c r="C145" s="40"/>
    </row>
    <row r="146" spans="2:3" ht="13.95" customHeight="1" x14ac:dyDescent="0.25">
      <c r="B146" s="54" t="s">
        <v>122</v>
      </c>
    </row>
    <row r="147" spans="2:3" ht="12" x14ac:dyDescent="0.25">
      <c r="B147" s="9"/>
    </row>
    <row r="148" spans="2:3" ht="12" x14ac:dyDescent="0.25">
      <c r="B148" s="2" t="s">
        <v>79</v>
      </c>
    </row>
    <row r="149" spans="2:3" s="104" customFormat="1" ht="13.5" customHeight="1" x14ac:dyDescent="0.25">
      <c r="B149" s="103" t="s">
        <v>683</v>
      </c>
    </row>
    <row r="150" spans="2:3" ht="13.95" customHeight="1" x14ac:dyDescent="0.25"/>
    <row r="151" spans="2:3" ht="12" x14ac:dyDescent="0.25"/>
    <row r="152" spans="2:3" ht="12" x14ac:dyDescent="0.25"/>
    <row r="153" spans="2:3" ht="12" x14ac:dyDescent="0.25"/>
    <row r="154" spans="2:3" ht="12" x14ac:dyDescent="0.25"/>
    <row r="155" spans="2:3" ht="12" x14ac:dyDescent="0.25"/>
    <row r="156" spans="2:3" ht="12" x14ac:dyDescent="0.25"/>
    <row r="157" spans="2:3" ht="12" x14ac:dyDescent="0.25"/>
  </sheetData>
  <hyperlinks>
    <hyperlink ref="B5" location="'Index sheet'!A1" display="Back to index" xr:uid="{00000000-0004-0000-0400-000000000000}"/>
  </hyperlinks>
  <pageMargins left="0.7" right="0.7" top="0.75" bottom="0.75" header="0.3" footer="0.3"/>
  <pageSetup paperSize="9" orientation="portrait"/>
  <ignoredErrors>
    <ignoredError sqref="A131:Z148 A1:Z11 A150:Z15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34"/>
  <sheetViews>
    <sheetView showGridLines="0" zoomScaleNormal="100" workbookViewId="0">
      <selection activeCell="Q1" sqref="Q1"/>
    </sheetView>
  </sheetViews>
  <sheetFormatPr baseColWidth="10" defaultColWidth="9.109375" defaultRowHeight="11.55" customHeight="1" x14ac:dyDescent="0.25"/>
  <cols>
    <col min="1" max="1" width="2.44140625" style="1" customWidth="1"/>
    <col min="2" max="7" width="15.88671875" style="1" customWidth="1"/>
    <col min="8" max="8" width="15.109375" style="1" customWidth="1"/>
    <col min="9" max="14" width="15.88671875" style="1" customWidth="1"/>
    <col min="15" max="15" width="20.44140625" style="1" customWidth="1"/>
    <col min="16" max="16" width="9.109375" style="1" customWidth="1"/>
    <col min="17" max="16384" width="9.109375" style="1"/>
  </cols>
  <sheetData>
    <row r="1" spans="2:26" s="57" customFormat="1" ht="16.05" customHeight="1" x14ac:dyDescent="0.3">
      <c r="B1" s="6" t="s">
        <v>123</v>
      </c>
      <c r="C1" s="6"/>
      <c r="D1" s="6"/>
    </row>
    <row r="2" spans="2:26" s="57" customFormat="1" ht="15" customHeight="1" x14ac:dyDescent="0.3">
      <c r="B2" s="6" t="s">
        <v>124</v>
      </c>
      <c r="C2" s="6"/>
      <c r="D2" s="6"/>
      <c r="E2" s="6"/>
      <c r="F2" s="6"/>
      <c r="G2" s="6"/>
      <c r="H2" s="6"/>
      <c r="I2" s="7" t="s">
        <v>16</v>
      </c>
      <c r="J2" s="58" t="s">
        <v>125</v>
      </c>
      <c r="K2" s="6"/>
      <c r="L2" s="6"/>
    </row>
    <row r="3" spans="2:26" ht="16.05" customHeight="1" x14ac:dyDescent="0.25">
      <c r="B3" s="10" t="s">
        <v>18</v>
      </c>
      <c r="C3" s="11">
        <v>0.95</v>
      </c>
    </row>
    <row r="4" spans="2:26" ht="16.05" customHeight="1" x14ac:dyDescent="0.25">
      <c r="B4" s="10"/>
      <c r="C4" s="10"/>
    </row>
    <row r="5" spans="2:26" ht="12" x14ac:dyDescent="0.25">
      <c r="B5" s="13" t="s">
        <v>19</v>
      </c>
      <c r="C5" s="59"/>
      <c r="D5" s="60"/>
      <c r="E5" s="61"/>
    </row>
    <row r="6" spans="2:26" ht="12" x14ac:dyDescent="0.25">
      <c r="B6" s="9"/>
      <c r="C6" s="9"/>
      <c r="D6" s="9"/>
    </row>
    <row r="7" spans="2:26" ht="37.049999999999997" customHeight="1" x14ac:dyDescent="0.25">
      <c r="B7" s="15" t="s">
        <v>126</v>
      </c>
      <c r="C7" s="15" t="s">
        <v>127</v>
      </c>
      <c r="D7" s="62" t="s">
        <v>128</v>
      </c>
      <c r="E7" s="63" t="s">
        <v>129</v>
      </c>
      <c r="F7" s="64"/>
      <c r="G7" s="64"/>
      <c r="H7" s="64"/>
      <c r="I7" s="65" t="s">
        <v>130</v>
      </c>
      <c r="J7" s="66"/>
      <c r="K7" s="15" t="s">
        <v>131</v>
      </c>
      <c r="L7" s="15" t="s">
        <v>132</v>
      </c>
      <c r="M7" s="15" t="s">
        <v>28</v>
      </c>
      <c r="N7" s="15" t="s">
        <v>133</v>
      </c>
      <c r="O7" s="15" t="s">
        <v>134</v>
      </c>
    </row>
    <row r="8" spans="2:26" ht="12" x14ac:dyDescent="0.25">
      <c r="B8" s="21"/>
      <c r="C8" s="21"/>
      <c r="D8" s="67"/>
      <c r="E8" s="68" t="s">
        <v>33</v>
      </c>
      <c r="F8" s="68"/>
      <c r="G8" s="68" t="s">
        <v>34</v>
      </c>
      <c r="H8" s="68"/>
      <c r="I8" s="69"/>
      <c r="J8" s="70"/>
      <c r="K8" s="21"/>
      <c r="L8" s="21"/>
      <c r="M8" s="21"/>
      <c r="N8" s="24"/>
      <c r="O8" s="21"/>
    </row>
    <row r="9" spans="2:26" ht="22.95" customHeight="1" x14ac:dyDescent="0.25">
      <c r="B9" s="25"/>
      <c r="C9" s="25"/>
      <c r="D9" s="71"/>
      <c r="E9" s="72" t="s">
        <v>35</v>
      </c>
      <c r="F9" s="73" t="s">
        <v>36</v>
      </c>
      <c r="G9" s="72" t="s">
        <v>35</v>
      </c>
      <c r="H9" s="73" t="s">
        <v>36</v>
      </c>
      <c r="I9" s="72" t="s">
        <v>35</v>
      </c>
      <c r="J9" s="73" t="s">
        <v>36</v>
      </c>
      <c r="K9" s="25"/>
      <c r="L9" s="25"/>
      <c r="M9" s="25"/>
      <c r="N9" s="28"/>
      <c r="O9" s="21"/>
    </row>
    <row r="10" spans="2:26" s="104" customFormat="1" ht="60" x14ac:dyDescent="0.25">
      <c r="B10" s="94" t="s">
        <v>1353</v>
      </c>
      <c r="C10" s="94" t="s">
        <v>1354</v>
      </c>
      <c r="D10" s="94" t="s">
        <v>897</v>
      </c>
      <c r="E10" s="115">
        <v>3993437591.0644894</v>
      </c>
      <c r="F10" s="115">
        <v>4203618516.9099889</v>
      </c>
      <c r="G10" s="116" t="s">
        <v>894</v>
      </c>
      <c r="H10" s="116" t="s">
        <v>894</v>
      </c>
      <c r="I10" s="115">
        <v>2542019993.2749248</v>
      </c>
      <c r="J10" s="115">
        <f>I10*$C$3</f>
        <v>2414918993.6111784</v>
      </c>
      <c r="K10" s="95" t="s">
        <v>1355</v>
      </c>
      <c r="L10" s="94" t="s">
        <v>945</v>
      </c>
      <c r="M10" s="94" t="s">
        <v>1356</v>
      </c>
      <c r="N10" s="117" t="s">
        <v>1356</v>
      </c>
      <c r="O10" s="118" t="s">
        <v>1357</v>
      </c>
    </row>
    <row r="11" spans="2:26" ht="12" x14ac:dyDescent="0.25">
      <c r="B11" s="9"/>
      <c r="C11" s="9"/>
      <c r="D11" s="9"/>
    </row>
    <row r="12" spans="2:26" ht="12" x14ac:dyDescent="0.25">
      <c r="B12" s="20" t="s">
        <v>66</v>
      </c>
      <c r="C12" s="20"/>
      <c r="D12" s="20"/>
      <c r="E12" s="20"/>
      <c r="F12" s="20"/>
      <c r="G12" s="20"/>
      <c r="H12" s="30"/>
      <c r="I12" s="31"/>
      <c r="J12" s="32"/>
      <c r="K12" s="32"/>
      <c r="L12" s="33"/>
      <c r="M12" s="32"/>
      <c r="N12" s="34"/>
      <c r="O12" s="32"/>
    </row>
    <row r="13" spans="2:26" ht="12" x14ac:dyDescent="0.25">
      <c r="B13" s="53" t="s">
        <v>135</v>
      </c>
      <c r="C13" s="53"/>
      <c r="D13" s="53"/>
      <c r="E13" s="53"/>
      <c r="F13" s="53"/>
      <c r="G13" s="53"/>
      <c r="H13" s="53"/>
      <c r="I13" s="53"/>
      <c r="J13" s="53"/>
      <c r="K13" s="53"/>
      <c r="L13" s="53"/>
      <c r="M13" s="53"/>
      <c r="N13" s="53"/>
      <c r="O13" s="53"/>
    </row>
    <row r="14" spans="2:26" ht="13.95" customHeight="1" x14ac:dyDescent="0.25">
      <c r="B14" s="54" t="s">
        <v>136</v>
      </c>
      <c r="C14" s="54"/>
      <c r="D14" s="54"/>
      <c r="E14" s="54"/>
      <c r="F14" s="54"/>
      <c r="G14" s="54"/>
      <c r="H14" s="54"/>
      <c r="I14" s="54"/>
      <c r="J14" s="54"/>
      <c r="K14" s="54"/>
      <c r="L14" s="54"/>
      <c r="M14" s="54"/>
      <c r="N14" s="54"/>
      <c r="O14" s="54"/>
    </row>
    <row r="15" spans="2:26" ht="12" customHeight="1" x14ac:dyDescent="0.25">
      <c r="B15" s="1" t="s">
        <v>137</v>
      </c>
      <c r="C15" s="74"/>
      <c r="D15" s="74"/>
      <c r="P15" s="32"/>
      <c r="Q15" s="32"/>
    </row>
    <row r="16" spans="2:26" ht="12" customHeight="1" x14ac:dyDescent="0.25">
      <c r="B16" s="1" t="s">
        <v>138</v>
      </c>
      <c r="C16" s="74"/>
      <c r="D16" s="74"/>
      <c r="P16" s="74"/>
      <c r="Q16" s="74"/>
      <c r="R16" s="74"/>
      <c r="S16" s="74"/>
      <c r="T16" s="74"/>
      <c r="U16" s="74"/>
      <c r="V16" s="74"/>
      <c r="W16" s="74"/>
      <c r="X16" s="74"/>
      <c r="Y16" s="74"/>
      <c r="Z16" s="74"/>
    </row>
    <row r="17" spans="2:4" ht="12" customHeight="1" x14ac:dyDescent="0.25">
      <c r="B17" s="1" t="s">
        <v>139</v>
      </c>
      <c r="C17" s="74"/>
      <c r="D17" s="74"/>
    </row>
    <row r="18" spans="2:4" ht="12" customHeight="1" x14ac:dyDescent="0.25">
      <c r="B18" s="1" t="s">
        <v>140</v>
      </c>
      <c r="C18" s="74"/>
      <c r="D18" s="74"/>
    </row>
    <row r="19" spans="2:4" ht="12" customHeight="1" x14ac:dyDescent="0.25">
      <c r="B19" s="1" t="s">
        <v>141</v>
      </c>
      <c r="C19" s="74"/>
      <c r="D19" s="74"/>
    </row>
    <row r="20" spans="2:4" ht="12" customHeight="1" x14ac:dyDescent="0.25">
      <c r="B20" s="1" t="s">
        <v>142</v>
      </c>
      <c r="C20" s="74"/>
      <c r="D20" s="74"/>
    </row>
    <row r="21" spans="2:4" ht="12" customHeight="1" x14ac:dyDescent="0.25">
      <c r="B21" s="1" t="s">
        <v>143</v>
      </c>
      <c r="C21" s="74"/>
      <c r="D21" s="74"/>
    </row>
    <row r="22" spans="2:4" ht="12" customHeight="1" x14ac:dyDescent="0.25">
      <c r="B22" s="1" t="s">
        <v>144</v>
      </c>
      <c r="C22" s="74"/>
      <c r="D22" s="74"/>
    </row>
    <row r="23" spans="2:4" ht="12" customHeight="1" x14ac:dyDescent="0.25">
      <c r="B23" s="75"/>
      <c r="C23" s="74"/>
      <c r="D23" s="74"/>
    </row>
    <row r="24" spans="2:4" ht="12" x14ac:dyDescent="0.25">
      <c r="B24" s="2"/>
      <c r="C24" s="2"/>
    </row>
    <row r="25" spans="2:4" ht="13.95" customHeight="1" x14ac:dyDescent="0.25"/>
    <row r="26" spans="2:4" ht="12" x14ac:dyDescent="0.25"/>
    <row r="27" spans="2:4" ht="12" x14ac:dyDescent="0.25"/>
    <row r="28" spans="2:4" ht="12" x14ac:dyDescent="0.25"/>
    <row r="29" spans="2:4" ht="12" x14ac:dyDescent="0.25"/>
    <row r="30" spans="2:4" ht="12" x14ac:dyDescent="0.25"/>
    <row r="31" spans="2:4" ht="12" x14ac:dyDescent="0.25"/>
    <row r="32" spans="2:4" ht="12" x14ac:dyDescent="0.25"/>
    <row r="33" ht="12" x14ac:dyDescent="0.25"/>
    <row r="34" ht="12" x14ac:dyDescent="0.25"/>
  </sheetData>
  <hyperlinks>
    <hyperlink ref="B5" location="'Index sheet'!A1" display="Back to index" xr:uid="{00000000-0004-0000-0500-000000000000}"/>
  </hyperlinks>
  <pageMargins left="0.7" right="0.7" top="0.75" bottom="0.75" header="0.3" footer="0.3"/>
  <pageSetup paperSize="9" orientation="portrait"/>
  <ignoredErrors>
    <ignoredError sqref="B11:Z23 B1:Z9 B26:Z3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34"/>
  <sheetViews>
    <sheetView showGridLines="0" zoomScaleNormal="100" workbookViewId="0">
      <selection activeCell="R1" sqref="R1"/>
    </sheetView>
  </sheetViews>
  <sheetFormatPr baseColWidth="10" defaultColWidth="9.109375" defaultRowHeight="11.55" customHeight="1" x14ac:dyDescent="0.25"/>
  <cols>
    <col min="1" max="1" width="2.44140625" style="1" customWidth="1"/>
    <col min="2" max="7" width="15.88671875" style="1" customWidth="1"/>
    <col min="8" max="8" width="15.109375" style="1" customWidth="1"/>
    <col min="9" max="14" width="15.88671875" style="1" customWidth="1"/>
    <col min="15" max="15" width="20.44140625" style="1" customWidth="1"/>
    <col min="16" max="16" width="9.109375" style="1" customWidth="1"/>
    <col min="17" max="16384" width="9.109375" style="1"/>
  </cols>
  <sheetData>
    <row r="1" spans="2:26" s="57" customFormat="1" ht="16.05" customHeight="1" x14ac:dyDescent="0.3">
      <c r="B1" s="6" t="s">
        <v>123</v>
      </c>
      <c r="C1" s="6"/>
      <c r="D1" s="6"/>
    </row>
    <row r="2" spans="2:26" s="57" customFormat="1" ht="15" customHeight="1" x14ac:dyDescent="0.3">
      <c r="B2" s="6" t="s">
        <v>124</v>
      </c>
      <c r="C2" s="6"/>
      <c r="D2" s="6"/>
      <c r="E2" s="6"/>
      <c r="F2" s="6"/>
      <c r="G2" s="6"/>
      <c r="H2" s="6"/>
      <c r="I2" s="7" t="s">
        <v>80</v>
      </c>
      <c r="J2" s="58" t="s">
        <v>125</v>
      </c>
      <c r="K2" s="6"/>
      <c r="L2" s="6"/>
    </row>
    <row r="3" spans="2:26" ht="16.05" customHeight="1" x14ac:dyDescent="0.25">
      <c r="B3" s="10" t="s">
        <v>18</v>
      </c>
      <c r="C3" s="10" t="s">
        <v>145</v>
      </c>
    </row>
    <row r="4" spans="2:26" ht="16.05" customHeight="1" x14ac:dyDescent="0.25">
      <c r="B4" s="10"/>
      <c r="C4" s="10"/>
    </row>
    <row r="5" spans="2:26" ht="12" x14ac:dyDescent="0.25">
      <c r="B5" s="13" t="s">
        <v>19</v>
      </c>
      <c r="C5" s="59"/>
      <c r="D5" s="60"/>
      <c r="E5" s="61"/>
    </row>
    <row r="6" spans="2:26" ht="12" x14ac:dyDescent="0.25">
      <c r="B6" s="9"/>
      <c r="C6" s="9"/>
      <c r="D6" s="9"/>
    </row>
    <row r="7" spans="2:26" ht="37.049999999999997" customHeight="1" x14ac:dyDescent="0.25">
      <c r="B7" s="15" t="s">
        <v>126</v>
      </c>
      <c r="C7" s="15" t="s">
        <v>127</v>
      </c>
      <c r="D7" s="62" t="s">
        <v>128</v>
      </c>
      <c r="E7" s="63" t="s">
        <v>129</v>
      </c>
      <c r="F7" s="64"/>
      <c r="G7" s="64"/>
      <c r="H7" s="64"/>
      <c r="I7" s="65" t="s">
        <v>130</v>
      </c>
      <c r="J7" s="66"/>
      <c r="K7" s="15" t="s">
        <v>131</v>
      </c>
      <c r="L7" s="15" t="s">
        <v>132</v>
      </c>
      <c r="M7" s="15" t="s">
        <v>28</v>
      </c>
      <c r="N7" s="15" t="s">
        <v>133</v>
      </c>
      <c r="O7" s="15" t="s">
        <v>134</v>
      </c>
    </row>
    <row r="8" spans="2:26" ht="12" x14ac:dyDescent="0.25">
      <c r="B8" s="21"/>
      <c r="C8" s="21"/>
      <c r="D8" s="67"/>
      <c r="E8" s="68" t="s">
        <v>33</v>
      </c>
      <c r="F8" s="68"/>
      <c r="G8" s="68" t="s">
        <v>34</v>
      </c>
      <c r="H8" s="68"/>
      <c r="I8" s="69"/>
      <c r="J8" s="70"/>
      <c r="K8" s="21"/>
      <c r="L8" s="21"/>
      <c r="M8" s="21"/>
      <c r="N8" s="24"/>
      <c r="O8" s="21"/>
    </row>
    <row r="9" spans="2:26" ht="22.95" customHeight="1" x14ac:dyDescent="0.25">
      <c r="B9" s="25"/>
      <c r="C9" s="25"/>
      <c r="D9" s="71"/>
      <c r="E9" s="72" t="s">
        <v>35</v>
      </c>
      <c r="F9" s="73" t="s">
        <v>36</v>
      </c>
      <c r="G9" s="72" t="s">
        <v>35</v>
      </c>
      <c r="H9" s="73" t="s">
        <v>36</v>
      </c>
      <c r="I9" s="72" t="s">
        <v>35</v>
      </c>
      <c r="J9" s="73" t="s">
        <v>36</v>
      </c>
      <c r="K9" s="25"/>
      <c r="L9" s="25"/>
      <c r="M9" s="25"/>
      <c r="N9" s="28"/>
      <c r="O9" s="21"/>
    </row>
    <row r="10" spans="2:26" s="104" customFormat="1" ht="14.4" x14ac:dyDescent="0.25">
      <c r="B10" s="95" t="s">
        <v>1358</v>
      </c>
      <c r="C10" s="95" t="s">
        <v>46</v>
      </c>
      <c r="D10" s="95" t="s">
        <v>46</v>
      </c>
      <c r="E10" s="116" t="s">
        <v>46</v>
      </c>
      <c r="F10" s="116" t="s">
        <v>46</v>
      </c>
      <c r="G10" s="116" t="s">
        <v>46</v>
      </c>
      <c r="H10" s="116" t="s">
        <v>46</v>
      </c>
      <c r="I10" s="116" t="s">
        <v>46</v>
      </c>
      <c r="J10" s="116" t="s">
        <v>46</v>
      </c>
      <c r="K10" s="95" t="s">
        <v>46</v>
      </c>
      <c r="L10" s="95" t="s">
        <v>46</v>
      </c>
      <c r="M10" s="95" t="s">
        <v>46</v>
      </c>
      <c r="N10" s="95" t="s">
        <v>46</v>
      </c>
      <c r="O10" s="95" t="s">
        <v>46</v>
      </c>
    </row>
    <row r="11" spans="2:26" ht="12" x14ac:dyDescent="0.25">
      <c r="B11" s="9"/>
      <c r="C11" s="9"/>
      <c r="D11" s="9"/>
    </row>
    <row r="12" spans="2:26" ht="12" x14ac:dyDescent="0.25">
      <c r="B12" s="20" t="s">
        <v>66</v>
      </c>
      <c r="C12" s="20"/>
      <c r="D12" s="20"/>
      <c r="E12" s="20"/>
      <c r="F12" s="20"/>
      <c r="G12" s="20"/>
      <c r="H12" s="30"/>
      <c r="I12" s="31"/>
      <c r="J12" s="32"/>
      <c r="K12" s="32"/>
      <c r="L12" s="33"/>
      <c r="M12" s="32"/>
      <c r="N12" s="34"/>
      <c r="O12" s="32"/>
    </row>
    <row r="13" spans="2:26" ht="12" x14ac:dyDescent="0.25">
      <c r="B13" s="53" t="s">
        <v>135</v>
      </c>
      <c r="C13" s="53"/>
      <c r="D13" s="53"/>
      <c r="E13" s="53"/>
      <c r="F13" s="53"/>
      <c r="G13" s="53"/>
      <c r="H13" s="53"/>
      <c r="I13" s="53"/>
      <c r="J13" s="53"/>
      <c r="K13" s="53"/>
      <c r="L13" s="53"/>
      <c r="M13" s="53"/>
      <c r="N13" s="53"/>
      <c r="O13" s="53"/>
    </row>
    <row r="14" spans="2:26" ht="13.95" customHeight="1" x14ac:dyDescent="0.25">
      <c r="B14" s="54" t="s">
        <v>136</v>
      </c>
      <c r="C14" s="54"/>
      <c r="D14" s="54"/>
      <c r="E14" s="54"/>
      <c r="F14" s="54"/>
      <c r="G14" s="54"/>
      <c r="H14" s="54"/>
      <c r="I14" s="54"/>
      <c r="J14" s="54"/>
      <c r="K14" s="54"/>
      <c r="L14" s="54"/>
      <c r="M14" s="54"/>
      <c r="N14" s="54"/>
      <c r="O14" s="54"/>
    </row>
    <row r="15" spans="2:26" ht="12" customHeight="1" x14ac:dyDescent="0.25">
      <c r="B15" s="1" t="s">
        <v>137</v>
      </c>
      <c r="C15" s="74"/>
      <c r="D15" s="74"/>
      <c r="P15" s="32"/>
      <c r="Q15" s="32"/>
    </row>
    <row r="16" spans="2:26" ht="12" customHeight="1" x14ac:dyDescent="0.25">
      <c r="B16" s="1" t="s">
        <v>138</v>
      </c>
      <c r="C16" s="74"/>
      <c r="D16" s="74"/>
      <c r="P16" s="74"/>
      <c r="Q16" s="74"/>
      <c r="R16" s="74"/>
      <c r="S16" s="74"/>
      <c r="T16" s="74"/>
      <c r="U16" s="74"/>
      <c r="V16" s="74"/>
      <c r="W16" s="74"/>
      <c r="X16" s="74"/>
      <c r="Y16" s="74"/>
      <c r="Z16" s="74"/>
    </row>
    <row r="17" spans="2:4" ht="12" customHeight="1" x14ac:dyDescent="0.25">
      <c r="B17" s="1" t="s">
        <v>139</v>
      </c>
      <c r="C17" s="74"/>
      <c r="D17" s="74"/>
    </row>
    <row r="18" spans="2:4" ht="12" customHeight="1" x14ac:dyDescent="0.25">
      <c r="B18" s="1" t="s">
        <v>140</v>
      </c>
      <c r="C18" s="74"/>
      <c r="D18" s="74"/>
    </row>
    <row r="19" spans="2:4" ht="12" customHeight="1" x14ac:dyDescent="0.25">
      <c r="B19" s="1" t="s">
        <v>141</v>
      </c>
      <c r="C19" s="74"/>
      <c r="D19" s="74"/>
    </row>
    <row r="20" spans="2:4" ht="12" customHeight="1" x14ac:dyDescent="0.25">
      <c r="B20" s="1" t="s">
        <v>142</v>
      </c>
      <c r="C20" s="74"/>
      <c r="D20" s="74"/>
    </row>
    <row r="21" spans="2:4" ht="12" customHeight="1" x14ac:dyDescent="0.25">
      <c r="B21" s="1" t="s">
        <v>143</v>
      </c>
      <c r="C21" s="74"/>
      <c r="D21" s="74"/>
    </row>
    <row r="22" spans="2:4" ht="12" customHeight="1" x14ac:dyDescent="0.25">
      <c r="B22" s="1" t="s">
        <v>144</v>
      </c>
      <c r="C22" s="74"/>
      <c r="D22" s="74"/>
    </row>
    <row r="23" spans="2:4" ht="12" customHeight="1" x14ac:dyDescent="0.25">
      <c r="B23" s="75"/>
      <c r="C23" s="74"/>
      <c r="D23" s="74"/>
    </row>
    <row r="24" spans="2:4" ht="12" x14ac:dyDescent="0.25">
      <c r="B24" s="2" t="s">
        <v>79</v>
      </c>
      <c r="C24" s="2"/>
    </row>
    <row r="25" spans="2:4" s="104" customFormat="1" ht="13.5" customHeight="1" x14ac:dyDescent="0.25">
      <c r="B25" s="103" t="s">
        <v>1359</v>
      </c>
    </row>
    <row r="26" spans="2:4" ht="12" x14ac:dyDescent="0.25"/>
    <row r="27" spans="2:4" ht="12" x14ac:dyDescent="0.25"/>
    <row r="28" spans="2:4" ht="12" x14ac:dyDescent="0.25"/>
    <row r="29" spans="2:4" ht="12" x14ac:dyDescent="0.25"/>
    <row r="30" spans="2:4" ht="12" x14ac:dyDescent="0.25"/>
    <row r="31" spans="2:4" ht="12" x14ac:dyDescent="0.25"/>
    <row r="32" spans="2:4" ht="12" x14ac:dyDescent="0.25"/>
    <row r="33" ht="12" x14ac:dyDescent="0.25"/>
    <row r="34" ht="12" x14ac:dyDescent="0.25"/>
  </sheetData>
  <hyperlinks>
    <hyperlink ref="B5" location="'Index sheet'!A1" display="Back to index" xr:uid="{00000000-0004-0000-0600-000000000000}"/>
  </hyperlinks>
  <pageMargins left="0.7" right="0.7" top="0.75" bottom="0.75" header="0.3" footer="0.3"/>
  <pageSetup paperSize="9" orientation="portrait"/>
  <ignoredErrors>
    <ignoredError sqref="B11:Z24 B1:Z9 B26:Z3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0"/>
  <sheetViews>
    <sheetView showGridLines="0" zoomScaleNormal="100" workbookViewId="0">
      <selection activeCell="L1" sqref="L1"/>
    </sheetView>
  </sheetViews>
  <sheetFormatPr baseColWidth="10" defaultColWidth="9.109375" defaultRowHeight="11.55" customHeight="1" x14ac:dyDescent="0.25"/>
  <cols>
    <col min="1" max="1" width="2.44140625" style="1" customWidth="1"/>
    <col min="2" max="3" width="14.88671875" style="1" customWidth="1"/>
    <col min="4" max="4" width="21.88671875" style="1" customWidth="1"/>
    <col min="5" max="10" width="14.88671875" style="1" customWidth="1"/>
    <col min="11" max="11" width="20.44140625" style="1" customWidth="1"/>
    <col min="12" max="12" width="8.88671875" style="1" customWidth="1"/>
    <col min="13" max="13" width="9.109375" style="1" customWidth="1"/>
    <col min="14" max="16384" width="9.109375" style="1"/>
  </cols>
  <sheetData>
    <row r="1" spans="1:19" ht="15" customHeight="1" x14ac:dyDescent="0.25">
      <c r="B1" s="76" t="s">
        <v>146</v>
      </c>
      <c r="C1" s="76"/>
      <c r="D1" s="76"/>
      <c r="E1" s="76"/>
      <c r="F1" s="76"/>
      <c r="G1" s="76"/>
      <c r="H1" s="76"/>
      <c r="I1" s="76"/>
      <c r="J1" s="76"/>
      <c r="K1" s="76"/>
      <c r="M1" s="77"/>
      <c r="N1" s="77"/>
      <c r="O1" s="78"/>
      <c r="P1" s="78"/>
      <c r="R1" s="79"/>
      <c r="S1" s="77"/>
    </row>
    <row r="2" spans="1:19" ht="18" customHeight="1" x14ac:dyDescent="0.3">
      <c r="B2" s="6" t="s">
        <v>147</v>
      </c>
      <c r="C2" s="6"/>
      <c r="D2" s="6"/>
      <c r="E2" s="6"/>
      <c r="F2" s="6"/>
      <c r="G2" s="6"/>
      <c r="H2" s="6"/>
      <c r="I2" s="6"/>
      <c r="J2" s="6"/>
      <c r="K2" s="6"/>
      <c r="S2" s="20"/>
    </row>
    <row r="3" spans="1:19" ht="12" x14ac:dyDescent="0.25">
      <c r="B3" s="80"/>
      <c r="C3" s="80"/>
      <c r="D3" s="80"/>
      <c r="E3" s="80"/>
      <c r="F3" s="80"/>
      <c r="G3" s="80"/>
      <c r="H3" s="80"/>
      <c r="I3" s="80"/>
      <c r="J3" s="80"/>
      <c r="K3" s="80"/>
      <c r="R3" s="79"/>
      <c r="S3" s="77"/>
    </row>
    <row r="4" spans="1:19" ht="12" x14ac:dyDescent="0.25">
      <c r="B4" s="13" t="s">
        <v>19</v>
      </c>
      <c r="C4" s="13"/>
      <c r="D4" s="81"/>
      <c r="E4" s="13"/>
      <c r="F4" s="13"/>
      <c r="G4" s="13"/>
      <c r="H4" s="13"/>
      <c r="I4" s="13"/>
      <c r="J4" s="82"/>
      <c r="K4" s="82"/>
    </row>
    <row r="5" spans="1:19" ht="12" x14ac:dyDescent="0.25">
      <c r="A5" s="2"/>
    </row>
    <row r="6" spans="1:19" s="20" customFormat="1" ht="25.5" customHeight="1" x14ac:dyDescent="0.25">
      <c r="B6" s="83" t="s">
        <v>148</v>
      </c>
      <c r="C6" s="84" t="s">
        <v>149</v>
      </c>
      <c r="D6" s="85" t="s">
        <v>150</v>
      </c>
      <c r="E6" s="86" t="s">
        <v>151</v>
      </c>
      <c r="F6" s="83" t="s">
        <v>152</v>
      </c>
      <c r="G6" s="85" t="s">
        <v>153</v>
      </c>
      <c r="H6" s="85" t="s">
        <v>154</v>
      </c>
      <c r="I6" s="85" t="s">
        <v>155</v>
      </c>
      <c r="J6" s="85" t="s">
        <v>156</v>
      </c>
      <c r="K6" s="15" t="s">
        <v>157</v>
      </c>
    </row>
    <row r="7" spans="1:19" s="121" customFormat="1" ht="228" x14ac:dyDescent="0.25">
      <c r="A7" s="119"/>
      <c r="B7" s="127" t="s">
        <v>1360</v>
      </c>
      <c r="C7" s="99" t="s">
        <v>1361</v>
      </c>
      <c r="D7" s="99" t="s">
        <v>1362</v>
      </c>
      <c r="E7" s="128" t="s">
        <v>62</v>
      </c>
      <c r="F7" s="128" t="s">
        <v>49</v>
      </c>
      <c r="G7" s="94" t="s">
        <v>49</v>
      </c>
      <c r="H7" s="95" t="s">
        <v>1363</v>
      </c>
      <c r="I7" s="94" t="s">
        <v>1364</v>
      </c>
      <c r="J7" s="117" t="s">
        <v>1365</v>
      </c>
      <c r="K7" s="120" t="s">
        <v>1366</v>
      </c>
    </row>
    <row r="8" spans="1:19" s="93" customFormat="1" ht="96" x14ac:dyDescent="0.25">
      <c r="A8" s="122"/>
      <c r="B8" s="127" t="s">
        <v>1367</v>
      </c>
      <c r="C8" s="99" t="s">
        <v>1368</v>
      </c>
      <c r="D8" s="99" t="s">
        <v>1369</v>
      </c>
      <c r="E8" s="128" t="s">
        <v>62</v>
      </c>
      <c r="F8" s="128" t="s">
        <v>49</v>
      </c>
      <c r="G8" s="95" t="s">
        <v>49</v>
      </c>
      <c r="H8" s="95" t="s">
        <v>1363</v>
      </c>
      <c r="I8" s="95" t="s">
        <v>1364</v>
      </c>
      <c r="J8" s="98" t="s">
        <v>1365</v>
      </c>
      <c r="K8" s="120" t="s">
        <v>1370</v>
      </c>
    </row>
    <row r="9" spans="1:19" s="93" customFormat="1" ht="96" x14ac:dyDescent="0.25">
      <c r="A9" s="122"/>
      <c r="B9" s="127" t="s">
        <v>1371</v>
      </c>
      <c r="C9" s="99" t="s">
        <v>1372</v>
      </c>
      <c r="D9" s="99" t="s">
        <v>1373</v>
      </c>
      <c r="E9" s="128" t="s">
        <v>62</v>
      </c>
      <c r="F9" s="128" t="s">
        <v>63</v>
      </c>
      <c r="G9" s="95" t="s">
        <v>63</v>
      </c>
      <c r="H9" s="95" t="s">
        <v>1363</v>
      </c>
      <c r="I9" s="95" t="s">
        <v>1364</v>
      </c>
      <c r="J9" s="98" t="s">
        <v>1365</v>
      </c>
      <c r="K9" s="95" t="s">
        <v>1374</v>
      </c>
    </row>
    <row r="10" spans="1:19" s="93" customFormat="1" ht="108" x14ac:dyDescent="0.25">
      <c r="A10" s="122"/>
      <c r="B10" s="127" t="s">
        <v>1375</v>
      </c>
      <c r="C10" s="99" t="s">
        <v>1372</v>
      </c>
      <c r="D10" s="99" t="s">
        <v>1376</v>
      </c>
      <c r="E10" s="128" t="s">
        <v>62</v>
      </c>
      <c r="F10" s="128" t="s">
        <v>49</v>
      </c>
      <c r="G10" s="95" t="s">
        <v>49</v>
      </c>
      <c r="H10" s="95" t="s">
        <v>1377</v>
      </c>
      <c r="I10" s="95" t="s">
        <v>1364</v>
      </c>
      <c r="J10" s="98" t="s">
        <v>1378</v>
      </c>
      <c r="K10" s="95" t="s">
        <v>1379</v>
      </c>
    </row>
    <row r="11" spans="1:19" s="93" customFormat="1" ht="60" x14ac:dyDescent="0.25">
      <c r="A11" s="122"/>
      <c r="B11" s="127" t="s">
        <v>1380</v>
      </c>
      <c r="C11" s="99" t="s">
        <v>180</v>
      </c>
      <c r="D11" s="99" t="s">
        <v>1380</v>
      </c>
      <c r="E11" s="128" t="s">
        <v>43</v>
      </c>
      <c r="F11" s="128" t="s">
        <v>193</v>
      </c>
      <c r="G11" s="95" t="s">
        <v>193</v>
      </c>
      <c r="H11" s="95" t="s">
        <v>1381</v>
      </c>
      <c r="I11" s="95" t="s">
        <v>1364</v>
      </c>
      <c r="J11" s="98" t="s">
        <v>1378</v>
      </c>
      <c r="K11" s="95" t="s">
        <v>1382</v>
      </c>
    </row>
    <row r="12" spans="1:19" s="93" customFormat="1" ht="132" x14ac:dyDescent="0.25">
      <c r="A12" s="122"/>
      <c r="B12" s="127" t="s">
        <v>1383</v>
      </c>
      <c r="C12" s="99" t="s">
        <v>1384</v>
      </c>
      <c r="D12" s="99" t="s">
        <v>1385</v>
      </c>
      <c r="E12" s="128" t="s">
        <v>49</v>
      </c>
      <c r="F12" s="128" t="s">
        <v>49</v>
      </c>
      <c r="G12" s="95" t="s">
        <v>49</v>
      </c>
      <c r="H12" s="95" t="s">
        <v>1386</v>
      </c>
      <c r="I12" s="95" t="s">
        <v>1364</v>
      </c>
      <c r="J12" s="98" t="s">
        <v>1387</v>
      </c>
      <c r="K12" s="95" t="s">
        <v>1414</v>
      </c>
    </row>
    <row r="13" spans="1:19" s="93" customFormat="1" ht="168" x14ac:dyDescent="0.25">
      <c r="A13" s="122"/>
      <c r="B13" s="127" t="s">
        <v>1388</v>
      </c>
      <c r="C13" s="99" t="s">
        <v>1042</v>
      </c>
      <c r="D13" s="99" t="s">
        <v>1389</v>
      </c>
      <c r="E13" s="128" t="s">
        <v>43</v>
      </c>
      <c r="F13" s="128" t="s">
        <v>193</v>
      </c>
      <c r="G13" s="95" t="s">
        <v>193</v>
      </c>
      <c r="H13" s="95" t="s">
        <v>1381</v>
      </c>
      <c r="I13" s="95" t="s">
        <v>1364</v>
      </c>
      <c r="J13" s="98" t="s">
        <v>1378</v>
      </c>
      <c r="K13" s="95" t="s">
        <v>1390</v>
      </c>
    </row>
    <row r="14" spans="1:19" ht="12" x14ac:dyDescent="0.25"/>
    <row r="15" spans="1:19" ht="12" x14ac:dyDescent="0.25">
      <c r="B15" s="20" t="s">
        <v>66</v>
      </c>
      <c r="C15" s="87"/>
      <c r="D15" s="87"/>
      <c r="E15" s="87"/>
      <c r="F15" s="87"/>
      <c r="G15" s="87"/>
      <c r="H15" s="87"/>
      <c r="I15" s="87"/>
      <c r="J15" s="87"/>
      <c r="K15" s="87"/>
    </row>
    <row r="16" spans="1:19" ht="13.95" customHeight="1" x14ac:dyDescent="0.25">
      <c r="B16" s="88" t="s">
        <v>158</v>
      </c>
      <c r="C16" s="88"/>
      <c r="D16" s="88"/>
      <c r="E16" s="88"/>
      <c r="F16" s="88"/>
      <c r="G16" s="88"/>
      <c r="H16" s="88"/>
      <c r="I16" s="88"/>
      <c r="J16" s="88"/>
      <c r="K16" s="88"/>
    </row>
    <row r="17" spans="2:19" ht="13.95" customHeight="1" x14ac:dyDescent="0.25">
      <c r="B17" s="1" t="s">
        <v>159</v>
      </c>
      <c r="C17" s="89"/>
      <c r="D17" s="89"/>
      <c r="E17" s="89"/>
      <c r="F17" s="89"/>
      <c r="G17" s="89"/>
      <c r="H17" s="89"/>
      <c r="I17" s="89"/>
      <c r="J17" s="89"/>
      <c r="K17" s="89"/>
    </row>
    <row r="18" spans="2:19" ht="13.95" customHeight="1" x14ac:dyDescent="0.25">
      <c r="B18" s="1" t="s">
        <v>160</v>
      </c>
      <c r="C18" s="89"/>
      <c r="D18" s="89"/>
      <c r="E18" s="89"/>
      <c r="F18" s="89"/>
      <c r="G18" s="89"/>
      <c r="H18" s="89"/>
      <c r="I18" s="89"/>
      <c r="J18" s="89"/>
      <c r="K18" s="89"/>
    </row>
    <row r="19" spans="2:19" ht="13.95" customHeight="1" x14ac:dyDescent="0.25">
      <c r="B19" s="1" t="s">
        <v>161</v>
      </c>
      <c r="C19" s="89"/>
      <c r="D19" s="89"/>
      <c r="E19" s="89"/>
      <c r="F19" s="89"/>
      <c r="G19" s="89"/>
      <c r="H19" s="89"/>
      <c r="I19" s="89"/>
      <c r="J19" s="89"/>
      <c r="K19" s="89"/>
    </row>
    <row r="20" spans="2:19" ht="13.95" customHeight="1" x14ac:dyDescent="0.25">
      <c r="B20" s="1" t="s">
        <v>162</v>
      </c>
    </row>
    <row r="21" spans="2:19" ht="12" x14ac:dyDescent="0.25">
      <c r="B21" s="89"/>
      <c r="C21" s="89"/>
      <c r="D21" s="89"/>
      <c r="E21" s="89"/>
      <c r="F21" s="89"/>
      <c r="G21" s="89"/>
      <c r="H21" s="89"/>
      <c r="I21" s="89"/>
      <c r="J21" s="89"/>
      <c r="K21" s="89"/>
      <c r="R21" s="79"/>
      <c r="S21" s="77"/>
    </row>
    <row r="22" spans="2:19" ht="12" x14ac:dyDescent="0.25">
      <c r="B22" s="2"/>
      <c r="C22" s="2"/>
      <c r="D22" s="2"/>
      <c r="E22" s="2"/>
      <c r="F22" s="2"/>
      <c r="G22" s="2"/>
      <c r="H22" s="2"/>
      <c r="I22" s="2"/>
      <c r="J22" s="2"/>
      <c r="K22" s="2"/>
    </row>
    <row r="23" spans="2:19" ht="13.95" customHeight="1" x14ac:dyDescent="0.25"/>
    <row r="24" spans="2:19" ht="13.95" customHeight="1" x14ac:dyDescent="0.25"/>
    <row r="25" spans="2:19" ht="13.95" customHeight="1" x14ac:dyDescent="0.25"/>
    <row r="26" spans="2:19" ht="13.95" customHeight="1" x14ac:dyDescent="0.25"/>
    <row r="27" spans="2:19" ht="13.95" customHeight="1" x14ac:dyDescent="0.25"/>
    <row r="28" spans="2:19" ht="13.95" customHeight="1" x14ac:dyDescent="0.25"/>
    <row r="29" spans="2:19" ht="13.95" customHeight="1" x14ac:dyDescent="0.25"/>
    <row r="30" spans="2:19" ht="13.95" customHeight="1" x14ac:dyDescent="0.25"/>
  </sheetData>
  <hyperlinks>
    <hyperlink ref="B4" location="'Index sheet'!A1" display="Back to index" xr:uid="{00000000-0004-0000-0700-000000000000}"/>
  </hyperlinks>
  <pageMargins left="0.7" right="0.7" top="0.75" bottom="0.75" header="0.3" footer="0.3"/>
  <pageSetup paperSize="9" orientation="portrait"/>
  <ignoredErrors>
    <ignoredError sqref="A14:S14 A1:S6 A24:S30 A16:S21 A15:J15 L15:S1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31"/>
  <sheetViews>
    <sheetView showGridLines="0" zoomScale="85" zoomScaleNormal="85" workbookViewId="0">
      <selection activeCell="I1" sqref="I1"/>
    </sheetView>
  </sheetViews>
  <sheetFormatPr baseColWidth="10" defaultColWidth="8.5546875" defaultRowHeight="11.55" customHeight="1" x14ac:dyDescent="0.25"/>
  <cols>
    <col min="1" max="1" width="2.88671875" style="1" customWidth="1"/>
    <col min="2" max="5" width="22.44140625" style="1" customWidth="1"/>
    <col min="6" max="6" width="16.109375" style="1" customWidth="1"/>
    <col min="7" max="7" width="20.44140625" style="1" customWidth="1"/>
    <col min="8" max="8" width="8.5546875" style="1" customWidth="1"/>
    <col min="9" max="16384" width="8.5546875" style="1"/>
  </cols>
  <sheetData>
    <row r="1" spans="2:15" ht="15" customHeight="1" x14ac:dyDescent="0.3">
      <c r="B1" s="6" t="s">
        <v>163</v>
      </c>
      <c r="C1" s="6"/>
      <c r="D1" s="6"/>
      <c r="E1" s="6"/>
      <c r="F1" s="6"/>
      <c r="G1" s="6"/>
      <c r="I1" s="77"/>
      <c r="J1" s="77"/>
      <c r="K1" s="78"/>
      <c r="L1" s="78"/>
      <c r="N1" s="79"/>
      <c r="O1" s="77"/>
    </row>
    <row r="2" spans="2:15" ht="18" customHeight="1" x14ac:dyDescent="0.3">
      <c r="B2" s="6" t="s">
        <v>164</v>
      </c>
      <c r="C2" s="6"/>
      <c r="D2" s="6"/>
      <c r="E2" s="6"/>
      <c r="F2" s="6"/>
      <c r="G2" s="6"/>
    </row>
    <row r="3" spans="2:15" ht="12" x14ac:dyDescent="0.25">
      <c r="B3" s="90"/>
      <c r="C3" s="90"/>
      <c r="D3" s="90"/>
      <c r="E3" s="90"/>
      <c r="F3" s="90"/>
      <c r="G3" s="90"/>
    </row>
    <row r="4" spans="2:15" ht="12" x14ac:dyDescent="0.25">
      <c r="B4" s="13" t="s">
        <v>19</v>
      </c>
      <c r="C4" s="13"/>
      <c r="D4" s="91"/>
      <c r="E4" s="13"/>
      <c r="F4" s="13"/>
      <c r="G4" s="13"/>
    </row>
    <row r="5" spans="2:15" ht="12" x14ac:dyDescent="0.25">
      <c r="B5" s="13"/>
      <c r="C5" s="13"/>
      <c r="D5" s="13"/>
      <c r="E5" s="13"/>
      <c r="F5" s="13"/>
      <c r="G5" s="13"/>
    </row>
    <row r="6" spans="2:15" ht="25.5" customHeight="1" x14ac:dyDescent="0.25">
      <c r="B6" s="83" t="s">
        <v>148</v>
      </c>
      <c r="C6" s="84" t="s">
        <v>149</v>
      </c>
      <c r="D6" s="84" t="s">
        <v>150</v>
      </c>
      <c r="E6" s="86" t="s">
        <v>151</v>
      </c>
      <c r="F6" s="85" t="s">
        <v>155</v>
      </c>
      <c r="G6" s="15" t="s">
        <v>165</v>
      </c>
    </row>
    <row r="7" spans="2:15" s="104" customFormat="1" ht="48" x14ac:dyDescent="0.25">
      <c r="B7" s="127" t="s">
        <v>1391</v>
      </c>
      <c r="C7" s="123" t="s">
        <v>1392</v>
      </c>
      <c r="D7" s="99" t="s">
        <v>1392</v>
      </c>
      <c r="E7" s="128" t="s">
        <v>49</v>
      </c>
      <c r="F7" s="124" t="s">
        <v>1364</v>
      </c>
      <c r="G7" s="125" t="s">
        <v>1393</v>
      </c>
    </row>
    <row r="8" spans="2:15" s="104" customFormat="1" ht="276" x14ac:dyDescent="0.25">
      <c r="B8" s="127" t="s">
        <v>1394</v>
      </c>
      <c r="C8" s="123" t="s">
        <v>1395</v>
      </c>
      <c r="D8" s="99" t="s">
        <v>1396</v>
      </c>
      <c r="E8" s="128" t="s">
        <v>49</v>
      </c>
      <c r="F8" s="124" t="s">
        <v>1397</v>
      </c>
      <c r="G8" s="125" t="s">
        <v>1398</v>
      </c>
    </row>
    <row r="9" spans="2:15" s="104" customFormat="1" ht="336" x14ac:dyDescent="0.25">
      <c r="B9" s="127" t="s">
        <v>1399</v>
      </c>
      <c r="C9" s="123" t="s">
        <v>1415</v>
      </c>
      <c r="D9" s="99" t="s">
        <v>1400</v>
      </c>
      <c r="E9" s="128" t="s">
        <v>49</v>
      </c>
      <c r="F9" s="124" t="s">
        <v>1364</v>
      </c>
      <c r="G9" s="125" t="s">
        <v>1401</v>
      </c>
    </row>
    <row r="10" spans="2:15" s="104" customFormat="1" ht="144" x14ac:dyDescent="0.25">
      <c r="B10" s="127" t="s">
        <v>1402</v>
      </c>
      <c r="C10" s="123" t="s">
        <v>1403</v>
      </c>
      <c r="D10" s="99" t="s">
        <v>1404</v>
      </c>
      <c r="E10" s="128" t="s">
        <v>49</v>
      </c>
      <c r="F10" s="124" t="s">
        <v>1364</v>
      </c>
      <c r="G10" s="125" t="s">
        <v>1405</v>
      </c>
    </row>
    <row r="11" spans="2:15" s="104" customFormat="1" ht="216" x14ac:dyDescent="0.25">
      <c r="B11" s="127" t="s">
        <v>1406</v>
      </c>
      <c r="C11" s="123" t="s">
        <v>1407</v>
      </c>
      <c r="D11" s="99" t="s">
        <v>1408</v>
      </c>
      <c r="E11" s="128" t="s">
        <v>62</v>
      </c>
      <c r="F11" s="124" t="s">
        <v>1364</v>
      </c>
      <c r="G11" s="125" t="s">
        <v>1409</v>
      </c>
    </row>
    <row r="12" spans="2:15" s="104" customFormat="1" ht="216" x14ac:dyDescent="0.25">
      <c r="B12" s="127" t="s">
        <v>1410</v>
      </c>
      <c r="C12" s="123" t="s">
        <v>1411</v>
      </c>
      <c r="D12" s="99" t="s">
        <v>1412</v>
      </c>
      <c r="E12" s="128" t="s">
        <v>62</v>
      </c>
      <c r="F12" s="124" t="s">
        <v>1397</v>
      </c>
      <c r="G12" s="126" t="s">
        <v>1413</v>
      </c>
    </row>
    <row r="13" spans="2:15" ht="12" x14ac:dyDescent="0.25">
      <c r="B13" s="92"/>
      <c r="C13" s="92"/>
    </row>
    <row r="14" spans="2:15" ht="12" x14ac:dyDescent="0.25">
      <c r="B14" s="20" t="s">
        <v>66</v>
      </c>
      <c r="C14" s="92"/>
    </row>
    <row r="15" spans="2:15" ht="13.95" customHeight="1" x14ac:dyDescent="0.25">
      <c r="B15" s="1" t="s">
        <v>166</v>
      </c>
    </row>
    <row r="16" spans="2:15" ht="13.95" customHeight="1" x14ac:dyDescent="0.25">
      <c r="B16" s="1" t="s">
        <v>159</v>
      </c>
      <c r="C16" s="89"/>
      <c r="D16" s="89"/>
      <c r="E16" s="89"/>
      <c r="F16" s="89"/>
      <c r="G16" s="89"/>
    </row>
    <row r="17" spans="2:7" ht="13.95" customHeight="1" x14ac:dyDescent="0.25">
      <c r="B17" s="1" t="s">
        <v>167</v>
      </c>
      <c r="C17" s="89"/>
      <c r="D17" s="89"/>
      <c r="E17" s="89"/>
      <c r="F17" s="89"/>
      <c r="G17" s="89"/>
    </row>
    <row r="18" spans="2:7" ht="13.95" customHeight="1" x14ac:dyDescent="0.25">
      <c r="B18" s="1" t="s">
        <v>168</v>
      </c>
    </row>
    <row r="19" spans="2:7" ht="12" x14ac:dyDescent="0.25">
      <c r="B19" s="89"/>
      <c r="C19" s="89"/>
      <c r="D19" s="89"/>
      <c r="E19" s="89"/>
      <c r="F19" s="89"/>
      <c r="G19" s="89"/>
    </row>
    <row r="20" spans="2:7" ht="12" x14ac:dyDescent="0.25">
      <c r="B20" s="2"/>
      <c r="C20" s="2"/>
      <c r="D20" s="2"/>
      <c r="E20" s="2"/>
      <c r="F20" s="2"/>
      <c r="G20" s="2"/>
    </row>
    <row r="21" spans="2:7" ht="13.95" customHeight="1" x14ac:dyDescent="0.25"/>
    <row r="22" spans="2:7" ht="13.95" customHeight="1" x14ac:dyDescent="0.25"/>
    <row r="23" spans="2:7" ht="12" x14ac:dyDescent="0.25"/>
    <row r="24" spans="2:7" ht="12" x14ac:dyDescent="0.25">
      <c r="G24" s="53"/>
    </row>
    <row r="25" spans="2:7" ht="12" x14ac:dyDescent="0.25"/>
    <row r="26" spans="2:7" ht="12" x14ac:dyDescent="0.25"/>
    <row r="27" spans="2:7" ht="12" x14ac:dyDescent="0.25"/>
    <row r="28" spans="2:7" ht="12" x14ac:dyDescent="0.25"/>
    <row r="29" spans="2:7" ht="12" x14ac:dyDescent="0.25"/>
    <row r="30" spans="2:7" ht="12" x14ac:dyDescent="0.25"/>
    <row r="31" spans="2:7" ht="12" x14ac:dyDescent="0.25"/>
  </sheetData>
  <hyperlinks>
    <hyperlink ref="B4" location="'Index sheet'!A1" display="Back to index" xr:uid="{00000000-0004-0000-0800-000000000000}"/>
    <hyperlink ref="G10" r:id="rId1" display="https://www.tratolownetwork.eu/fileadmin/inhalte/tratolow/eu_support_for_climate_action_imagebrochure.pdf" xr:uid="{DA72912D-6A27-48D0-9127-1E1CBF13CEAB}"/>
  </hyperlinks>
  <pageMargins left="0.7" right="0.7" top="0.75" bottom="0.75" header="0.3" footer="0.3"/>
  <ignoredErrors>
    <ignoredError sqref="B13:O19 B1:O6 B22:O3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CC82CDB6BC1BC4099CC566150EBD91A" ma:contentTypeVersion="13" ma:contentTypeDescription="Ein neues Dokument erstellen." ma:contentTypeScope="" ma:versionID="78979ce64042d9891cf73b2177dab576">
  <xsd:schema xmlns:xsd="http://www.w3.org/2001/XMLSchema" xmlns:xs="http://www.w3.org/2001/XMLSchema" xmlns:p="http://schemas.microsoft.com/office/2006/metadata/properties" xmlns:ns2="700e4787-7860-4bb3-aa53-4015638c7a9a" xmlns:ns3="f9a96986-acb7-43dc-b8f9-438bc25211cf" targetNamespace="http://schemas.microsoft.com/office/2006/metadata/properties" ma:root="true" ma:fieldsID="4ecf06e69b846e381d293f7ddca3beee" ns2:_="" ns3:_="">
    <xsd:import namespace="700e4787-7860-4bb3-aa53-4015638c7a9a"/>
    <xsd:import namespace="f9a96986-acb7-43dc-b8f9-438bc25211c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0e4787-7860-4bb3-aa53-4015638c7a9a"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d7cd0b14-7712-438c-a080-ae65a94228ce}" ma:internalName="TaxCatchAll" ma:showField="CatchAllData" ma:web="700e4787-7860-4bb3-aa53-4015638c7a9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a96986-acb7-43dc-b8f9-438bc25211c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071a6f3f-b5d9-4d56-9617-5b21a8516c3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a96986-acb7-43dc-b8f9-438bc25211cf">
      <Terms xmlns="http://schemas.microsoft.com/office/infopath/2007/PartnerControls"/>
    </lcf76f155ced4ddcb4097134ff3c332f>
    <TaxCatchAll xmlns="700e4787-7860-4bb3-aa53-4015638c7a9a" xsi:nil="true"/>
  </documentManagement>
</p:properties>
</file>

<file path=customXml/itemProps1.xml><?xml version="1.0" encoding="utf-8"?>
<ds:datastoreItem xmlns:ds="http://schemas.openxmlformats.org/officeDocument/2006/customXml" ds:itemID="{94787E84-8E4D-4009-BBDE-0F59292AB1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0e4787-7860-4bb3-aa53-4015638c7a9a"/>
    <ds:schemaRef ds:uri="f9a96986-acb7-43dc-b8f9-438bc25211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3.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 ds:uri="f9a96986-acb7-43dc-b8f9-438bc25211cf"/>
    <ds:schemaRef ds:uri="700e4787-7860-4bb3-aa53-4015638c7a9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Index sheet</vt:lpstr>
      <vt:lpstr>Table1_2022</vt:lpstr>
      <vt:lpstr>Table1_2021</vt:lpstr>
      <vt:lpstr>Table2_2022</vt:lpstr>
      <vt:lpstr>Table2_2021</vt:lpstr>
      <vt:lpstr>Table3_2022</vt:lpstr>
      <vt:lpstr>Table3_2021</vt:lpstr>
      <vt:lpstr>Table4</vt:lpstr>
      <vt:lpstr>Table5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Lorenz Moosmann</cp:lastModifiedBy>
  <dcterms:created xsi:type="dcterms:W3CDTF">2021-11-26T12:02:15Z</dcterms:created>
  <dcterms:modified xsi:type="dcterms:W3CDTF">2024-12-17T07:39:38Z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0x0101002CC82CDB6BC1BC4099CC566150EBD91A</vt:lpwstr>
  </property>
  <property fmtid="{D5CDD505-2E9C-101B-9397-08002B2CF9AE}" pid="3" name="MediaServiceImageTags">
    <vt:lpwstr/>
  </property>
</Properties>
</file>