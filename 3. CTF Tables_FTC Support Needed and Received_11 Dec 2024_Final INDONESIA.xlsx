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rizaldiboer/Documents/Documents - MacBook Pro/PROGRAMS/Program 2024/KLHK_UNDP_BTR-FNC/Progress_Report/Draft 2/Clean Chapter 071124/FINAL BTR_ALL/BTR1/"/>
    </mc:Choice>
  </mc:AlternateContent>
  <xr:revisionPtr revIDLastSave="0" documentId="8_{0F3E143F-53C6-B846-8952-7F0A558911C6}" xr6:coauthVersionLast="47" xr6:coauthVersionMax="47" xr10:uidLastSave="{00000000-0000-0000-0000-000000000000}"/>
  <bookViews>
    <workbookView xWindow="940" yWindow="500" windowWidth="27860" windowHeight="17500" tabRatio="885" activeTab="1" xr2:uid="{77638B60-9215-4955-A54D-3A582F726262}"/>
  </bookViews>
  <sheets>
    <sheet name="Index" sheetId="1" r:id="rId1"/>
    <sheet name="Table 1" sheetId="2" r:id="rId2"/>
    <sheet name="Table 2" sheetId="3" r:id="rId3"/>
    <sheet name="Table 3" sheetId="4" r:id="rId4"/>
    <sheet name="Table 4" sheetId="5" r:id="rId5"/>
    <sheet name="Table 5" sheetId="6" r:id="rId6"/>
    <sheet name="Table 6 BUR" sheetId="24" r:id="rId7"/>
    <sheet name="Table 6 a" sheetId="18" r:id="rId8"/>
    <sheet name="Table 7 " sheetId="19" r:id="rId9"/>
    <sheet name="Table 8" sheetId="20" r:id="rId10"/>
    <sheet name="Table 9" sheetId="21" r:id="rId11"/>
    <sheet name="Table 10" sheetId="22" r:id="rId12"/>
    <sheet name="Table 11" sheetId="23" r:id="rId13"/>
    <sheet name="Table 12" sheetId="16" r:id="rId14"/>
    <sheet name="Table 13" sheetId="14" r:id="rId15"/>
  </sheets>
  <definedNames>
    <definedName name="_xlnm._FilterDatabase" localSheetId="13" hidden="1">'Table 12'!$B$6:$N$18</definedName>
    <definedName name="_xlnm._FilterDatabase" localSheetId="7" hidden="1">'Table 6 a'!$A$6:$P$52</definedName>
    <definedName name="_xlnm._FilterDatabase" localSheetId="6" hidden="1">'Table 6 BUR'!$A$6:$P$55</definedName>
    <definedName name="_xlnm._FilterDatabase" localSheetId="8" hidden="1">'Table 7 '!$A$5:$AB$92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1" i="19" l="1"/>
  <c r="L90" i="19"/>
  <c r="L89" i="19"/>
  <c r="L88" i="19"/>
  <c r="L87" i="19"/>
  <c r="L86" i="19"/>
  <c r="L85" i="19"/>
  <c r="L84" i="19"/>
  <c r="L83" i="19"/>
  <c r="L82" i="19"/>
  <c r="L81" i="19"/>
  <c r="L80" i="19"/>
  <c r="L76" i="19"/>
  <c r="L70" i="19"/>
  <c r="L69" i="19"/>
  <c r="L66" i="19"/>
  <c r="L63" i="19"/>
  <c r="L59" i="19"/>
  <c r="L58" i="19"/>
  <c r="L57" i="19"/>
  <c r="L56" i="19"/>
  <c r="L55" i="19"/>
  <c r="L54" i="19"/>
  <c r="L53" i="19"/>
  <c r="L49" i="19"/>
  <c r="L47" i="19"/>
  <c r="L23" i="19"/>
  <c r="L22" i="19"/>
  <c r="L21" i="19"/>
  <c r="N3" i="19" l="1"/>
  <c r="M3" i="19"/>
  <c r="L3" i="19" l="1"/>
  <c r="N92" i="19" l="1"/>
  <c r="M92" i="19"/>
  <c r="K92" i="19" l="1"/>
  <c r="J92" i="19"/>
  <c r="H38" i="16"/>
  <c r="L92" i="19" l="1"/>
  <c r="H32" i="16"/>
  <c r="I92" i="19" l="1"/>
  <c r="F28" i="18" l="1"/>
  <c r="F27" i="18"/>
  <c r="F26" i="18"/>
  <c r="F25" i="18"/>
  <c r="H18" i="4" l="1"/>
  <c r="H17" i="4"/>
  <c r="H16" i="4"/>
  <c r="H15" i="4"/>
  <c r="H14" i="4"/>
  <c r="H13" i="4"/>
  <c r="H12" i="4"/>
  <c r="H11" i="4"/>
  <c r="H10" i="4"/>
  <c r="H9" i="4"/>
  <c r="H8" i="4"/>
</calcChain>
</file>

<file path=xl/sharedStrings.xml><?xml version="1.0" encoding="utf-8"?>
<sst xmlns="http://schemas.openxmlformats.org/spreadsheetml/2006/main" count="4653" uniqueCount="1704">
  <si>
    <t>Common tabular formats for the electronic reporting of the information on financial, technology development and transfer and capacity-building support provided and mobilized, as well as support needed and received, under Articles 9–11 of the Paris Agreement in the Biennial Transparency Report</t>
  </si>
  <si>
    <t>Table 1</t>
  </si>
  <si>
    <t>Information on financial support provided under Article 9 of the Paris Agreement in year 20XX-3: bilateral, regional and other channels</t>
  </si>
  <si>
    <t>Table 2</t>
  </si>
  <si>
    <t>Information on financial support provided under Article 9 of the Paris Agreement in year 20XX-3: multilateral channels</t>
  </si>
  <si>
    <t>Table 3</t>
  </si>
  <si>
    <t>Information on financial support mobilized through public interventions under Article 9 of the Paris Agreement in 20XX-3</t>
  </si>
  <si>
    <t>Table 4</t>
  </si>
  <si>
    <t>Information on support for technology development and transfer provided under Article 10 of the Paris Agreement</t>
  </si>
  <si>
    <t>Table 5</t>
  </si>
  <si>
    <t>Information on capacity-building support provided under Article 11 of the Paris Agreement</t>
  </si>
  <si>
    <t>Table 6</t>
  </si>
  <si>
    <t>Information on financial support needed by developing country Parties under Article 9 of the Paris Agreement</t>
  </si>
  <si>
    <t>Table 7</t>
  </si>
  <si>
    <t>Information on financial support received by developing country Parties under Article 9 of the Paris Agreement</t>
  </si>
  <si>
    <t>Table 8</t>
  </si>
  <si>
    <t>Information on technology development and transfer support needed by developing country Parties under Article 10 of the Paris Agreement</t>
  </si>
  <si>
    <t>Table 9</t>
  </si>
  <si>
    <t>Information on technology development and transfer support received by developing country Parties under Article 10 of the Paris Agreement</t>
  </si>
  <si>
    <t>Table 10</t>
  </si>
  <si>
    <t>Information on capacity-building support needed by developing country Parties under Article 11 of the Paris Agreement</t>
  </si>
  <si>
    <t>Table 11</t>
  </si>
  <si>
    <t>Information on capacity-building support received by developing country Parties under Article 11 of the Paris Agreement</t>
  </si>
  <si>
    <t>Table 12</t>
  </si>
  <si>
    <t>Information on support needed by developing country Parties for the implementation of Article 13 of the Paris Agreement and transparency-related activities, including for transparency-related capacity-building</t>
  </si>
  <si>
    <t>Table 13</t>
  </si>
  <si>
    <t>Information on support received by developing country Parties for the implementation of Article 13 of the Paris Agreement and transparency-related activities, including for transparency-related capacity-building</t>
  </si>
  <si>
    <r>
      <t xml:space="preserve">Table III.1 Information on financial </t>
    </r>
    <r>
      <rPr>
        <b/>
        <sz val="14"/>
        <color rgb="FF0070C0"/>
        <rFont val="Calibri"/>
        <family val="2"/>
        <scheme val="minor"/>
      </rPr>
      <t xml:space="preserve">support provided </t>
    </r>
    <r>
      <rPr>
        <b/>
        <sz val="14"/>
        <color theme="1"/>
        <rFont val="Calibri"/>
        <family val="2"/>
        <scheme val="minor"/>
      </rPr>
      <t>under Article 9 of the Paris Agreement in year 20XX-3:</t>
    </r>
    <r>
      <rPr>
        <b/>
        <vertAlign val="superscript"/>
        <sz val="14"/>
        <color theme="1"/>
        <rFont val="Calibri"/>
        <family val="2"/>
        <scheme val="minor"/>
      </rPr>
      <t>a, b, c</t>
    </r>
    <r>
      <rPr>
        <b/>
        <sz val="14"/>
        <color theme="1"/>
        <rFont val="Calibri"/>
        <family val="2"/>
        <scheme val="minor"/>
      </rPr>
      <t xml:space="preserve"> bilateral, regional and other channels </t>
    </r>
  </si>
  <si>
    <t>Exchange rate used:</t>
  </si>
  <si>
    <r>
      <t>Recipient country or region</t>
    </r>
    <r>
      <rPr>
        <b/>
        <vertAlign val="superscript"/>
        <sz val="11"/>
        <color theme="1"/>
        <rFont val="Calibri"/>
        <family val="2"/>
        <scheme val="minor"/>
      </rPr>
      <t>c, d</t>
    </r>
  </si>
  <si>
    <r>
      <t>Title of the project programme, activity or other</t>
    </r>
    <r>
      <rPr>
        <b/>
        <vertAlign val="superscript"/>
        <sz val="11"/>
        <color theme="1"/>
        <rFont val="Calibri"/>
        <family val="2"/>
        <scheme val="minor"/>
      </rPr>
      <t>c,e</t>
    </r>
  </si>
  <si>
    <r>
      <t>Amount (climate-specific)</t>
    </r>
    <r>
      <rPr>
        <b/>
        <vertAlign val="superscript"/>
        <sz val="11"/>
        <color theme="1"/>
        <rFont val="Calibri"/>
        <family val="2"/>
        <scheme val="minor"/>
      </rPr>
      <t>c, f</t>
    </r>
  </si>
  <si>
    <r>
      <t>Status</t>
    </r>
    <r>
      <rPr>
        <b/>
        <vertAlign val="superscript"/>
        <sz val="11"/>
        <color theme="1"/>
        <rFont val="Calibri"/>
        <family val="2"/>
        <scheme val="minor"/>
      </rPr>
      <t>c</t>
    </r>
  </si>
  <si>
    <r>
      <t>Channel</t>
    </r>
    <r>
      <rPr>
        <b/>
        <vertAlign val="superscript"/>
        <sz val="11"/>
        <color theme="1"/>
        <rFont val="Calibri"/>
        <family val="2"/>
        <scheme val="minor"/>
      </rPr>
      <t>c</t>
    </r>
  </si>
  <si>
    <r>
      <t>Funding source</t>
    </r>
    <r>
      <rPr>
        <b/>
        <vertAlign val="superscript"/>
        <sz val="11"/>
        <color theme="1"/>
        <rFont val="Calibri"/>
        <family val="2"/>
        <scheme val="minor"/>
      </rPr>
      <t>c</t>
    </r>
  </si>
  <si>
    <r>
      <t>Financial instrument</t>
    </r>
    <r>
      <rPr>
        <b/>
        <vertAlign val="superscript"/>
        <sz val="11"/>
        <color theme="1"/>
        <rFont val="Calibri"/>
        <family val="2"/>
        <scheme val="minor"/>
      </rPr>
      <t>c, g</t>
    </r>
  </si>
  <si>
    <r>
      <t>Type of support</t>
    </r>
    <r>
      <rPr>
        <b/>
        <vertAlign val="superscript"/>
        <sz val="11"/>
        <color theme="1"/>
        <rFont val="Calibri"/>
        <family val="2"/>
        <scheme val="minor"/>
      </rPr>
      <t>c</t>
    </r>
  </si>
  <si>
    <r>
      <t>Sector</t>
    </r>
    <r>
      <rPr>
        <b/>
        <vertAlign val="superscript"/>
        <sz val="11"/>
        <color theme="1"/>
        <rFont val="Calibri"/>
        <family val="2"/>
        <scheme val="minor"/>
      </rPr>
      <t>c</t>
    </r>
  </si>
  <si>
    <r>
      <t>Subsector</t>
    </r>
    <r>
      <rPr>
        <b/>
        <vertAlign val="superscript"/>
        <sz val="11"/>
        <color theme="1"/>
        <rFont val="Calibri"/>
        <family val="2"/>
        <scheme val="minor"/>
      </rPr>
      <t>c, h</t>
    </r>
  </si>
  <si>
    <r>
      <t>Contribution to capacity-building objectives</t>
    </r>
    <r>
      <rPr>
        <b/>
        <vertAlign val="superscript"/>
        <sz val="11"/>
        <color theme="1"/>
        <rFont val="Calibri"/>
        <family val="2"/>
        <scheme val="minor"/>
      </rPr>
      <t>c, h</t>
    </r>
  </si>
  <si>
    <r>
      <t>Contribution to technology development and transfer objectives</t>
    </r>
    <r>
      <rPr>
        <b/>
        <vertAlign val="superscript"/>
        <sz val="11"/>
        <color theme="1"/>
        <rFont val="Calibri"/>
        <family val="2"/>
        <scheme val="minor"/>
      </rPr>
      <t>c, h</t>
    </r>
  </si>
  <si>
    <r>
      <t>Additional information</t>
    </r>
    <r>
      <rPr>
        <b/>
        <vertAlign val="superscript"/>
        <sz val="11"/>
        <color theme="1"/>
        <rFont val="Calibri"/>
        <family val="2"/>
        <scheme val="minor"/>
      </rPr>
      <t>c, h, i</t>
    </r>
  </si>
  <si>
    <t>Face value</t>
  </si>
  <si>
    <t>Grant equivalent</t>
  </si>
  <si>
    <t>Domestic currency</t>
  </si>
  <si>
    <t>USD</t>
  </si>
  <si>
    <r>
      <t>Country/
Region</t>
    </r>
    <r>
      <rPr>
        <vertAlign val="superscript"/>
        <sz val="11"/>
        <color theme="1"/>
        <rFont val="Calibri"/>
        <family val="2"/>
        <scheme val="minor"/>
      </rPr>
      <t>j</t>
    </r>
    <r>
      <rPr>
        <sz val="11"/>
        <color theme="1"/>
        <rFont val="Calibri"/>
        <family val="2"/>
        <scheme val="minor"/>
      </rPr>
      <t xml:space="preserve">
Global</t>
    </r>
  </si>
  <si>
    <t>Disbursed
Committed</t>
  </si>
  <si>
    <t>Bilateral
Regional 
Multi-bilateral
Other (specify)e</t>
  </si>
  <si>
    <t>ODA
OOF
Other (specify)e</t>
  </si>
  <si>
    <r>
      <t>Grant 
Concessional loan
Non-concessional loan 
Equity
Guarantee 
Insurance
 Other (specify)</t>
    </r>
    <r>
      <rPr>
        <vertAlign val="superscript"/>
        <sz val="11"/>
        <color theme="1"/>
        <rFont val="Calibri"/>
        <family val="2"/>
        <scheme val="minor"/>
      </rPr>
      <t>e</t>
    </r>
  </si>
  <si>
    <r>
      <t>Adaptation Mitigation 
Cross-cutting</t>
    </r>
    <r>
      <rPr>
        <vertAlign val="superscript"/>
        <sz val="11"/>
        <rFont val="Calibri"/>
        <family val="2"/>
        <scheme val="minor"/>
      </rPr>
      <t>k</t>
    </r>
  </si>
  <si>
    <r>
      <t>Energy 
Transport 
Industry 
Agriculture 
Forestry
Water and sanitation
Cross- cutting 
Other
(specify)</t>
    </r>
    <r>
      <rPr>
        <vertAlign val="superscript"/>
        <sz val="11"/>
        <color theme="1"/>
        <rFont val="Calibri"/>
        <family val="2"/>
        <scheme val="minor"/>
      </rPr>
      <t>e</t>
    </r>
  </si>
  <si>
    <t>Insert 1 for Yes,
0 for No</t>
  </si>
  <si>
    <t>Afghanistan (Aga Khan Foundation)</t>
  </si>
  <si>
    <t>Humanitarian Grant Assistance for Addressing the Food Crisis in Afghanistan</t>
  </si>
  <si>
    <t xml:space="preserve">Disbursed  </t>
  </si>
  <si>
    <t xml:space="preserve">Bilateral </t>
  </si>
  <si>
    <t>Other (Indonesia)</t>
  </si>
  <si>
    <t xml:space="preserve">Grant  </t>
  </si>
  <si>
    <t xml:space="preserve">Adaptatation </t>
  </si>
  <si>
    <t>Agriculture</t>
  </si>
  <si>
    <t>Antigua &amp; Barbuda</t>
  </si>
  <si>
    <t>Support for the "Community Connect" Project After the 2017 Hurricane Irma Disaster</t>
  </si>
  <si>
    <t>Other (Disasster)</t>
  </si>
  <si>
    <t>Madagaskar</t>
  </si>
  <si>
    <t>Mitigating Famine Disaster Due to Drought in Southern Madagascar</t>
  </si>
  <si>
    <t>Mozambik</t>
  </si>
  <si>
    <t>Mitigating the Impact of the Natural Disaster Cyclone Idai</t>
  </si>
  <si>
    <t>Water and Sanitation</t>
  </si>
  <si>
    <t>Palau</t>
  </si>
  <si>
    <t>The 7th Our Ocean Conference</t>
  </si>
  <si>
    <t>Zimbabwe</t>
  </si>
  <si>
    <t>Pakistan</t>
  </si>
  <si>
    <t>Humanitarian Aid for Flash Flood Disaster Management</t>
  </si>
  <si>
    <t>Member States of the Melanesian Spearhead Group (MSG)</t>
  </si>
  <si>
    <t>Training grants in fisheries for Melanesian Spearhead Group (MSG) member countries, which include: Fiji, Papua New Guinea, Solomon Islands, and Vanuatu..</t>
  </si>
  <si>
    <t>Fishery</t>
  </si>
  <si>
    <r>
      <t xml:space="preserve">Abbreviations: ODA = official development assistance, OOF = other official flows.
Notation keys: NA = not applicable; UA = information not available at the time of reporting; NR = not reported (to indicate the voluntary character of the information).
Note: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
</t>
    </r>
    <r>
      <rPr>
        <vertAlign val="superscript"/>
        <sz val="11"/>
        <color theme="1"/>
        <rFont val="Calibri"/>
        <family val="2"/>
        <scheme val="minor"/>
      </rPr>
      <t>a</t>
    </r>
    <r>
      <rPr>
        <sz val="11"/>
        <color theme="1"/>
        <rFont val="Calibri"/>
        <family val="2"/>
        <scheme val="minor"/>
      </rPr>
      <t xml:space="preserve"> Relevant information, in tabular format, on bilateral and regional financial support provided for the previous two reporting years without overlapping with the previous reporting periods.
</t>
    </r>
    <r>
      <rPr>
        <vertAlign val="superscript"/>
        <sz val="11"/>
        <color theme="1"/>
        <rFont val="Calibri"/>
        <family val="2"/>
        <scheme val="minor"/>
      </rPr>
      <t>b</t>
    </r>
    <r>
      <rPr>
        <sz val="11"/>
        <color theme="1"/>
        <rFont val="Calibri"/>
        <family val="2"/>
        <scheme val="minor"/>
      </rPr>
      <t xml:space="preserve"> Parties report in a separate table for each year, namely 20XX-3 and 20XX-2, where 20XX is the reporting year.
</t>
    </r>
    <r>
      <rPr>
        <vertAlign val="superscript"/>
        <sz val="11"/>
        <color theme="1"/>
        <rFont val="Calibri"/>
        <family val="2"/>
        <scheme val="minor"/>
      </rPr>
      <t>c</t>
    </r>
    <r>
      <rPr>
        <sz val="11"/>
        <color theme="1"/>
        <rFont val="Calibri"/>
        <family val="2"/>
        <scheme val="minor"/>
      </rPr>
      <t xml:space="preserve"> Parties provide the underlying assumptions, definitions and methodologies, as applicable, used to identify and/or report this reporting parameter in the respective section of the BTR.
</t>
    </r>
    <r>
      <rPr>
        <vertAlign val="superscript"/>
        <sz val="11"/>
        <color theme="1"/>
        <rFont val="Calibri"/>
        <family val="2"/>
        <scheme val="minor"/>
      </rPr>
      <t>d</t>
    </r>
    <r>
      <rPr>
        <sz val="11"/>
        <color theme="1"/>
        <rFont val="Calibri"/>
        <family val="2"/>
        <scheme val="minor"/>
      </rPr>
      <t xml:space="preserve"> To the extent possible.
</t>
    </r>
    <r>
      <rPr>
        <vertAlign val="superscript"/>
        <sz val="11"/>
        <color theme="1"/>
        <rFont val="Calibri"/>
        <family val="2"/>
        <scheme val="minor"/>
      </rPr>
      <t>e</t>
    </r>
    <r>
      <rPr>
        <sz val="11"/>
        <color theme="1"/>
        <rFont val="Calibri"/>
        <family val="2"/>
        <scheme val="minor"/>
      </rPr>
      <t xml:space="preserve"> If “other”, Parties should specify this information.
</t>
    </r>
    <r>
      <rPr>
        <vertAlign val="superscript"/>
        <sz val="11"/>
        <color theme="1"/>
        <rFont val="Calibri"/>
        <family val="2"/>
        <scheme val="minor"/>
      </rPr>
      <t>f</t>
    </r>
    <r>
      <rPr>
        <sz val="11"/>
        <color theme="1"/>
        <rFont val="Calibri"/>
        <family val="2"/>
        <scheme val="minor"/>
      </rPr>
      <t xml:space="preserve"> The face value and, on a voluntary basis, the grant-equivalent value.
</t>
    </r>
    <r>
      <rPr>
        <vertAlign val="superscript"/>
        <sz val="11"/>
        <color theme="1"/>
        <rFont val="Calibri"/>
        <family val="2"/>
        <scheme val="minor"/>
      </rPr>
      <t>g</t>
    </r>
    <r>
      <rPr>
        <sz val="11"/>
        <color theme="1"/>
        <rFont val="Calibri"/>
        <family val="2"/>
        <scheme val="minor"/>
      </rPr>
      <t xml:space="preserve"> Parties report, to the extent possible, the different amounts per financial instrument, if applicable and as available.
</t>
    </r>
    <r>
      <rPr>
        <vertAlign val="superscript"/>
        <sz val="11"/>
        <color theme="1"/>
        <rFont val="Calibri"/>
        <family val="2"/>
        <scheme val="minor"/>
      </rPr>
      <t>h</t>
    </r>
    <r>
      <rPr>
        <sz val="11"/>
        <color theme="1"/>
        <rFont val="Calibri"/>
        <family val="2"/>
        <scheme val="minor"/>
      </rPr>
      <t xml:space="preserve"> As available.
</t>
    </r>
    <r>
      <rPr>
        <vertAlign val="superscript"/>
        <sz val="11"/>
        <color theme="1"/>
        <rFont val="Calibri"/>
        <family val="2"/>
        <scheme val="minor"/>
      </rPr>
      <t>i</t>
    </r>
    <r>
      <rPr>
        <sz val="11"/>
        <color theme="1"/>
        <rFont val="Calibri"/>
        <family val="2"/>
        <scheme val="minor"/>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
</t>
    </r>
    <r>
      <rPr>
        <vertAlign val="superscript"/>
        <sz val="11"/>
        <color theme="1"/>
        <rFont val="Calibri"/>
        <family val="2"/>
        <scheme val="minor"/>
      </rPr>
      <t>j</t>
    </r>
    <r>
      <rPr>
        <sz val="11"/>
        <color theme="1"/>
        <rFont val="Calibri"/>
        <family val="2"/>
        <scheme val="minor"/>
      </rPr>
      <t xml:space="preserve"> The region should be reported if data at the country level are not available.
</t>
    </r>
    <r>
      <rPr>
        <vertAlign val="superscript"/>
        <sz val="11"/>
        <color theme="1"/>
        <rFont val="Calibri"/>
        <family val="2"/>
        <scheme val="minor"/>
      </rPr>
      <t>k</t>
    </r>
    <r>
      <rPr>
        <sz val="11"/>
        <color theme="1"/>
        <rFont val="Calibri"/>
        <family val="2"/>
        <scheme val="minor"/>
      </rPr>
      <t xml:space="preserve"> This refers to funding for activities that have both mitigation and adaptation components. Parties report, to the extent possible, the different amounts of components, if applicable and as available.</t>
    </r>
  </si>
  <si>
    <r>
      <t xml:space="preserve">Table III.2 Information on financial </t>
    </r>
    <r>
      <rPr>
        <b/>
        <sz val="14"/>
        <color rgb="FF0070C0"/>
        <rFont val="Calibri"/>
        <family val="2"/>
        <scheme val="minor"/>
      </rPr>
      <t>support provided</t>
    </r>
    <r>
      <rPr>
        <b/>
        <sz val="14"/>
        <color theme="1"/>
        <rFont val="Calibri"/>
        <family val="2"/>
        <scheme val="minor"/>
      </rPr>
      <t xml:space="preserve"> under Article 9 of the Paris Agreement in year 20XX-3:</t>
    </r>
    <r>
      <rPr>
        <b/>
        <vertAlign val="superscript"/>
        <sz val="14"/>
        <color theme="1"/>
        <rFont val="Calibri"/>
        <family val="2"/>
        <scheme val="minor"/>
      </rPr>
      <t>a, b, c</t>
    </r>
    <r>
      <rPr>
        <b/>
        <sz val="14"/>
        <color theme="1"/>
        <rFont val="Calibri"/>
        <family val="2"/>
        <scheme val="minor"/>
      </rPr>
      <t xml:space="preserve"> multilateral channels</t>
    </r>
  </si>
  <si>
    <r>
      <t>Institution</t>
    </r>
    <r>
      <rPr>
        <b/>
        <vertAlign val="superscript"/>
        <sz val="11"/>
        <color theme="1"/>
        <rFont val="Calibri"/>
        <family val="2"/>
        <scheme val="minor"/>
      </rPr>
      <t>c</t>
    </r>
  </si>
  <si>
    <r>
      <t>Amount</t>
    </r>
    <r>
      <rPr>
        <b/>
        <vertAlign val="superscript"/>
        <sz val="11"/>
        <color theme="1"/>
        <rFont val="Calibri"/>
        <family val="2"/>
        <scheme val="minor"/>
      </rPr>
      <t>c,d</t>
    </r>
  </si>
  <si>
    <r>
      <t>Recipient</t>
    </r>
    <r>
      <rPr>
        <b/>
        <vertAlign val="superscript"/>
        <sz val="11"/>
        <color theme="1"/>
        <rFont val="Calibri"/>
        <family val="2"/>
        <scheme val="minor"/>
      </rPr>
      <t>c,e,g</t>
    </r>
  </si>
  <si>
    <r>
      <t>Title of the project programme activity or other</t>
    </r>
    <r>
      <rPr>
        <b/>
        <vertAlign val="superscript"/>
        <sz val="11"/>
        <color theme="1"/>
        <rFont val="Calibri"/>
        <family val="2"/>
        <scheme val="minor"/>
      </rPr>
      <t>c,e,g,h</t>
    </r>
  </si>
  <si>
    <r>
      <t>Financial instrument</t>
    </r>
    <r>
      <rPr>
        <b/>
        <vertAlign val="superscript"/>
        <sz val="11"/>
        <color theme="1"/>
        <rFont val="Calibri"/>
        <family val="2"/>
        <scheme val="minor"/>
      </rPr>
      <t>c,i</t>
    </r>
  </si>
  <si>
    <r>
      <t>Sector</t>
    </r>
    <r>
      <rPr>
        <b/>
        <vertAlign val="superscript"/>
        <sz val="11"/>
        <color theme="1"/>
        <rFont val="Calibri"/>
        <family val="2"/>
        <scheme val="minor"/>
      </rPr>
      <t>c,g</t>
    </r>
  </si>
  <si>
    <r>
      <t>Subsector</t>
    </r>
    <r>
      <rPr>
        <b/>
        <vertAlign val="superscript"/>
        <sz val="11"/>
        <color theme="1"/>
        <rFont val="Calibri"/>
        <family val="2"/>
        <scheme val="minor"/>
      </rPr>
      <t>c,g</t>
    </r>
  </si>
  <si>
    <r>
      <t>Contribution to capacity-building objectives</t>
    </r>
    <r>
      <rPr>
        <b/>
        <vertAlign val="superscript"/>
        <sz val="11"/>
        <color theme="1"/>
        <rFont val="Calibri"/>
        <family val="2"/>
        <scheme val="minor"/>
      </rPr>
      <t>c,e,g</t>
    </r>
  </si>
  <si>
    <r>
      <t>Contribution to technology development and transfer objective</t>
    </r>
    <r>
      <rPr>
        <b/>
        <vertAlign val="superscript"/>
        <sz val="11"/>
        <color theme="1"/>
        <rFont val="Calibri"/>
        <family val="2"/>
        <scheme val="minor"/>
      </rPr>
      <t>c,e,g</t>
    </r>
  </si>
  <si>
    <r>
      <t>Additional information</t>
    </r>
    <r>
      <rPr>
        <b/>
        <vertAlign val="superscript"/>
        <sz val="11"/>
        <color theme="1"/>
        <rFont val="Calibri"/>
        <family val="2"/>
        <scheme val="minor"/>
      </rPr>
      <t>l</t>
    </r>
  </si>
  <si>
    <r>
      <t>Inflows</t>
    </r>
    <r>
      <rPr>
        <b/>
        <vertAlign val="superscript"/>
        <sz val="11"/>
        <color theme="1"/>
        <rFont val="Calibri"/>
        <family val="2"/>
        <scheme val="minor"/>
      </rPr>
      <t>c,e</t>
    </r>
  </si>
  <si>
    <r>
      <t>Outflows</t>
    </r>
    <r>
      <rPr>
        <b/>
        <vertAlign val="superscript"/>
        <sz val="11"/>
        <color theme="1"/>
        <rFont val="Calibri"/>
        <family val="2"/>
        <scheme val="minor"/>
      </rPr>
      <t>c,e</t>
    </r>
  </si>
  <si>
    <r>
      <t>Core/general</t>
    </r>
    <r>
      <rPr>
        <b/>
        <vertAlign val="superscript"/>
        <sz val="11"/>
        <color theme="1"/>
        <rFont val="Calibri"/>
        <family val="2"/>
        <scheme val="minor"/>
      </rPr>
      <t>c,e,f</t>
    </r>
  </si>
  <si>
    <r>
      <t>Climate-specific</t>
    </r>
    <r>
      <rPr>
        <b/>
        <vertAlign val="superscript"/>
        <sz val="11"/>
        <color theme="1"/>
        <rFont val="Calibri"/>
        <family val="2"/>
        <scheme val="minor"/>
      </rPr>
      <t>e</t>
    </r>
  </si>
  <si>
    <t>Face Value</t>
  </si>
  <si>
    <r>
      <t>Adaptation Fund
African Development Bank
Asian Development Bank
Capacity-building Initiative for Transparency
Climate Technology Centre and Network
European Bank for Reconstruction and
Development
Global Environment Facility
Green Climate Fund
Inter-American Development Bank
International Finance Corporation
Least Developed Country Fund
Special Climate Change Fund
Trust Fund for Supplementary Activities UNFCCC
United Nations Development Programme
United Nations Environment Programme
World Bank
Other (specify)</t>
    </r>
    <r>
      <rPr>
        <vertAlign val="superscript"/>
        <sz val="11"/>
        <color theme="1"/>
        <rFont val="Calibri"/>
        <family val="2"/>
        <scheme val="minor"/>
      </rPr>
      <t>h</t>
    </r>
  </si>
  <si>
    <r>
      <t>Country
Region</t>
    </r>
    <r>
      <rPr>
        <vertAlign val="superscript"/>
        <sz val="11"/>
        <color theme="1"/>
        <rFont val="Calibri"/>
        <family val="2"/>
        <scheme val="minor"/>
      </rPr>
      <t>j</t>
    </r>
    <r>
      <rPr>
        <sz val="11"/>
        <color theme="1"/>
        <rFont val="Calibri"/>
        <family val="2"/>
        <scheme val="minor"/>
      </rPr>
      <t xml:space="preserve">
Global</t>
    </r>
  </si>
  <si>
    <t>Multilateral
Multi-bilateral</t>
  </si>
  <si>
    <r>
      <t>ODA
OOF
Other (specify)</t>
    </r>
    <r>
      <rPr>
        <vertAlign val="superscript"/>
        <sz val="11"/>
        <color theme="1"/>
        <rFont val="Calibri"/>
        <family val="2"/>
        <scheme val="minor"/>
      </rPr>
      <t>h</t>
    </r>
    <r>
      <rPr>
        <sz val="11"/>
        <color theme="1"/>
        <rFont val="Calibri"/>
        <family val="2"/>
        <scheme val="minor"/>
      </rPr>
      <t xml:space="preserve">
</t>
    </r>
  </si>
  <si>
    <r>
      <t>Grant
Concessional loan
Non- concessional loan
Equity
Guarantee
Insurance
Other (specify)</t>
    </r>
    <r>
      <rPr>
        <vertAlign val="superscript"/>
        <sz val="11"/>
        <color theme="1"/>
        <rFont val="Calibri"/>
        <family val="2"/>
        <scheme val="minor"/>
      </rPr>
      <t>h</t>
    </r>
  </si>
  <si>
    <r>
      <t>Adaptation
Mitigation
Cross-cutting</t>
    </r>
    <r>
      <rPr>
        <vertAlign val="superscript"/>
        <sz val="11"/>
        <color theme="1"/>
        <rFont val="Calibri"/>
        <family val="2"/>
        <scheme val="minor"/>
      </rPr>
      <t>k</t>
    </r>
  </si>
  <si>
    <r>
      <t>Energy
Transport
Industry
Agriculture
Forestry
Water and
sanitation
Crosscutting
Other
(specify)</t>
    </r>
    <r>
      <rPr>
        <vertAlign val="superscript"/>
        <sz val="11"/>
        <color theme="1"/>
        <rFont val="Calibri"/>
        <family val="2"/>
        <scheme val="minor"/>
      </rPr>
      <t>h</t>
    </r>
  </si>
  <si>
    <t>Insert 1 for Yes, 0 for No</t>
  </si>
  <si>
    <t>NA</t>
  </si>
  <si>
    <t>NA =  Not Aplicable</t>
  </si>
  <si>
    <r>
      <t xml:space="preserve">Abbreviations: ODA = official development assistance, OOF = other official flows.
Notation keys: NA = not applicable; UA = information not available at the time of reporting; NR = not reported (to indicate the voluntary character of the information).
Note: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
</t>
    </r>
    <r>
      <rPr>
        <vertAlign val="superscript"/>
        <sz val="11"/>
        <color theme="1"/>
        <rFont val="Calibri"/>
        <family val="2"/>
        <scheme val="minor"/>
      </rPr>
      <t>a</t>
    </r>
    <r>
      <rPr>
        <sz val="11"/>
        <color theme="1"/>
        <rFont val="Calibri"/>
        <family val="2"/>
        <scheme val="minor"/>
      </rPr>
      <t xml:space="preserve"> Relevant information, in a tabular format, for the previous two reporting years without overlapping with the previous reporting periods, on financial support provided through multilateral channels.
</t>
    </r>
    <r>
      <rPr>
        <vertAlign val="superscript"/>
        <sz val="11"/>
        <color theme="1"/>
        <rFont val="Calibri"/>
        <family val="2"/>
        <scheme val="minor"/>
      </rPr>
      <t>b</t>
    </r>
    <r>
      <rPr>
        <sz val="11"/>
        <color theme="1"/>
        <rFont val="Calibri"/>
        <family val="2"/>
        <scheme val="minor"/>
      </rPr>
      <t xml:space="preserve"> Parties fill in a separate table for each year, namely 20XX-3 and 20XX-2, where 20XX is the reporting year.
</t>
    </r>
    <r>
      <rPr>
        <vertAlign val="superscript"/>
        <sz val="11"/>
        <color theme="1"/>
        <rFont val="Calibri"/>
        <family val="2"/>
        <scheme val="minor"/>
      </rPr>
      <t>c</t>
    </r>
    <r>
      <rPr>
        <sz val="11"/>
        <color theme="1"/>
        <rFont val="Calibri"/>
        <family val="2"/>
        <scheme val="minor"/>
      </rPr>
      <t xml:space="preserve"> Parties provide the underlying assumptions, definitions and methodologies, as applicable, used to identify and/or report this reporting parameter in the respective section of the BTR.
</t>
    </r>
    <r>
      <rPr>
        <vertAlign val="superscript"/>
        <sz val="11"/>
        <color theme="1"/>
        <rFont val="Calibri"/>
        <family val="2"/>
        <scheme val="minor"/>
      </rPr>
      <t>d</t>
    </r>
    <r>
      <rPr>
        <sz val="11"/>
        <color theme="1"/>
        <rFont val="Calibri"/>
        <family val="2"/>
        <scheme val="minor"/>
      </rPr>
      <t xml:space="preserve"> The face value and, on a voluntary basis, the grant-equivalent value.
</t>
    </r>
    <r>
      <rPr>
        <vertAlign val="superscript"/>
        <sz val="11"/>
        <color theme="1"/>
        <rFont val="Calibri"/>
        <family val="2"/>
        <scheme val="minor"/>
      </rPr>
      <t>e</t>
    </r>
    <r>
      <rPr>
        <sz val="11"/>
        <color theme="1"/>
        <rFont val="Calibri"/>
        <family val="2"/>
        <scheme val="minor"/>
      </rPr>
      <t xml:space="preserve"> As applicable.
</t>
    </r>
    <r>
      <rPr>
        <vertAlign val="superscript"/>
        <sz val="11"/>
        <color theme="1"/>
        <rFont val="Calibri"/>
        <family val="2"/>
        <scheme val="minor"/>
      </rPr>
      <t>f</t>
    </r>
    <r>
      <rPr>
        <sz val="11"/>
        <color theme="1"/>
        <rFont val="Calibri"/>
        <family val="2"/>
        <scheme val="minor"/>
      </rPr>
      <t xml:space="preserve"> This refers to support to multilateral institutions that Parties cannot specify as being climate-specific.
</t>
    </r>
    <r>
      <rPr>
        <vertAlign val="superscript"/>
        <sz val="11"/>
        <color theme="1"/>
        <rFont val="Calibri"/>
        <family val="2"/>
        <scheme val="minor"/>
      </rPr>
      <t>g</t>
    </r>
    <r>
      <rPr>
        <sz val="11"/>
        <color theme="1"/>
        <rFont val="Calibri"/>
        <family val="2"/>
        <scheme val="minor"/>
      </rPr>
      <t xml:space="preserve"> As available.
</t>
    </r>
    <r>
      <rPr>
        <vertAlign val="superscript"/>
        <sz val="11"/>
        <color theme="1"/>
        <rFont val="Calibri"/>
        <family val="2"/>
        <scheme val="minor"/>
      </rPr>
      <t>h</t>
    </r>
    <r>
      <rPr>
        <sz val="11"/>
        <color theme="1"/>
        <rFont val="Calibri"/>
        <family val="2"/>
        <scheme val="minor"/>
      </rPr>
      <t xml:space="preserve"> If “other”, Parties should specify this information.
</t>
    </r>
    <r>
      <rPr>
        <vertAlign val="superscript"/>
        <sz val="11"/>
        <color theme="1"/>
        <rFont val="Calibri"/>
        <family val="2"/>
        <scheme val="minor"/>
      </rPr>
      <t>i</t>
    </r>
    <r>
      <rPr>
        <sz val="11"/>
        <color theme="1"/>
        <rFont val="Calibri"/>
        <family val="2"/>
        <scheme val="minor"/>
      </rPr>
      <t xml:space="preserve"> Parties report, to the extent possible, the different amounts per financial instrument, if applicable and as available.
</t>
    </r>
    <r>
      <rPr>
        <vertAlign val="superscript"/>
        <sz val="11"/>
        <color theme="1"/>
        <rFont val="Calibri"/>
        <family val="2"/>
        <scheme val="minor"/>
      </rPr>
      <t>j</t>
    </r>
    <r>
      <rPr>
        <sz val="11"/>
        <color theme="1"/>
        <rFont val="Calibri"/>
        <family val="2"/>
        <scheme val="minor"/>
      </rPr>
      <t xml:space="preserve"> Region should be reported when data at country level are not available.
</t>
    </r>
    <r>
      <rPr>
        <vertAlign val="superscript"/>
        <sz val="11"/>
        <color theme="1"/>
        <rFont val="Calibri"/>
        <family val="2"/>
        <scheme val="minor"/>
      </rPr>
      <t>k</t>
    </r>
    <r>
      <rPr>
        <sz val="11"/>
        <color theme="1"/>
        <rFont val="Calibri"/>
        <family val="2"/>
        <scheme val="minor"/>
      </rPr>
      <t xml:space="preserve"> This refers to funding for activities that have both mitigation and adaptation components. Parties report, to the extent possible, the different amounts of components, if applicable and as available.
</t>
    </r>
    <r>
      <rPr>
        <vertAlign val="superscript"/>
        <sz val="11"/>
        <color theme="1"/>
        <rFont val="Calibri"/>
        <family val="2"/>
        <scheme val="minor"/>
      </rPr>
      <t>l</t>
    </r>
    <r>
      <rPr>
        <sz val="11"/>
        <color theme="1"/>
        <rFont val="Calibri"/>
        <family val="2"/>
        <scheme val="minor"/>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</si>
  <si>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Table III.3 Information on financial </t>
    </r>
    <r>
      <rPr>
        <b/>
        <sz val="14"/>
        <color rgb="FF0070C0"/>
        <rFont val="Calibri"/>
        <family val="2"/>
        <scheme val="minor"/>
      </rPr>
      <t>support mobilized</t>
    </r>
    <r>
      <rPr>
        <b/>
        <sz val="14"/>
        <color theme="1"/>
        <rFont val="Calibri"/>
        <family val="2"/>
        <scheme val="minor"/>
      </rPr>
      <t xml:space="preserve"> through public interventions under Article 9 of the Paris Agreement in 20XX-3</t>
    </r>
    <r>
      <rPr>
        <b/>
        <vertAlign val="superscript"/>
        <sz val="14"/>
        <color theme="1"/>
        <rFont val="Calibri"/>
        <family val="2"/>
        <scheme val="minor"/>
      </rPr>
      <t>a, b, c</t>
    </r>
  </si>
  <si>
    <r>
      <t>Recipient</t>
    </r>
    <r>
      <rPr>
        <b/>
        <vertAlign val="superscript"/>
        <sz val="11"/>
        <color theme="1"/>
        <rFont val="Calibri"/>
        <family val="2"/>
        <scheme val="minor"/>
      </rPr>
      <t>c</t>
    </r>
  </si>
  <si>
    <r>
      <t>Title of the project, programme, activity or other</t>
    </r>
    <r>
      <rPr>
        <b/>
        <vertAlign val="superscript"/>
        <sz val="11"/>
        <color theme="1"/>
        <rFont val="Calibri"/>
        <family val="2"/>
        <scheme val="minor"/>
      </rPr>
      <t>c, d</t>
    </r>
  </si>
  <si>
    <t>Channel</t>
  </si>
  <si>
    <r>
      <t>Amount mobilized</t>
    </r>
    <r>
      <rPr>
        <b/>
        <vertAlign val="superscript"/>
        <sz val="11"/>
        <color theme="1"/>
        <rFont val="Calibri"/>
        <family val="2"/>
        <scheme val="minor"/>
      </rPr>
      <t>c,e</t>
    </r>
  </si>
  <si>
    <r>
      <t>Amount of resources used to mobilize the support</t>
    </r>
    <r>
      <rPr>
        <b/>
        <vertAlign val="superscript"/>
        <sz val="11"/>
        <color theme="1"/>
        <rFont val="Calibri"/>
        <family val="2"/>
        <scheme val="minor"/>
      </rPr>
      <t>c</t>
    </r>
  </si>
  <si>
    <r>
      <t>Type of public intervention</t>
    </r>
    <r>
      <rPr>
        <b/>
        <vertAlign val="superscript"/>
        <sz val="11"/>
        <color theme="1"/>
        <rFont val="Calibri"/>
        <family val="2"/>
        <scheme val="minor"/>
      </rPr>
      <t>c,f</t>
    </r>
  </si>
  <si>
    <t>Type of support</t>
  </si>
  <si>
    <r>
      <t>Subsector</t>
    </r>
    <r>
      <rPr>
        <b/>
        <vertAlign val="superscript"/>
        <sz val="11"/>
        <color theme="1"/>
        <rFont val="Calibri"/>
        <family val="2"/>
        <scheme val="minor"/>
      </rPr>
      <t>c</t>
    </r>
  </si>
  <si>
    <r>
      <t>Additional information</t>
    </r>
    <r>
      <rPr>
        <b/>
        <vertAlign val="superscript"/>
        <sz val="11"/>
        <color theme="1"/>
        <rFont val="Calibri"/>
        <family val="2"/>
        <scheme val="minor"/>
      </rPr>
      <t>c, i</t>
    </r>
  </si>
  <si>
    <r>
      <t>Country 
Region</t>
    </r>
    <r>
      <rPr>
        <vertAlign val="superscript"/>
        <sz val="11"/>
        <color theme="1"/>
        <rFont val="Calibri"/>
        <family val="2"/>
        <scheme val="minor"/>
      </rPr>
      <t>g</t>
    </r>
    <r>
      <rPr>
        <sz val="11"/>
        <color theme="1"/>
        <rFont val="Calibri"/>
        <family val="2"/>
        <scheme val="minor"/>
      </rPr>
      <t xml:space="preserve"> 
Global</t>
    </r>
  </si>
  <si>
    <t>Bilateral Regional Multilateral</t>
  </si>
  <si>
    <r>
      <t>Grant 
Concessional loan
Non-concessional loan Equity
Guarantee 
Insurance
Policy intervention Capacity-building
Technology development and transfer
Technical assistance
 Other (specify)</t>
    </r>
    <r>
      <rPr>
        <vertAlign val="superscript"/>
        <sz val="11"/>
        <color theme="1"/>
        <rFont val="Calibri"/>
        <family val="2"/>
        <scheme val="minor"/>
      </rPr>
      <t>d</t>
    </r>
  </si>
  <si>
    <r>
      <t>Adaptation
Mitigation
Cross-cutting</t>
    </r>
    <r>
      <rPr>
        <vertAlign val="superscript"/>
        <sz val="11"/>
        <color theme="1"/>
        <rFont val="Calibri"/>
        <family val="2"/>
        <scheme val="minor"/>
      </rPr>
      <t>h</t>
    </r>
  </si>
  <si>
    <r>
      <t>Energy 
Transport 
Industry 
Agriculture 
Forestry
Water and sanitation
Cross- cutting Other
(specify)</t>
    </r>
    <r>
      <rPr>
        <vertAlign val="superscript"/>
        <sz val="11"/>
        <color theme="1"/>
        <rFont val="Calibri"/>
        <family val="2"/>
        <scheme val="minor"/>
      </rPr>
      <t>d</t>
    </r>
  </si>
  <si>
    <t>Negara-Negara Anggota Caribbean Community (CARICOM) dan Central American Integration System (SICA)</t>
  </si>
  <si>
    <t>Capacity Building Training on Disaster Risk Impact Reduction and Climate Change Adaptation</t>
  </si>
  <si>
    <t xml:space="preserve">Bilateral  </t>
  </si>
  <si>
    <t xml:space="preserve">Adaptation </t>
  </si>
  <si>
    <t>FY 2023</t>
  </si>
  <si>
    <t xml:space="preserve"> Melanesian Spearhead Group (MSG) Member Countries</t>
  </si>
  <si>
    <t>Advanced Training in Coastal Fisheries for Melanesian Spearhead Group (MSG) Member Countries</t>
  </si>
  <si>
    <t>Fiji</t>
  </si>
  <si>
    <t>Preliminary study for the Construction of Demonstration Farming and Regional Training Centre at Dobuilevu Research Station, Rakiraki, Fiji</t>
  </si>
  <si>
    <t>Papua Nugini</t>
  </si>
  <si>
    <t>Implementation of West Sepik Integrated Development Project Phase I</t>
  </si>
  <si>
    <t>Gambia</t>
  </si>
  <si>
    <t>Revitalization of Agricultural Rural Farmers Training Center (ARFTC) in Jenoi City</t>
  </si>
  <si>
    <t>The Global Fund</t>
  </si>
  <si>
    <t>Support for AIDS, Tuberculosis, and Malaria Response</t>
  </si>
  <si>
    <t>Health</t>
  </si>
  <si>
    <t>Multi Beneficiary Countries (Kenya, Somalia, Zambia, Tanzania, Burundi, Senegal, Gambia, Guinea)</t>
  </si>
  <si>
    <t>Training in Rice Agribusiness for Countries in the African Region</t>
  </si>
  <si>
    <t>Kepulauan Solomon</t>
  </si>
  <si>
    <t>Broiler Farming Training</t>
  </si>
  <si>
    <t>Namibia</t>
  </si>
  <si>
    <t>Pelatihan Training of Trainer (ToT) IMO Model Course 6.09 for Instructors untuk Namibian Maritime and Fisheries Institute (NAMFI)</t>
  </si>
  <si>
    <t>Ethiopia</t>
  </si>
  <si>
    <t>Assistance in Handling Humanitarian Crises Due to Drought Disaster</t>
  </si>
  <si>
    <t>Kenya</t>
  </si>
  <si>
    <t>Assistance in Handling Humanitarian Crisis Due to Drought Disaster</t>
  </si>
  <si>
    <t>Kenya, Tanzania, Madagaskar, Nigeria, Sudan, Zimbabwe, Mesir, Mozambik, Ethiopia, Senegal</t>
  </si>
  <si>
    <t>Development of Artificial Insemination for Countries in the African Region</t>
  </si>
  <si>
    <t>FY 2024</t>
  </si>
  <si>
    <t>Construction of Demonstration Farm and Regional Training Centre at Dobuilevu Research Station, Rakiraki, Fiji, Phase I</t>
  </si>
  <si>
    <t>Tanzania</t>
  </si>
  <si>
    <t>Revitalisasi Farmer’s Agriculture and Rural Training Center (FARTC) di Tanzania</t>
  </si>
  <si>
    <t>Namibia, Madagaskar, Tanzania, Kenya, Angola, Uganda, Burundi, Ethiopia, Libya, Mozambik, Malawi, Rwanda, Nigeria, Ghana</t>
  </si>
  <si>
    <t>Training in Fisheries for African Regional Countries</t>
  </si>
  <si>
    <t>Namibia, Mozambik, Sudan, Senegal, Tanzania</t>
  </si>
  <si>
    <t>Competence Improvement Training in Solar Energy for African Countries (Triangular Cooperation Indonesia - Turkey)</t>
  </si>
  <si>
    <t>Mitigation</t>
  </si>
  <si>
    <t xml:space="preserve">Energy  </t>
  </si>
  <si>
    <t>Bahamas, Barbados, Belize, Kuba, Grenada, Guyana, Haiti, Jamaika, Republik Dominika, Saint Kitts dan Nevis, Saint Lucia, Saint Vincent dan Grenadines, Suriname, Trinidad dan Tobago, perwakilan Sekretariat The Caribbean Agricultural Research and Development Institute (CARDI)</t>
  </si>
  <si>
    <t>Capacity Building Training on Diversified Processing of Coconut Products for Countries in the Caribbean Region</t>
  </si>
  <si>
    <t>Argentina, Brasil, Bolivia, Republik Dominika, Ekuador, Ghana, Guatemala, Honduras, Kolombia, Malaysia, Meksiko, Nigeria, Pantai Gading, Paraguay, Peru, Thailand</t>
  </si>
  <si>
    <t xml:space="preserve">Capacity Building Training for Sustainable Commodity Management based on Smallholder Agriculture for Like-Minded countries (LMCs) </t>
  </si>
  <si>
    <t>Kamboja, Myanmar, Vietnam, Laos, Papua Nugini, Fiji, Bangladesh, Kazakhstan, Uzbekistan, Azerbaijan, Sri Lanka, Pakistan, Iran, Nigeria, Tanzania, Kenya, Namibia, Zimbabwe, Ethiopia, Kolombia, Suriname, Saint Lucia, Timor Leste</t>
  </si>
  <si>
    <t>The Indonesian AID Scholarship (TIAS)</t>
  </si>
  <si>
    <t>crosscutting</t>
  </si>
  <si>
    <t>Deployment of Indonesian Experts to Solomon Islands in the Broiler Farming Sector in Solomon Islands</t>
  </si>
  <si>
    <t>Vanuatu</t>
  </si>
  <si>
    <t>Capacity Building for Vanuatu Health Workers in the Field of Nursing</t>
  </si>
  <si>
    <t>Dispatch of Indonesian Experts to Solomon Islands for Field Study Activities on Capacity Building for Tilapia and Seaweed Farming in Solomon Islands</t>
  </si>
  <si>
    <t>Fiji, Vanuatu</t>
  </si>
  <si>
    <t>Fisheries Expert Team Visit to Melanesian Spearhead Group (MSG) Member Countries in the Context of Capacity Building in Coastal Fisheries Sector</t>
  </si>
  <si>
    <t>The Secretariat of the Pacific Regional Environment Programme (SPREP)</t>
  </si>
  <si>
    <t>Disaster waste and rubbish management support in Vanuatu</t>
  </si>
  <si>
    <t>waste</t>
  </si>
  <si>
    <t>Mekong River Commission (MRC)</t>
  </si>
  <si>
    <t>Knowledge Sharing Teknologi Irigasi untuk Negara-Negara Anggota Mekong River Commission (MRC)</t>
  </si>
  <si>
    <r>
      <t xml:space="preserve">Notation keys: NA = not applicable; UA = information not available at the time of reporting; NR = not reported (to indicate the voluntary character of the information).
Note: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
</t>
    </r>
    <r>
      <rPr>
        <vertAlign val="superscript"/>
        <sz val="11"/>
        <color theme="1"/>
        <rFont val="Calibri"/>
        <family val="2"/>
        <scheme val="minor"/>
      </rPr>
      <t>a</t>
    </r>
    <r>
      <rPr>
        <sz val="11"/>
        <color theme="1"/>
        <rFont val="Calibri"/>
        <family val="2"/>
        <scheme val="minor"/>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
</t>
    </r>
    <r>
      <rPr>
        <vertAlign val="superscript"/>
        <sz val="11"/>
        <color theme="1"/>
        <rFont val="Calibri"/>
        <family val="2"/>
        <scheme val="minor"/>
      </rPr>
      <t>b</t>
    </r>
    <r>
      <rPr>
        <sz val="11"/>
        <color theme="1"/>
        <rFont val="Calibri"/>
        <family val="2"/>
        <scheme val="minor"/>
      </rPr>
      <t xml:space="preserve">   Parties fill in a separate table for each year, namely 20XX-3 and 20XX-2, where 20XX is the reporting year.
</t>
    </r>
    <r>
      <rPr>
        <vertAlign val="superscript"/>
        <sz val="11"/>
        <color theme="1"/>
        <rFont val="Calibri"/>
        <family val="2"/>
        <scheme val="minor"/>
      </rPr>
      <t>c</t>
    </r>
    <r>
      <rPr>
        <sz val="11"/>
        <color theme="1"/>
        <rFont val="Calibri"/>
        <family val="2"/>
        <scheme val="minor"/>
      </rPr>
      <t xml:space="preserve">   Parties provide the underlying assumptions, definitions and methodologies, as applicable, used to identify and/or report this reporting parameter in the respective section of the BTR.
</t>
    </r>
    <r>
      <rPr>
        <vertAlign val="superscript"/>
        <sz val="11"/>
        <color theme="1"/>
        <rFont val="Calibri"/>
        <family val="2"/>
        <scheme val="minor"/>
      </rPr>
      <t>d</t>
    </r>
    <r>
      <rPr>
        <sz val="11"/>
        <color theme="1"/>
        <rFont val="Calibri"/>
        <family val="2"/>
        <scheme val="minor"/>
      </rPr>
      <t xml:space="preserve">   If “other”, Parties should specify this information.
</t>
    </r>
    <r>
      <rPr>
        <vertAlign val="superscript"/>
        <sz val="11"/>
        <color theme="1"/>
        <rFont val="Calibri"/>
        <family val="2"/>
        <scheme val="minor"/>
      </rPr>
      <t>e</t>
    </r>
    <r>
      <rPr>
        <sz val="11"/>
        <color theme="1"/>
        <rFont val="Calibri"/>
        <family val="2"/>
        <scheme val="minor"/>
      </rPr>
      <t xml:space="preserve">  The face value and, on a voluntary basis, the grant-equivalent value, if applicable.
</t>
    </r>
    <r>
      <rPr>
        <vertAlign val="superscript"/>
        <sz val="11"/>
        <color theme="1"/>
        <rFont val="Calibri"/>
        <family val="2"/>
        <scheme val="minor"/>
      </rPr>
      <t>f</t>
    </r>
    <r>
      <rPr>
        <sz val="11"/>
        <color theme="1"/>
        <rFont val="Calibri"/>
        <family val="2"/>
        <scheme val="minor"/>
      </rPr>
      <t xml:space="preserve">    Parties report, to the extent possible, the different amounts per financial instrument, if applicable and as available.
</t>
    </r>
    <r>
      <rPr>
        <vertAlign val="superscript"/>
        <sz val="11"/>
        <color theme="1"/>
        <rFont val="Calibri"/>
        <family val="2"/>
        <scheme val="minor"/>
      </rPr>
      <t>g</t>
    </r>
    <r>
      <rPr>
        <sz val="11"/>
        <color theme="1"/>
        <rFont val="Calibri"/>
        <family val="2"/>
        <scheme val="minor"/>
      </rPr>
      <t xml:space="preserve">    Region should be reported when data at country level are not available.
</t>
    </r>
    <r>
      <rPr>
        <vertAlign val="superscript"/>
        <sz val="11"/>
        <color theme="1"/>
        <rFont val="Calibri"/>
        <family val="2"/>
        <scheme val="minor"/>
      </rPr>
      <t>h</t>
    </r>
    <r>
      <rPr>
        <sz val="11"/>
        <color theme="1"/>
        <rFont val="Calibri"/>
        <family val="2"/>
        <scheme val="minor"/>
      </rPr>
      <t xml:space="preserve">    This refers to funding for activities that have both mitigation and adaptation components. Parties report, to the extent possible, the different amounts of components, if applicable and as available.
</t>
    </r>
    <r>
      <rPr>
        <vertAlign val="superscript"/>
        <sz val="11"/>
        <color theme="1"/>
        <rFont val="Calibri"/>
        <family val="2"/>
        <scheme val="minor"/>
      </rPr>
      <t xml:space="preserve">i    </t>
    </r>
    <r>
      <rPr>
        <sz val="11"/>
        <color theme="1"/>
        <rFont val="Calibri"/>
        <family val="2"/>
        <scheme val="minor"/>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</si>
  <si>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Table III.4 Information on </t>
    </r>
    <r>
      <rPr>
        <b/>
        <sz val="14"/>
        <color rgb="FF0070C0"/>
        <rFont val="Calibri"/>
        <family val="2"/>
        <scheme val="minor"/>
      </rPr>
      <t>support for technology development and transfer provided</t>
    </r>
    <r>
      <rPr>
        <b/>
        <sz val="14"/>
        <color theme="1"/>
        <rFont val="Calibri"/>
        <family val="2"/>
        <scheme val="minor"/>
      </rPr>
      <t xml:space="preserve"> under Article 10 of the Paris Agreement</t>
    </r>
    <r>
      <rPr>
        <b/>
        <vertAlign val="superscript"/>
        <sz val="14"/>
        <color theme="1"/>
        <rFont val="Calibri"/>
        <family val="2"/>
        <scheme val="minor"/>
      </rPr>
      <t>a</t>
    </r>
  </si>
  <si>
    <r>
      <t>Title</t>
    </r>
    <r>
      <rPr>
        <b/>
        <vertAlign val="superscript"/>
        <sz val="11"/>
        <rFont val="Calibri"/>
        <family val="2"/>
        <scheme val="minor"/>
      </rPr>
      <t>b</t>
    </r>
  </si>
  <si>
    <r>
      <t>Recipient entity</t>
    </r>
    <r>
      <rPr>
        <b/>
        <vertAlign val="superscript"/>
        <sz val="11"/>
        <rFont val="Calibri"/>
        <family val="2"/>
        <scheme val="minor"/>
      </rPr>
      <t>b</t>
    </r>
  </si>
  <si>
    <r>
      <rPr>
        <b/>
        <sz val="11"/>
        <rFont val="Calibri"/>
        <family val="2"/>
        <scheme val="minor"/>
      </rPr>
      <t>Description and objectives</t>
    </r>
    <r>
      <rPr>
        <b/>
        <vertAlign val="superscript"/>
        <sz val="11"/>
        <rFont val="Calibri"/>
        <family val="2"/>
        <scheme val="minor"/>
      </rPr>
      <t>b</t>
    </r>
  </si>
  <si>
    <r>
      <t>Type of support</t>
    </r>
    <r>
      <rPr>
        <b/>
        <vertAlign val="superscript"/>
        <sz val="11"/>
        <color theme="1"/>
        <rFont val="Calibri"/>
        <family val="2"/>
        <scheme val="minor"/>
      </rPr>
      <t>b</t>
    </r>
  </si>
  <si>
    <r>
      <t>Sector</t>
    </r>
    <r>
      <rPr>
        <b/>
        <vertAlign val="superscript"/>
        <sz val="11"/>
        <color theme="1"/>
        <rFont val="Calibri"/>
        <family val="2"/>
        <scheme val="minor"/>
      </rPr>
      <t>b</t>
    </r>
  </si>
  <si>
    <r>
      <t>Subsector</t>
    </r>
    <r>
      <rPr>
        <b/>
        <vertAlign val="superscript"/>
        <sz val="11"/>
        <color theme="1"/>
        <rFont val="Calibri"/>
        <family val="2"/>
        <scheme val="minor"/>
      </rPr>
      <t>b</t>
    </r>
  </si>
  <si>
    <r>
      <t>Type of technology</t>
    </r>
    <r>
      <rPr>
        <b/>
        <vertAlign val="superscript"/>
        <sz val="11"/>
        <color theme="1"/>
        <rFont val="Calibri"/>
        <family val="2"/>
        <scheme val="minor"/>
      </rPr>
      <t>b</t>
    </r>
  </si>
  <si>
    <r>
      <t>Status of measure or activity</t>
    </r>
    <r>
      <rPr>
        <b/>
        <vertAlign val="superscript"/>
        <sz val="11"/>
        <color theme="1"/>
        <rFont val="Calibri"/>
        <family val="2"/>
        <scheme val="minor"/>
      </rPr>
      <t>b</t>
    </r>
  </si>
  <si>
    <r>
      <t>Activity undertaken by</t>
    </r>
    <r>
      <rPr>
        <b/>
        <vertAlign val="superscript"/>
        <sz val="11"/>
        <color theme="1"/>
        <rFont val="Calibri"/>
        <family val="2"/>
        <scheme val="minor"/>
      </rPr>
      <t>b</t>
    </r>
  </si>
  <si>
    <r>
      <t>Additional information</t>
    </r>
    <r>
      <rPr>
        <b/>
        <vertAlign val="superscript"/>
        <sz val="11"/>
        <color theme="1"/>
        <rFont val="Calibri"/>
        <family val="2"/>
        <scheme val="minor"/>
      </rPr>
      <t>e</t>
    </r>
  </si>
  <si>
    <r>
      <t>Adaptation
Mitigation
Cross-cutting</t>
    </r>
    <r>
      <rPr>
        <vertAlign val="superscript"/>
        <sz val="11"/>
        <color theme="1"/>
        <rFont val="Calibri"/>
        <family val="2"/>
        <scheme val="minor"/>
      </rPr>
      <t>d</t>
    </r>
  </si>
  <si>
    <r>
      <t>Energy 
Transport 
Industry 
Agriculture 
Forestry
Water and sanitation
Cross- cutting 
Other
(specify)</t>
    </r>
    <r>
      <rPr>
        <vertAlign val="superscript"/>
        <sz val="11"/>
        <color theme="1"/>
        <rFont val="Calibri"/>
        <family val="2"/>
        <scheme val="minor"/>
      </rPr>
      <t>c</t>
    </r>
  </si>
  <si>
    <t>Planned
Ongoing
Completed</t>
  </si>
  <si>
    <t>Public sector
Private sector
Public and private sector</t>
  </si>
  <si>
    <r>
      <t xml:space="preserve">There are no information in period 2021-2022. </t>
    </r>
    <r>
      <rPr>
        <b/>
        <sz val="10"/>
        <color theme="1"/>
        <rFont val="Calibri"/>
        <family val="2"/>
        <scheme val="minor"/>
      </rPr>
      <t xml:space="preserve">Source of information: </t>
    </r>
    <r>
      <rPr>
        <sz val="10"/>
        <color theme="1"/>
        <rFont val="Calibri"/>
        <family val="2"/>
        <scheme val="minor"/>
      </rPr>
      <t>International Development Cooperation Fund Institute, Ministry of Finance, and Directorate of International Development Cooperation, Ministry of Foreign Affairs</t>
    </r>
  </si>
  <si>
    <r>
      <t xml:space="preserve">Notation keys: NA = not applicable; UA = information not available at the time of reporting; NR = not reported (to indicate the voluntary character of the information).
</t>
    </r>
    <r>
      <rPr>
        <vertAlign val="superscript"/>
        <sz val="11"/>
        <color theme="1"/>
        <rFont val="Calibri"/>
        <family val="2"/>
        <scheme val="minor"/>
      </rPr>
      <t>a</t>
    </r>
    <r>
      <rPr>
        <sz val="11"/>
        <color theme="1"/>
        <rFont val="Calibri"/>
        <family val="2"/>
        <scheme val="minor"/>
      </rPr>
      <t xml:space="preserve"> Quantitative and/or qualitative information in common tabular format on measures or activities related to support for technology development and transfer implemented or planned since their previous BTR, to the extent possible and as relevant.
</t>
    </r>
    <r>
      <rPr>
        <vertAlign val="superscript"/>
        <sz val="11"/>
        <color theme="1"/>
        <rFont val="Calibri"/>
        <family val="2"/>
        <scheme val="minor"/>
      </rPr>
      <t>b</t>
    </r>
    <r>
      <rPr>
        <sz val="11"/>
        <color theme="1"/>
        <rFont val="Calibri"/>
        <family val="2"/>
        <scheme val="minor"/>
      </rPr>
      <t xml:space="preserve"> Parties provide the underlying assumptions, definitions and methodologies, as applicable, used to identify and/or report this reporting parameter in the respective section of the BTR.
</t>
    </r>
    <r>
      <rPr>
        <vertAlign val="superscript"/>
        <sz val="11"/>
        <color theme="1"/>
        <rFont val="Calibri"/>
        <family val="2"/>
        <scheme val="minor"/>
      </rPr>
      <t>c</t>
    </r>
    <r>
      <rPr>
        <sz val="11"/>
        <color theme="1"/>
        <rFont val="Calibri"/>
        <family val="2"/>
        <scheme val="minor"/>
      </rPr>
      <t xml:space="preserve"> If “other”, Parties should specify this information.
</t>
    </r>
    <r>
      <rPr>
        <vertAlign val="superscript"/>
        <sz val="11"/>
        <color theme="1"/>
        <rFont val="Calibri"/>
        <family val="2"/>
        <scheme val="minor"/>
      </rPr>
      <t>d</t>
    </r>
    <r>
      <rPr>
        <sz val="11"/>
        <color theme="1"/>
        <rFont val="Calibri"/>
        <family val="2"/>
        <scheme val="minor"/>
      </rPr>
      <t xml:space="preserve"> This refers to activities that have both mitigation and adaptation components.
</t>
    </r>
    <r>
      <rPr>
        <vertAlign val="superscript"/>
        <sz val="11"/>
        <color theme="1"/>
        <rFont val="Calibri"/>
        <family val="2"/>
        <scheme val="minor"/>
      </rPr>
      <t>e</t>
    </r>
    <r>
      <rPr>
        <sz val="11"/>
        <color theme="1"/>
        <rFont val="Calibri"/>
        <family val="2"/>
        <scheme val="minor"/>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</si>
  <si>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Table III.5 Information on </t>
    </r>
    <r>
      <rPr>
        <b/>
        <sz val="14"/>
        <color rgb="FF0070C0"/>
        <rFont val="Calibri"/>
        <family val="2"/>
        <scheme val="minor"/>
      </rPr>
      <t>capacity-building support provided</t>
    </r>
    <r>
      <rPr>
        <b/>
        <sz val="14"/>
        <color theme="1"/>
        <rFont val="Calibri"/>
        <family val="2"/>
        <scheme val="minor"/>
      </rPr>
      <t xml:space="preserve"> under Article 11 of the Paris Agreement</t>
    </r>
    <r>
      <rPr>
        <b/>
        <vertAlign val="superscript"/>
        <sz val="14"/>
        <color theme="1"/>
        <rFont val="Calibri"/>
        <family val="2"/>
        <scheme val="minor"/>
      </rPr>
      <t>a</t>
    </r>
  </si>
  <si>
    <r>
      <t>Title</t>
    </r>
    <r>
      <rPr>
        <b/>
        <vertAlign val="superscript"/>
        <sz val="11"/>
        <color theme="1"/>
        <rFont val="Calibri"/>
        <family val="2"/>
        <scheme val="minor"/>
      </rPr>
      <t>b</t>
    </r>
  </si>
  <si>
    <r>
      <t>Recipient entity</t>
    </r>
    <r>
      <rPr>
        <b/>
        <vertAlign val="superscript"/>
        <sz val="11"/>
        <color theme="1"/>
        <rFont val="Calibri"/>
        <family val="2"/>
        <scheme val="minor"/>
      </rPr>
      <t>b</t>
    </r>
  </si>
  <si>
    <r>
      <t>Description and objectives</t>
    </r>
    <r>
      <rPr>
        <b/>
        <vertAlign val="superscript"/>
        <sz val="11"/>
        <color theme="1"/>
        <rFont val="Calibri"/>
        <family val="2"/>
        <scheme val="minor"/>
      </rPr>
      <t>b</t>
    </r>
  </si>
  <si>
    <r>
      <t>Additional information</t>
    </r>
    <r>
      <rPr>
        <b/>
        <vertAlign val="superscript"/>
        <sz val="11"/>
        <color theme="1"/>
        <rFont val="Calibri"/>
        <family val="2"/>
        <scheme val="minor"/>
      </rPr>
      <t>d</t>
    </r>
  </si>
  <si>
    <r>
      <rPr>
        <b/>
        <sz val="11"/>
        <rFont val="Calibri"/>
        <family val="2"/>
        <scheme val="minor"/>
      </rPr>
      <t>Adaptation Mitigation 
Cross-cutting</t>
    </r>
    <r>
      <rPr>
        <b/>
        <i/>
        <vertAlign val="superscript"/>
        <sz val="11"/>
        <rFont val="Calibri"/>
        <family val="2"/>
        <scheme val="minor"/>
      </rPr>
      <t>c</t>
    </r>
  </si>
  <si>
    <t>Planned 
Ongoing 
Completed</t>
  </si>
  <si>
    <t>Training on fisheries capacity for member countries of the Melanesian Spearhead Group (MSG)</t>
  </si>
  <si>
    <t>Member Countries of the Melanesian Spearhead Group (MSG), included Fiji, Papua New Guinea, Solomon Islands, and Vanuatu.</t>
  </si>
  <si>
    <t>Executive agency: Directorat General of Asia Pacific and Africa, Ministry of Foreign Affairs</t>
  </si>
  <si>
    <t>Adaptation</t>
  </si>
  <si>
    <t>Completed</t>
  </si>
  <si>
    <r>
      <t xml:space="preserve">Notation keys: NA = not applicable; UA = information not available at the time of reporting; NR = not reported (to indicate the voluntary character of the information).
</t>
    </r>
    <r>
      <rPr>
        <vertAlign val="superscript"/>
        <sz val="11"/>
        <rFont val="Calibri"/>
        <family val="2"/>
        <scheme val="minor"/>
      </rPr>
      <t xml:space="preserve">a   </t>
    </r>
    <r>
      <rPr>
        <sz val="11"/>
        <rFont val="Calibri"/>
        <family val="2"/>
        <scheme val="minor"/>
      </rPr>
      <t xml:space="preserve">Quantitative and/or qualitative information in common tabular format on measures or activities related to capacity-building support implemented or planned since their previous report, to the extent possible and as relevant.
</t>
    </r>
    <r>
      <rPr>
        <vertAlign val="superscript"/>
        <sz val="11"/>
        <rFont val="Calibri"/>
        <family val="2"/>
        <scheme val="minor"/>
      </rPr>
      <t xml:space="preserve">b   </t>
    </r>
    <r>
      <rPr>
        <sz val="11"/>
        <rFont val="Calibri"/>
        <family val="2"/>
        <scheme val="minor"/>
      </rPr>
      <t xml:space="preserve">Parties provide the underlying assumptions, definitions and methodologies, as applicable, used to identify and/or report this reporting parameter in the respective section of the BTR.
</t>
    </r>
    <r>
      <rPr>
        <vertAlign val="superscript"/>
        <sz val="11"/>
        <rFont val="Calibri"/>
        <family val="2"/>
        <scheme val="minor"/>
      </rPr>
      <t xml:space="preserve">c   </t>
    </r>
    <r>
      <rPr>
        <sz val="11"/>
        <rFont val="Calibri"/>
        <family val="2"/>
        <scheme val="minor"/>
      </rPr>
      <t xml:space="preserve">This refers to activities that have both mitigation and adaptation components.
</t>
    </r>
    <r>
      <rPr>
        <vertAlign val="superscript"/>
        <sz val="11"/>
        <rFont val="Calibri"/>
        <family val="2"/>
        <scheme val="minor"/>
      </rPr>
      <t xml:space="preserve">d   </t>
    </r>
    <r>
      <rPr>
        <sz val="11"/>
        <rFont val="Calibri"/>
        <family val="2"/>
        <scheme val="minor"/>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</si>
  <si>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Table III.6 Information on </t>
    </r>
    <r>
      <rPr>
        <b/>
        <sz val="14"/>
        <color rgb="FF0070C0"/>
        <rFont val="Calibri"/>
        <family val="2"/>
        <scheme val="minor"/>
      </rPr>
      <t>financial support needed</t>
    </r>
    <r>
      <rPr>
        <b/>
        <sz val="14"/>
        <color theme="1"/>
        <rFont val="Calibri"/>
        <family val="2"/>
        <scheme val="minor"/>
      </rPr>
      <t xml:space="preserve"> by developing country Parties under Article 9 of the Paris Agreement</t>
    </r>
    <r>
      <rPr>
        <b/>
        <vertAlign val="superscript"/>
        <sz val="14"/>
        <color theme="1"/>
        <rFont val="Calibri"/>
        <family val="2"/>
        <scheme val="minor"/>
      </rPr>
      <t>a, b</t>
    </r>
  </si>
  <si>
    <r>
      <t>Sector</t>
    </r>
    <r>
      <rPr>
        <b/>
        <vertAlign val="superscript"/>
        <sz val="11"/>
        <rFont val="Calibri"/>
        <family val="2"/>
        <scheme val="minor"/>
      </rPr>
      <t>c</t>
    </r>
  </si>
  <si>
    <r>
      <t>Subsector</t>
    </r>
    <r>
      <rPr>
        <b/>
        <vertAlign val="superscript"/>
        <sz val="11"/>
        <rFont val="Calibri"/>
        <family val="2"/>
        <scheme val="minor"/>
      </rPr>
      <t>c</t>
    </r>
  </si>
  <si>
    <r>
      <rPr>
        <b/>
        <sz val="11"/>
        <rFont val="Calibri"/>
        <family val="2"/>
        <scheme val="minor"/>
      </rPr>
      <t>Title of activity, programme, project or other</t>
    </r>
    <r>
      <rPr>
        <b/>
        <vertAlign val="superscript"/>
        <sz val="11"/>
        <rFont val="Calibri"/>
        <family val="2"/>
        <scheme val="minor"/>
      </rPr>
      <t>c,</t>
    </r>
    <r>
      <rPr>
        <b/>
        <sz val="11"/>
        <rFont val="Calibri"/>
        <family val="2"/>
        <scheme val="minor"/>
      </rPr>
      <t xml:space="preserve"> </t>
    </r>
    <r>
      <rPr>
        <b/>
        <vertAlign val="superscript"/>
        <sz val="11"/>
        <rFont val="Calibri"/>
        <family val="2"/>
        <scheme val="minor"/>
      </rPr>
      <t>d</t>
    </r>
  </si>
  <si>
    <r>
      <rPr>
        <b/>
        <sz val="11"/>
        <rFont val="Calibri"/>
        <family val="2"/>
        <scheme val="minor"/>
      </rPr>
      <t>Programme/ project description</t>
    </r>
    <r>
      <rPr>
        <b/>
        <vertAlign val="superscript"/>
        <sz val="11"/>
        <rFont val="Calibri"/>
        <family val="2"/>
        <scheme val="minor"/>
      </rPr>
      <t>c</t>
    </r>
  </si>
  <si>
    <r>
      <rPr>
        <b/>
        <sz val="11"/>
        <rFont val="Calibri"/>
        <family val="2"/>
        <scheme val="minor"/>
      </rPr>
      <t>Estimated amount (climate-specific)</t>
    </r>
    <r>
      <rPr>
        <b/>
        <vertAlign val="superscript"/>
        <sz val="11"/>
        <rFont val="Calibri"/>
        <family val="2"/>
        <scheme val="minor"/>
      </rPr>
      <t>c</t>
    </r>
  </si>
  <si>
    <r>
      <rPr>
        <b/>
        <sz val="11"/>
        <rFont val="Calibri"/>
        <family val="2"/>
        <scheme val="minor"/>
      </rPr>
      <t>Expected time frame</t>
    </r>
    <r>
      <rPr>
        <b/>
        <vertAlign val="superscript"/>
        <sz val="11"/>
        <rFont val="Calibri"/>
        <family val="2"/>
        <scheme val="minor"/>
      </rPr>
      <t>c</t>
    </r>
  </si>
  <si>
    <r>
      <rPr>
        <b/>
        <sz val="11"/>
        <rFont val="Calibri"/>
        <family val="2"/>
        <scheme val="minor"/>
      </rPr>
      <t>Expected financial instrument</t>
    </r>
    <r>
      <rPr>
        <b/>
        <vertAlign val="superscript"/>
        <sz val="11"/>
        <rFont val="Calibri"/>
        <family val="2"/>
        <scheme val="minor"/>
      </rPr>
      <t>c</t>
    </r>
  </si>
  <si>
    <r>
      <rPr>
        <b/>
        <sz val="11"/>
        <rFont val="Calibri"/>
        <family val="2"/>
        <scheme val="minor"/>
      </rPr>
      <t>Type of support</t>
    </r>
    <r>
      <rPr>
        <b/>
        <vertAlign val="superscript"/>
        <sz val="11"/>
        <rFont val="Calibri"/>
        <family val="2"/>
        <scheme val="minor"/>
      </rPr>
      <t>c</t>
    </r>
  </si>
  <si>
    <r>
      <rPr>
        <b/>
        <sz val="11"/>
        <rFont val="Calibri"/>
        <family val="2"/>
        <scheme val="minor"/>
      </rPr>
      <t>Contribution to technology development and transfer objectives</t>
    </r>
    <r>
      <rPr>
        <b/>
        <vertAlign val="superscript"/>
        <sz val="11"/>
        <rFont val="Calibri"/>
        <family val="2"/>
        <scheme val="minor"/>
      </rPr>
      <t>c</t>
    </r>
  </si>
  <si>
    <r>
      <rPr>
        <b/>
        <sz val="11"/>
        <rFont val="Calibri"/>
        <family val="2"/>
        <scheme val="minor"/>
      </rPr>
      <t>Contribution to capacity- building objectives</t>
    </r>
    <r>
      <rPr>
        <b/>
        <vertAlign val="superscript"/>
        <sz val="11"/>
        <rFont val="Calibri"/>
        <family val="2"/>
        <scheme val="minor"/>
      </rPr>
      <t>c</t>
    </r>
  </si>
  <si>
    <r>
      <rPr>
        <b/>
        <sz val="11"/>
        <rFont val="Calibri"/>
        <family val="2"/>
        <scheme val="minor"/>
      </rPr>
      <t>Whether the activity is anchored in a national strategy and/or an NDC</t>
    </r>
    <r>
      <rPr>
        <b/>
        <vertAlign val="superscript"/>
        <sz val="11"/>
        <rFont val="Calibri"/>
        <family val="2"/>
        <scheme val="minor"/>
      </rPr>
      <t>c</t>
    </r>
  </si>
  <si>
    <r>
      <rPr>
        <b/>
        <sz val="11"/>
        <rFont val="Calibri"/>
        <family val="2"/>
        <scheme val="minor"/>
      </rPr>
      <t>Expected use, impact and estimated results</t>
    </r>
    <r>
      <rPr>
        <b/>
        <vertAlign val="superscript"/>
        <sz val="11"/>
        <rFont val="Calibri"/>
        <family val="2"/>
        <scheme val="minor"/>
      </rPr>
      <t>c</t>
    </r>
  </si>
  <si>
    <r>
      <rPr>
        <b/>
        <sz val="11"/>
        <rFont val="Calibri"/>
        <family val="2"/>
        <scheme val="minor"/>
      </rPr>
      <t>Additional information</t>
    </r>
    <r>
      <rPr>
        <b/>
        <vertAlign val="superscript"/>
        <sz val="11"/>
        <rFont val="Calibri"/>
        <family val="2"/>
        <scheme val="minor"/>
      </rPr>
      <t>f</t>
    </r>
  </si>
  <si>
    <r>
      <rPr>
        <b/>
        <sz val="11"/>
        <rFont val="Calibri"/>
        <family val="2"/>
        <scheme val="minor"/>
      </rPr>
      <t>Domestic currency</t>
    </r>
  </si>
  <si>
    <t>USD in million</t>
  </si>
  <si>
    <r>
      <t>Energy 
Transport 
Industry 
Agriculture 
Forestry
Water and sanitation
Cross-cutting 
Other
(specify)</t>
    </r>
    <r>
      <rPr>
        <vertAlign val="superscript"/>
        <sz val="11"/>
        <color theme="1"/>
        <rFont val="Calibri"/>
        <family val="2"/>
        <scheme val="minor"/>
      </rPr>
      <t>d</t>
    </r>
  </si>
  <si>
    <r>
      <t>Grant 
Concessional loan
Non-concessional loan Equity
Guarantee 
Insurance
 Other (specify)</t>
    </r>
    <r>
      <rPr>
        <vertAlign val="superscript"/>
        <sz val="11"/>
        <color theme="1"/>
        <rFont val="Calibri"/>
        <family val="2"/>
        <scheme val="minor"/>
      </rPr>
      <t>d</t>
    </r>
  </si>
  <si>
    <r>
      <t>Adaptation Mitigation 
Cross-cutting</t>
    </r>
    <r>
      <rPr>
        <vertAlign val="superscript"/>
        <sz val="11"/>
        <rFont val="Calibri"/>
        <family val="2"/>
        <scheme val="minor"/>
      </rPr>
      <t>e</t>
    </r>
  </si>
  <si>
    <t xml:space="preserve">Forestry </t>
  </si>
  <si>
    <t>Reducing deforestation and degradation</t>
  </si>
  <si>
    <t>Financing needs NDC (3rd BUR report)</t>
  </si>
  <si>
    <t>up to 2030</t>
  </si>
  <si>
    <t xml:space="preserve">Others  </t>
  </si>
  <si>
    <t xml:space="preserve">Mitigation </t>
  </si>
  <si>
    <t>data BUR 3</t>
  </si>
  <si>
    <t xml:space="preserve">Sustainable Forest Management </t>
  </si>
  <si>
    <t xml:space="preserve">Land rehabilitation </t>
  </si>
  <si>
    <t>Development of industrial plantation forest</t>
  </si>
  <si>
    <t>Concessional loan</t>
  </si>
  <si>
    <t>Peatland Restoration</t>
  </si>
  <si>
    <t>Peat water management</t>
  </si>
  <si>
    <t xml:space="preserve">Energy </t>
  </si>
  <si>
    <t>Renewable Energy Generator</t>
  </si>
  <si>
    <t>Non-electric renewable energy</t>
  </si>
  <si>
    <t>Low carbon coal power plant</t>
  </si>
  <si>
    <t>City gas network and mitan to LPG conversion</t>
  </si>
  <si>
    <t xml:space="preserve">Energy conservation </t>
  </si>
  <si>
    <t>Use of Low Emission Varieties in Rice Fields (x000 hectares)</t>
  </si>
  <si>
    <t>Application of Water-Efficient Rice Field Irrigation System (x000 hectares)</t>
  </si>
  <si>
    <t>Utilization of Livestock Waste for Biogas (x000 livestock)</t>
  </si>
  <si>
    <t>Feed Supplement Improvement (x000 farm animals)</t>
  </si>
  <si>
    <t>industry</t>
  </si>
  <si>
    <t>System software and hardware improvements and incorporating new algorithms in the control system that can reduce AE frequency, duration, and over voltage</t>
  </si>
  <si>
    <t xml:space="preserve">Installation of Co-Processing (AFR) facility to reduce clinker/cement ratio to 75% (2030) </t>
  </si>
  <si>
    <t>Construction of a new factory with New/Advanced Technology</t>
  </si>
  <si>
    <t>Substitution and retrofit technology</t>
  </si>
  <si>
    <t>Technology Improvement</t>
  </si>
  <si>
    <t xml:space="preserve">Production System Repair </t>
  </si>
  <si>
    <t>Installation of Secondary N2O Abatement Catalyst and Operating Costs</t>
  </si>
  <si>
    <t>Waste</t>
  </si>
  <si>
    <t xml:space="preserve">Collection &amp; Transport </t>
  </si>
  <si>
    <t>Final Processing</t>
  </si>
  <si>
    <t>Policy formulation and commitment</t>
  </si>
  <si>
    <t>Financing needs Adaptation (Roadmap)</t>
  </si>
  <si>
    <t>Socialization, training  and assistance in the agricultural sector</t>
  </si>
  <si>
    <t>Development of one data one map knowledge management</t>
  </si>
  <si>
    <t>Policy formulation and communication</t>
  </si>
  <si>
    <t>Integration of policies, plans and programs (KRP) for climate change adaptation interventions in regional spatial planning</t>
  </si>
  <si>
    <t>Design of multi-party financing mechanisms</t>
  </si>
  <si>
    <t>Risk code-based investment</t>
  </si>
  <si>
    <t>Research and publication related to vulnerability</t>
  </si>
  <si>
    <t>Effectiveness of the one ecosystem one management program</t>
  </si>
  <si>
    <t>Strengthening spatial plans in priority areas</t>
  </si>
  <si>
    <t>, infrastructure and media</t>
  </si>
  <si>
    <t>Campaign and socialization</t>
  </si>
  <si>
    <t>Strengthening communities related to resilience (climate-resilient cities)</t>
  </si>
  <si>
    <t>Standardization of climate-proof agricultural management</t>
  </si>
  <si>
    <t>Determination of environmental risk standards</t>
  </si>
  <si>
    <t>Post-disaster needs assessment</t>
  </si>
  <si>
    <t>Research and publication of best practices in technology,  seeding and cultivation techniques</t>
  </si>
  <si>
    <t>Research and publication of best practices</t>
  </si>
  <si>
    <t>Integration of land, sea  and coastal spatial development policies</t>
  </si>
  <si>
    <t>Socialization, TA and  land use based on risk codes</t>
  </si>
  <si>
    <t>Rehabilitation of forest areas, TA and  and maintenance of plants in forest areas</t>
  </si>
  <si>
    <t>Provision of energy source species renewable</t>
  </si>
  <si>
    <t>Integration of land spatial planning and coastal and marine spatial planning policies</t>
  </si>
  <si>
    <t>Development of climate resilient communities</t>
  </si>
  <si>
    <t>Development of gender-based human resource capacity</t>
  </si>
  <si>
    <r>
      <t xml:space="preserve">Notation keys: NA = not applicable; UA = information not available at the time of reporting; NR = not reported (to indicate the voluntary character of the information).
</t>
    </r>
    <r>
      <rPr>
        <vertAlign val="superscript"/>
        <sz val="11"/>
        <color theme="1"/>
        <rFont val="Calibri"/>
        <family val="2"/>
        <scheme val="minor"/>
      </rPr>
      <t>a</t>
    </r>
    <r>
      <rPr>
        <sz val="11"/>
        <color theme="1"/>
        <rFont val="Calibri"/>
        <family val="2"/>
        <scheme val="minor"/>
      </rPr>
      <t xml:space="preserve">  Developing country Parties should provide, in a common tabular format, information on financial support needed, to the extent possible, as available and as applicable.
</t>
    </r>
    <r>
      <rPr>
        <vertAlign val="superscript"/>
        <sz val="11"/>
        <color theme="1"/>
        <rFont val="Calibri"/>
        <family val="2"/>
        <scheme val="minor"/>
      </rPr>
      <t>b</t>
    </r>
    <r>
      <rPr>
        <sz val="11"/>
        <color theme="1"/>
        <rFont val="Calibri"/>
        <family val="2"/>
        <scheme val="minor"/>
      </rPr>
      <t xml:space="preserve">  Parties include information on support needed from the reporting year of the BTR.
</t>
    </r>
    <r>
      <rPr>
        <vertAlign val="superscript"/>
        <sz val="11"/>
        <color theme="1"/>
        <rFont val="Calibri"/>
        <family val="2"/>
        <scheme val="minor"/>
      </rPr>
      <t>c</t>
    </r>
    <r>
      <rPr>
        <sz val="11"/>
        <color theme="1"/>
        <rFont val="Calibri"/>
        <family val="2"/>
        <scheme val="minor"/>
      </rPr>
      <t xml:space="preserve">  Parties provide the underlying assumptions, definitions and methodologies, as applicable, used to identify and/or report this reporting parameter in the respective section of the BTR.
</t>
    </r>
    <r>
      <rPr>
        <vertAlign val="superscript"/>
        <sz val="11"/>
        <color theme="1"/>
        <rFont val="Calibri"/>
        <family val="2"/>
        <scheme val="minor"/>
      </rPr>
      <t>d</t>
    </r>
    <r>
      <rPr>
        <sz val="11"/>
        <color theme="1"/>
        <rFont val="Calibri"/>
        <family val="2"/>
        <scheme val="minor"/>
      </rPr>
      <t xml:space="preserve">  If “other”, Parties should specify this information.
</t>
    </r>
    <r>
      <rPr>
        <vertAlign val="superscript"/>
        <sz val="11"/>
        <color theme="1"/>
        <rFont val="Calibri"/>
        <family val="2"/>
        <scheme val="minor"/>
      </rPr>
      <t>e</t>
    </r>
    <r>
      <rPr>
        <sz val="11"/>
        <color theme="1"/>
        <rFont val="Calibri"/>
        <family val="2"/>
        <scheme val="minor"/>
      </rPr>
      <t xml:space="preserve">  This refers to funding for activities that have both mitigation and adaptation components.
</t>
    </r>
    <r>
      <rPr>
        <vertAlign val="superscript"/>
        <sz val="11"/>
        <color theme="1"/>
        <rFont val="Calibri"/>
        <family val="2"/>
        <scheme val="minor"/>
      </rPr>
      <t xml:space="preserve">f   </t>
    </r>
    <r>
      <rPr>
        <sz val="11"/>
        <color theme="1"/>
        <rFont val="Calibri"/>
        <family val="2"/>
        <scheme val="minor"/>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</si>
  <si>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Energy</t>
  </si>
  <si>
    <t>Sustainable Least-cost Electrification-1</t>
  </si>
  <si>
    <t>ISLE-1 will support the Government of Indonesia in achieving its target of 28 percent renewable energy 
in the power mix by 2030 and maximizing the use of local renewable resource potential for the 
electrification program in remote islands in Maluku and Nusa Tenggara regions</t>
  </si>
  <si>
    <t>achieving its target of 28 percent renewable energy in the power mix by 2030</t>
  </si>
  <si>
    <t>World Bank</t>
  </si>
  <si>
    <t>CAD 64,3 juta</t>
  </si>
  <si>
    <t>meningkatkan akses terhadap listrik yang berkelanjutan (stabil) dan berbiaya rendah di Indonesia bagian timur.</t>
  </si>
  <si>
    <t>Sustainable infrastructure development</t>
  </si>
  <si>
    <t>This credit line, to be intermediated by PT SMI, will target private and public entities involved in sustainable infrastructure sectors, including renewable energy initiatives and climate-focused projects across Indonesia</t>
  </si>
  <si>
    <t>infrastructure renewable energy initiatives</t>
  </si>
  <si>
    <t>he European Investment Bank</t>
  </si>
  <si>
    <t>EUR 500</t>
  </si>
  <si>
    <t>MOU untuk pinjaman kerangka kerja hingga 500 juta euro yang dapat digunakan pada serangkaian investasi yang memenuhi syarat, termasuk proyek listrik dan infrastruktur lainnya.</t>
  </si>
  <si>
    <t>Results Based Loan Sustainable Reliable Energy Access Programme/ RBL SREAP</t>
  </si>
  <si>
    <t xml:space="preserve"> loan for small- to mid-sized natural gas-fired power stations to deliver more sustainable energy services to communities across Eastern Indonesia</t>
  </si>
  <si>
    <t>build small- to mid-sized natural gas-fired power stations</t>
  </si>
  <si>
    <t>ADB</t>
  </si>
  <si>
    <t>EUR 63.9</t>
  </si>
  <si>
    <t>Results Based Loan Sustainable Reliable Energy Access Programme: untuk mendukung infrastruktur jaringan listrik di Jawa Barat dan Tengah</t>
  </si>
  <si>
    <t>Ijen Geothermal</t>
  </si>
  <si>
    <t>Financing Ijen Geothermal power plant as apart of strategy for an energy transition</t>
  </si>
  <si>
    <t xml:space="preserve">Non-concessional loan </t>
  </si>
  <si>
    <t>Geothermal powerplant</t>
  </si>
  <si>
    <t>The U.S. International Development Finance Corporation (DFC)</t>
  </si>
  <si>
    <t>USD 126million</t>
  </si>
  <si>
    <t>Pembiayaan bersama untuk pengembangan Fase 1 proyek Ijen 31 MW di Jawa Timur, dengan target penyelesaian pembiayaan pada pertengahan tahu</t>
  </si>
  <si>
    <t>Capacity building for agriculture field extension workers</t>
  </si>
  <si>
    <t>This program is carried out to ensure that the performance of extension workers is more optimal, there are activities such as the Genta Organic field session, adding operational extension workers through online training.</t>
  </si>
  <si>
    <t>Improving the performance of extension workers to be more optimal</t>
  </si>
  <si>
    <t>Expert consultation</t>
  </si>
  <si>
    <t>Repairment and rehabilitation of irrigation networks based on farmer participation</t>
  </si>
  <si>
    <t>This program is one of the activities under the Directorate of Agricultural Irrigation to optimize the area of ​​rice fields that receive water through improving irrigation networks with farmer participation in its implementation.</t>
  </si>
  <si>
    <t>Increasing irrigated areas</t>
  </si>
  <si>
    <t>Increasing access to People's Business Credit (Kredit Usaha Rakyat - KUR) for farmers</t>
  </si>
  <si>
    <t>This program is an activity under the Agricultural Financing Center to assist farmers in agricultural cultivation through credit or insurance schemes.</t>
  </si>
  <si>
    <t>Optimizing agricultural cultivation for underprivileged farmers so that they can increase agricultural production and reduce the risk of climate change impacts through insurance schemes.</t>
  </si>
  <si>
    <t>Improvement of Adaptive Information System for Planting Planning (Sistem Informasi Adaptif untuk Perencanaan Tanam - SIAP TANAM)</t>
  </si>
  <si>
    <t>Development of information services for initial planting recommendations, water availability and requirements, predictions of planting area, fertilizer and seed requirements, and recommendations for food crop varieties.</t>
  </si>
  <si>
    <t>Increasing food crop productivity</t>
  </si>
  <si>
    <t>Climate services</t>
  </si>
  <si>
    <t>Adaptation Fund Project – Pekalongan</t>
  </si>
  <si>
    <t>This activity is a collaboration between the Jakarta Partnership Institute and the Pekalongan City Government, in the form of project and program financing support aimed at helping vulnerable communities adapt to climate change. The amount of funding received is 86 billion with several programs to be worked on including mangrove planting, embankment construction, and other climate change anticipation programs.</t>
  </si>
  <si>
    <t>Several climate change adaptation action programs have been implemented and the adaptive capacity of local communities has been increased.</t>
  </si>
  <si>
    <t>Adaptation Fund Project – Bulukumba</t>
  </si>
  <si>
    <t>This activity is managed by the Sustainable Governance Strategic (SGS) Unit with implementing partners payo-payo association and OASE. This activity aims to increase climate resilience and adaptive capacity through sustainable integrated watershed management in the Ammatoa Kajang Customary Community in Bulukumba, South Sulawesi Province. This activity received funding of USD$ 1,125,015</t>
  </si>
  <si>
    <t>Increasing the adaptive capacity of indigenous communities in the Ammatoa Kajang Traditional Area, Bulukumba Regency, especially in the Raowa, Apparang and Baonto watersheds.</t>
  </si>
  <si>
    <t>Ecosystem and landscape resilience</t>
  </si>
  <si>
    <t>Maintaining contribution of relevant parties after the handover to continue to carry out maintenance, security and protection of plants at the Forest and Land Rehabilitation loci that have been handed over.</t>
  </si>
  <si>
    <t>This program is carried out to ensure the sustainability of climate change adaptation programs by related ministries/agencies.</t>
  </si>
  <si>
    <t>Maintaining the success rate of forest and land rehabilitation program</t>
  </si>
  <si>
    <t>Application of technological innovation and social-environmental safeguards in ecosystem restoration in areas affected by climate change</t>
  </si>
  <si>
    <t>This program will be carried out by the Directorate of Ecosystem Management and Recovery (BPPE), Directorate General of KSDAE which includes the application of the latest innovations and technologies, as well as the application of social and environmental safeguards in the implementation, maintenance and monitoring of ecosystem recovery programs.</t>
  </si>
  <si>
    <t>Expansion of area and effectiveness of ecosystem restoration actions</t>
  </si>
  <si>
    <t>Development of physical infrastructure and capacity building of responsible units on peat restoration</t>
  </si>
  <si>
    <t>Peatland and Mangrove Restoration Agency (Badan Restorasi Gambut dan Mangrove - BRGM) needs development of permanent and semi-permanent physical infrastructure, as well as increasing the understanding of the parties in selecting types of plants for revegetation, planting schedules, and maintenance and utilization of peatlands after restoration, such as through peat-friendly ecosystem management.</t>
  </si>
  <si>
    <t>Increasing the effectiveness and sustainability of impacts in peat restoration programs</t>
  </si>
  <si>
    <t>Research and development for development of a dengue vaccine</t>
  </si>
  <si>
    <t>DHF cases are still increasing and are expected to decrease with the presence of the Dengue vaccine. Currently, the dengue vaccine is still imported at a high cost. The virus strain to be developed is available in Indonesia. Financial support is needed for research and the manufacture of vaccines from existing virus materials.</t>
  </si>
  <si>
    <t>Decrease in incidence rate and case fatality rate of Dengue</t>
  </si>
  <si>
    <t>Development of biomonitoring technology and integration into existing information systems (SIAPIK)</t>
  </si>
  <si>
    <t>The program has been planned but has not yet received financial resources for the procurement and installation of the necessary equipment.</t>
  </si>
  <si>
    <t>Improvement of health sector climate adaptation information system SIAPIK</t>
  </si>
  <si>
    <t>Loss and damage</t>
  </si>
  <si>
    <t>Development of marine protective infrastructure</t>
  </si>
  <si>
    <t>This program is a collaboration between the central government and regional governments to protect coastal areas from the risk of rising sea levels and tidal flooding, one of which has been running in Jakarta.</t>
  </si>
  <si>
    <t>Increasing resilience and reducing the risk to coastal communities from rising sea levels and tidal flooding, especially in the Pantura region.</t>
  </si>
  <si>
    <r>
      <t xml:space="preserve">Table III.7 Information on </t>
    </r>
    <r>
      <rPr>
        <b/>
        <sz val="14"/>
        <color rgb="FF0070C0"/>
        <rFont val="Calibri"/>
        <family val="2"/>
        <scheme val="minor"/>
      </rPr>
      <t>financial support received</t>
    </r>
    <r>
      <rPr>
        <b/>
        <sz val="14"/>
        <color theme="1"/>
        <rFont val="Calibri"/>
        <family val="2"/>
        <scheme val="minor"/>
      </rPr>
      <t xml:space="preserve"> by developing country Parties under Article 9 of the Paris Agreement</t>
    </r>
    <r>
      <rPr>
        <b/>
        <vertAlign val="superscript"/>
        <sz val="14"/>
        <color theme="1"/>
        <rFont val="Calibri"/>
        <family val="2"/>
        <scheme val="minor"/>
      </rPr>
      <t>a, b</t>
    </r>
  </si>
  <si>
    <t>Exchange rate used: Middle Kurs Bank Indonesia FY 2022: Rp 15.371  and FY 2021 Rp 14.269</t>
  </si>
  <si>
    <t>Duration</t>
  </si>
  <si>
    <r>
      <rPr>
        <b/>
        <sz val="11"/>
        <rFont val="Calibri"/>
        <family val="2"/>
        <scheme val="minor"/>
      </rPr>
      <t>Amount received (climate- specific)</t>
    </r>
    <r>
      <rPr>
        <b/>
        <vertAlign val="superscript"/>
        <sz val="11"/>
        <rFont val="Calibri"/>
        <family val="2"/>
        <scheme val="minor"/>
      </rPr>
      <t>c</t>
    </r>
  </si>
  <si>
    <r>
      <rPr>
        <b/>
        <sz val="11"/>
        <rFont val="Calibri"/>
        <family val="2"/>
        <scheme val="minor"/>
      </rPr>
      <t>Programme/
project description</t>
    </r>
    <r>
      <rPr>
        <b/>
        <vertAlign val="superscript"/>
        <sz val="11"/>
        <rFont val="Calibri"/>
        <family val="2"/>
        <scheme val="minor"/>
      </rPr>
      <t>c</t>
    </r>
  </si>
  <si>
    <r>
      <t>Channel</t>
    </r>
    <r>
      <rPr>
        <b/>
        <vertAlign val="superscript"/>
        <sz val="11"/>
        <rFont val="Calibri"/>
        <family val="2"/>
        <scheme val="minor"/>
      </rPr>
      <t>c</t>
    </r>
  </si>
  <si>
    <r>
      <rPr>
        <b/>
        <sz val="11"/>
        <rFont val="Calibri"/>
        <family val="2"/>
        <scheme val="minor"/>
      </rPr>
      <t>Recipient entity</t>
    </r>
    <r>
      <rPr>
        <b/>
        <vertAlign val="superscript"/>
        <sz val="11"/>
        <rFont val="Calibri"/>
        <family val="2"/>
        <scheme val="minor"/>
      </rPr>
      <t>c</t>
    </r>
  </si>
  <si>
    <r>
      <rPr>
        <b/>
        <sz val="11"/>
        <rFont val="Calibri"/>
        <family val="2"/>
        <scheme val="minor"/>
      </rPr>
      <t>Implementing entity</t>
    </r>
    <r>
      <rPr>
        <b/>
        <vertAlign val="superscript"/>
        <sz val="11"/>
        <rFont val="Calibri"/>
        <family val="2"/>
        <scheme val="minor"/>
      </rPr>
      <t>c</t>
    </r>
  </si>
  <si>
    <t>date signed</t>
  </si>
  <si>
    <t>date closing</t>
  </si>
  <si>
    <r>
      <rPr>
        <b/>
        <sz val="11"/>
        <rFont val="Calibri"/>
        <family val="2"/>
        <scheme val="minor"/>
      </rPr>
      <t>Domestic currency</t>
    </r>
    <r>
      <rPr>
        <b/>
        <sz val="11"/>
        <color theme="1"/>
        <rFont val="Calibri"/>
        <family val="2"/>
        <scheme val="minor"/>
      </rPr>
      <t xml:space="preserve"> (IDR)</t>
    </r>
  </si>
  <si>
    <t>DISBURSE IN DOMESTIC CURRENCY 2021</t>
  </si>
  <si>
    <t>DISBURSE IN DOMESTIC CURRENCY 2022</t>
  </si>
  <si>
    <t>DISBURSE IN million USD 2021-2022</t>
  </si>
  <si>
    <t>DISBURSE IN USD 2021</t>
  </si>
  <si>
    <t>DISBURSE IN USD 2022</t>
  </si>
  <si>
    <t>timeframe 2021-2022</t>
  </si>
  <si>
    <r>
      <rPr>
        <b/>
        <sz val="11"/>
        <rFont val="Calibri"/>
        <family val="2"/>
        <scheme val="minor"/>
      </rPr>
      <t>Financial instrument</t>
    </r>
    <r>
      <rPr>
        <b/>
        <vertAlign val="superscript"/>
        <sz val="11"/>
        <rFont val="Calibri"/>
        <family val="2"/>
        <scheme val="minor"/>
      </rPr>
      <t>c</t>
    </r>
  </si>
  <si>
    <r>
      <t>Status</t>
    </r>
    <r>
      <rPr>
        <b/>
        <vertAlign val="superscript"/>
        <sz val="11"/>
        <rFont val="Calibri"/>
        <family val="2"/>
        <scheme val="minor"/>
      </rPr>
      <t>c</t>
    </r>
    <r>
      <rPr>
        <b/>
        <sz val="11"/>
        <rFont val="Calibri"/>
        <family val="2"/>
        <scheme val="minor"/>
      </rPr>
      <t xml:space="preserve"> Status, (Committed, Fully Disbursed, Partially Disbursed, Not Disbursed yet)</t>
    </r>
  </si>
  <si>
    <r>
      <rPr>
        <b/>
        <sz val="11"/>
        <rFont val="Calibri"/>
        <family val="2"/>
        <scheme val="minor"/>
      </rPr>
      <t>Status of activity</t>
    </r>
    <r>
      <rPr>
        <b/>
        <vertAlign val="superscript"/>
        <sz val="11"/>
        <rFont val="Calibri"/>
        <family val="2"/>
        <scheme val="minor"/>
      </rPr>
      <t>c</t>
    </r>
  </si>
  <si>
    <r>
      <rPr>
        <b/>
        <sz val="11"/>
        <rFont val="Calibri"/>
        <family val="2"/>
        <scheme val="minor"/>
      </rPr>
      <t>Use, impact and results</t>
    </r>
    <r>
      <rPr>
        <b/>
        <vertAlign val="superscript"/>
        <sz val="11"/>
        <rFont val="Calibri"/>
        <family val="2"/>
        <scheme val="minor"/>
      </rPr>
      <t>c</t>
    </r>
  </si>
  <si>
    <t>Additional information2</t>
  </si>
  <si>
    <t>Strategic Irrigation Modernization and Urgent Rehabilitation Project (SIMURP)</t>
  </si>
  <si>
    <t>This project aims to modernize and rehabilitate irrigation infrastructure to enhance agricultural productivity and water efficiency, addressing urgent needs in irrigation systems.</t>
  </si>
  <si>
    <t>MULTILATERAL</t>
  </si>
  <si>
    <t>INDONESIA</t>
  </si>
  <si>
    <t xml:space="preserve">Ministry of Agriculture (MoA), Ministry of Home Affairs (MoHA), Ministry of Public Works and Housing  </t>
  </si>
  <si>
    <t>2021-2022</t>
  </si>
  <si>
    <t>Concessional Loan</t>
  </si>
  <si>
    <t>Fully Disburse</t>
  </si>
  <si>
    <t>Economic resillience</t>
  </si>
  <si>
    <t>Sustainable agriculture and plantations</t>
  </si>
  <si>
    <t>agricultural productivity and water efficiency</t>
  </si>
  <si>
    <t>AIIB</t>
  </si>
  <si>
    <t>The Project Development Objective is to improve irrigation services and strengthen accountability of irrigation schemes management i n selected areas.</t>
  </si>
  <si>
    <t>Ministry of Public Works and Housing</t>
  </si>
  <si>
    <t xml:space="preserve"> improve irrigation services and strengthen accountability of irrigation schemes management </t>
  </si>
  <si>
    <t>WORLD BANK GROUP</t>
  </si>
  <si>
    <t>I B R D | WORLD BANK GROUP</t>
  </si>
  <si>
    <t>Improvement of Solid Waste Management to Support Regional and Metropolitan Cities Project</t>
  </si>
  <si>
    <t>The development objective of the Improvement of Solid Waste Management to Support Regional and Metropolitan Cities Project for Indonesia is to improve solid waste management services for urban populations in selected cities across Indonesia. The project comprises of four components. The first component, institutional and policy development will support institutional strengthening and capacity building of central government agencies responsible for various technical and administrative aspects of solid waste management services. The second component, integrated planning support and capacity building for local government and communities will finance the costs of experts and community facilitators throughout the program cycle to support capacity building (including longer-term management support, training, workshops, and knowledge exchange events between cities as well as urban sub-districts) of local governments and communities to design and manage solid waste service improvements. The third component, solid waste infrastructure in selected cities will also be supported with the required technical assistance package through component 2. It consists of following sub-components: (i) support for integrated solid waste management systems for Citarum watershed cities; and (ii) supporting integrated solid waste management systems in selected cities, other than Citarum watershed cities. The fourth component, implementation support and technical assistance will finance the program management during the implementation, construction supervision consultants, monitoring and evaluation, and specific technical assistance for cities and district governments receiving the investment of component 3.</t>
  </si>
  <si>
    <t>Partially Disburse</t>
  </si>
  <si>
    <t>May Lead to Mitigation</t>
  </si>
  <si>
    <t>sewerage</t>
  </si>
  <si>
    <t>Ongoing</t>
  </si>
  <si>
    <t>The impact and results of the use in the context of the "Improvement of Solid Waste Management to Support Regional and Metropolitan Cities" project can be measured or classified through several indicators and results that have been achieved:
1. Proportion of Population with Regular Waste Collection: One of the results measured is the increase in the proportion of the population in urban areas that receive regular waste collection services. This value increased from 65% in 2019 to 82.62% in 2024, with a final target of 85% in 2025.
2. Waste Management and Processing: The percentage of solid waste that is recycled, composted, or processed with other techniques to reduce the volume of waste disposal is also measured. The current value is 22.94% with a final target of 16%.
3. Landfill Capacity Avoided: The project has avoided the use of 24,638.59 cubic meters of landfill capacity, with a final target of 1,100,000 cubic meters by 2025.
4. Marine Plastic Debris Reduction: Reduction of marine plastic debris from land-based sources is measured at a current value of 25.11%, with a final target of 50%.
5. Beneficiary Satisfaction: The project also measures beneficiary satisfaction with a rating of 'Satisfactory' or higher, which is currently at 38.04% with a final target of 70%.
6. Financial Sustainability and Operational Management**: Financial sustainability and operational management in selected cities/regencies are measured at a current value of 33%, with a final target of 65%.
7. Improved Quality of Life and City Management: The number of cities with improved quality of life, sustainability, and/or management is also measured, although no city currently meets all indicators.</t>
  </si>
  <si>
    <t>FLOOD MANAGEMENT IN SELECTED RIVER BASINS SECTOR PROJECT</t>
  </si>
  <si>
    <t>This project focuses on implementing flood management strategies in targeted river basins, including infrastructure development and community engagement to reduce flood risks and enhance resilience.</t>
  </si>
  <si>
    <t>Integrated watershed management</t>
  </si>
  <si>
    <t>to reduce flood risks and enhance resilience.</t>
  </si>
  <si>
    <t>ADB  Group</t>
  </si>
  <si>
    <t>ADB  GROUP</t>
  </si>
  <si>
    <t>The Development of Integrated Farming System at Uplands Areas</t>
  </si>
  <si>
    <t>The project goal is to reduce poverty and enhance food security in upland areas through remunerative, sustainable and resilient livelihoods.
The target group of the project is smallholder men and women farmers and processors involved or with the potential to become involved in the selected commodities; high priority will be given to youth. UPLANDS will directly work with rural households, farmers' groups and women's groups.</t>
  </si>
  <si>
    <t>Ministry of Agriculture</t>
  </si>
  <si>
    <t>The project would contribute to three specific outcomes that are in line with the strategic objectives of IFAD, IsDB and the Government of Indonesia: (i) increase in poor rural people’s productive capacities; (ii) increase poor rural people's benefits from market participation and (iii) increase in Government capacity for modernizing agriculture.
35. At the output level UPLANDs would assist in establishing the following; (i) irrigation developed on about 14,000ha using physical infrastructure schemes such as irrigation systems, small weirs, shallow wells, ponds ii) about 500kms of farm to market roads developed, (iii) training of 30,000 households in improved and more sustainable agriculture production practices, (iv) capacity building of 800 farmer groups and helping to building the capacity to graduate to higher levels of organization for enterprise and business development for at least 60% of them; (v) increase processing capacity for 800 farmer groups including 200 women’s groups; (vii) facilitate business mentoring and market linkages for 30,000 households; (ix) provide access to finance for 20,000 smallholders including 8000 women and 5000 youth.</t>
  </si>
  <si>
    <t>ISDB</t>
  </si>
  <si>
    <t>INTEGRATED PARTICIPATORY DEVELOPMENT AND MANAGEMENT OF IRRIGATION PROJECT</t>
  </si>
  <si>
    <t>This project focuses on enhancing irrigation systems through community involvement and integrated management practices, aiming to improve agricultural productivity and water resource management.</t>
  </si>
  <si>
    <t xml:space="preserve"> improve agricultural productivity and water resource management.</t>
  </si>
  <si>
    <t>IFAD</t>
  </si>
  <si>
    <t>Rural Empowerment and Agricultural Development Scaling-up Initiative</t>
  </si>
  <si>
    <t>Empowering rural farming households, both individually and as a group, with skills, building self-confidence and utilizing resources to increase income in the agricultural and non-agricultural sectors and improve their standard of living in a sustainable manner</t>
  </si>
  <si>
    <t>Objective
The long-term goal is to improve the welfare of poor farming families in Indonesia.
The short-term goal is to empower rural households in Sulawesi, West Kalimantan and NTT, both individually and as a group, with skills, building self-confidence and utilizing resources to increase income from the agricultural and non-agricultural sectors and improve their standard of living in a sustainable manner. .
Target
• Increased agricultural development and livelihoods in rural areas (Village agriculture and livelihoods development), • Increased extension services, provision of inputs and marketing (Services, inputs and market linkages),
• Availability of policy and strategy development support (Policy and strategy development support), • Implementation of Activity Management (Project Management). Location in
6 provinces and 18 districts.</t>
  </si>
  <si>
    <t>UPLANDs</t>
  </si>
  <si>
    <t>This program focuses on sustainable development practices in upland areas, promoting conservation, agricultural sustainability, and community engagement to improve the living conditions of upland populations.</t>
  </si>
  <si>
    <t xml:space="preserve">1. Reducing Community Poverty Rates
Reducing the poverty rate in rural areas so that it can be reduced from the original 13.9% to 13%.
2. Increase local food security
Providing training and technical support for 40% of women farmers and 25% of farmers of productive age.
3. Sustainable and Resilient Livelihoods
Increase asset ownership and project investment for at least 20,000 involved households.
</t>
  </si>
  <si>
    <t>YOUTH ENTREPRENEURSHIP
(YESS)</t>
  </si>
  <si>
    <t>This initiative supports young entrepreneurs by providing training, resources, and mentorship to develop their business ideas, fostering innovation and job creation among youth.</t>
  </si>
  <si>
    <t>Target Beneficiaries: The program targets approximately 110,000 rural youth to be trained and supported to gain employment or start a business. At least 50% of the participants involved are expected to be women.
Identification of Beneficiaries: To date, more than 11,338 potential beneficiaries have been identified. Of this number, 83% are men and 17% women</t>
  </si>
  <si>
    <t>EMERGENCY ASSISTANCE FOR REHABILITATION AND RECONSTRUCTION LOAN 2 TRANSPORTATION INFRASTRUCTURE</t>
  </si>
  <si>
    <t>The "Emergency Assistance for Rehabilitation and Reconstruction Loan 2" focuses on rebuilding critical transportation infrastructure in Indonesia, particularly following the 2018 earthquake and tsunami in Central Sulawesi. This loan supports the government's efforts to restore and enhance infrastructure, ensuring resilient and inclusive recovery for affected communities.</t>
  </si>
  <si>
    <t>Ministry of Transportation</t>
  </si>
  <si>
    <t>May Lead to Adaptation</t>
  </si>
  <si>
    <t>Cross cutting</t>
  </si>
  <si>
    <t>Disaster, Transportation</t>
  </si>
  <si>
    <t>The impact of the project has been significant in several areas:
Economic Recovery: By restoring critical infrastructure, the project facilitated the movement of goods and people, which is vital for local economies. This enabled quicker recovery post-disaster, allowing for a return to normal trade and commerce.
Improved Connectivity: Rebuilding roads, bridges, and airports ensured that previously isolated communities regained access to larger markets, health services, and emergency assistance, which are all critical during the recovery phase.
Disaster Preparedness: The reconstruction efforts incorporated disaster resilience measures, ensuring that the new infrastructure would be better prepared to withstand future natural disasters, reducing the risk of similar destruction</t>
  </si>
  <si>
    <t>ENGINEERING SERVICES FOR JAKARTA MASS RAPID TRANSIT EAST-WEST LINE PROJECT (PHASE I)</t>
  </si>
  <si>
    <t>This project involves providing engineering services for the development of the East-West line of Jakarta’s mass rapid transit system, aiming to improve urban mobility and reduce traffic congestion.</t>
  </si>
  <si>
    <t>BILATERAL</t>
  </si>
  <si>
    <t>Transportation</t>
  </si>
  <si>
    <t xml:space="preserve"> improve urban mobility and reduce traffic congestion.</t>
  </si>
  <si>
    <t>JAPAN</t>
  </si>
  <si>
    <t>JICA</t>
  </si>
  <si>
    <t>JABODETABEK RAILWAY CAPACITY ENHANCEMENT PHASE I</t>
  </si>
  <si>
    <t>This project focuses on improving the capacity and efficiency of the railway system in the Jabodetabek area (Jakarta, Bogor, Depok, Tangerang, Bekasi) to enhance public transportation and reduce congestion.</t>
  </si>
  <si>
    <t>ENGINEERING SERVICES
PROJECT</t>
  </si>
  <si>
    <t>This initiative provides specialized engineering services for various infrastructure projects, ensuring proper design, planning, and implementation of engineering solutions.</t>
  </si>
  <si>
    <t>Metropolitan Sanitation Management Investment Project (MSMIP)- Asian Development
Bank</t>
  </si>
  <si>
    <t>This project aims to improve urban sanitation and wastewater management in metropolitan areas, focusing on infrastructure development and enhancing public health outcomes.</t>
  </si>
  <si>
    <t>Social Resilience</t>
  </si>
  <si>
    <t>sanitation and wastewater managemen</t>
  </si>
  <si>
    <t>METRO SANITATION MAN
INVEST PR</t>
  </si>
  <si>
    <t>Similar to MSMIP, this initiative focuses on upgrading sanitation facilities and improving wastewater treatment systems in urban areas to ensure sustainable sanitation practices.</t>
  </si>
  <si>
    <t xml:space="preserve">Construction of Karian Multipurpose Dam Project </t>
  </si>
  <si>
    <t>This project involves the construction of the Karian Multipurpose Dam, aimed at providing water supply, irrigation, and flood control while enhancing local ecosystems and supporting sustainable development.</t>
  </si>
  <si>
    <t>Non Concessional Loan</t>
  </si>
  <si>
    <t>Irrigation, enhance flood control, water supply, and ecological protection.</t>
  </si>
  <si>
    <t>KOREA</t>
  </si>
  <si>
    <t>EXIM BANK KOREA</t>
  </si>
  <si>
    <t>Engineering Services Project for Multipurpose Dams, Rivers, and Coastal</t>
  </si>
  <si>
    <t>This project focuses on providing engineering services for the design and management of multipurpose dams, river systems, and coastal areas to enhance flood control, water supply, and ecological protection.</t>
  </si>
  <si>
    <t>COMMERCIAL BANKS OR OTHER FINANCIAL INSTITUTION</t>
  </si>
  <si>
    <t>BALI BEACH CONSERVATION PROJECT (PHASE 2)</t>
  </si>
  <si>
    <t>This initiative aims to preserve and restore the beaches of Bali through sustainable management practices, addressing issues such as erosion, waste management, and habitat protection.</t>
  </si>
  <si>
    <t xml:space="preserve"> erosion, waste management, and habitat protection.</t>
  </si>
  <si>
    <t>METROPOLITAN SANITATION MANAGEMENT INVESTMENT PROGRAM: ENGINEERING SERVICES FOR SEWERAGE SYSTEM DEVELOPMENT IN DKI JAKARTA</t>
  </si>
  <si>
    <t>This project involves providing engineering services to develop and improve the sewerage infrastructure in Jakarta, aiming to enhance sanitation and public health.</t>
  </si>
  <si>
    <t>Jakarta Sewerage Development Project (Zone 6) (Phase 1)</t>
  </si>
  <si>
    <t>This initiative focuses on expanding and upgrading the sewerage system in Zone 6 of Jakarta, aiming to improve wastewater management and reduce environmental pollution.</t>
  </si>
  <si>
    <t>improve wastewater management and reduce environmental pollution.</t>
  </si>
  <si>
    <t>KOMERING IRRIGATION PROJECT (PHASE 3)</t>
  </si>
  <si>
    <t>This project aims to enhance irrigation infrastructure in the Komering region, improving water management for agriculture and increasing crop productivity through modernized irrigation techniques.</t>
  </si>
  <si>
    <t>mproving water management for agriculture and increasing crop productivity</t>
  </si>
  <si>
    <t>Rentang Irrigation Modernization Project</t>
  </si>
  <si>
    <t>This project aims to modernize irrigation systems in the Rentang area, enhancing water efficiency and agricultural productivity through improved infrastructure and management practices.</t>
  </si>
  <si>
    <t>Upper Citarum Basin Flood Management Sector Loan</t>
  </si>
  <si>
    <t>This initiative provides funding for flood management strategies in the Upper Citarum Basin, focusing on reducing flood risks through infrastructure improvements, watershed management, and community engagement.</t>
  </si>
  <si>
    <t>EMISSION REDUCTION IN CITIES</t>
  </si>
  <si>
    <t>This program focuses on strategies to minimize greenhouse gas emissions from urban areas through sustainable waste management, transportation improvements, and energy efficiency initiatives.</t>
  </si>
  <si>
    <t xml:space="preserve">minimize greenhouse gas emissions from urban areas </t>
  </si>
  <si>
    <t>GERMANY</t>
  </si>
  <si>
    <t>KfW</t>
  </si>
  <si>
    <t xml:space="preserve">The Development of Regional Water Supply System Wosusokas </t>
  </si>
  <si>
    <t>This project aims to enhance water supply infrastructure in the Wosusokas region, ensuring reliable access to clean water for communities while promoting sustainable water management practices.</t>
  </si>
  <si>
    <t xml:space="preserve"> clean water and sanitation</t>
  </si>
  <si>
    <t>KFW</t>
  </si>
  <si>
    <t>In the public works component, the project aims to restore human settlement and water resource infrastructure, including coastal protection measures designed to prevent erosion and flooding. This is crucial in regions like Palu Bay, which was heavily impacted by the tsunami. The project also includes land acquisition and resettlement plans, with the Government of Indonesia coordinating these efforts under Indonesian law and ADB’s safeguard policies.
The outcomes expected from the project include improved socio-economic resilience for the affected communities, particularly women and children, by ensuring access to disaster-resilient infrastructure. The project is on track for completion by 2023, with regular monitoring and reporting on progress.</t>
  </si>
  <si>
    <t>INTEGRATED PARTICIPATORY DEVELOPMENT AND MANAGEMENT OF IRRIGATION PROGRAM</t>
  </si>
  <si>
    <t>This program focuses on enhancing irrigation management through community participation and integrated planning. It aims to improve agricultural productivity, ensure sustainable water use, and empower local farmers in decision-making processes.</t>
  </si>
  <si>
    <t>agricultural productivity, ensure sustainable water use</t>
  </si>
  <si>
    <t>Dam Operational Improvement and Safety (DOISP)</t>
  </si>
  <si>
    <t>The Dam Operational Improvement and Safety Project (DOISP) Phase II aims to enhance the safety and operational efficiency of dams. It includes assessments, upgrades, and training to ensure that dams can effectively manage water resources while minimizing risks to communities.</t>
  </si>
  <si>
    <t>Indonesia National Slum Upgrading Project</t>
  </si>
  <si>
    <t>National Slum Upgrading Program in Central Java, DI Yogyakarta, East Java, West Nusa Tenggara, East Nusa Tenggara, South Kalimantan, East Kalimantan, North Sulawesi, South Sulawesi, and North Maluku Province: a. Infrastructure activities
b. Community Block Grant
c. Technical Assistance Consultant Support and Facilitator Assistance
d. Repair and maintenance and development of water, sanitation, and settlement infrastructure to meet the minimum target of services at 80% and cash for works activities and labour-intensive implementation</t>
  </si>
  <si>
    <t>Citrus Slum Relocation and Rehabilitation Project</t>
  </si>
  <si>
    <t>This program focuses on building resilience to climate change and natural disasters by implementing risk reduction strategies and promoting sustainable land and water management practices.</t>
  </si>
  <si>
    <t>DAM OPERATIONAL IMPROVEMENT AND SAFETY PORJECT (DOISP) PHASE II/ADDITIONAL FINANCING FOR DAM OPERATIONAL IMPROVEMENT AND SAFETY PROJECT</t>
  </si>
  <si>
    <t>This initiative provides additional funding to further enhance dam safety and operations, ensuring that dams can meet current and future water management needs while protecting communities from potential hazards.</t>
  </si>
  <si>
    <t>ITDP</t>
  </si>
  <si>
    <t>This program aims to enhance urban mobility and transportation infrastructure through integrated planning and development, promoting sustainable transport solutions in urban areas.</t>
  </si>
  <si>
    <t>NAHP</t>
  </si>
  <si>
    <t>initiative focuses on providing affordable housing solutions to low-income families, improving access to housing through financial support and innovative housing development strategies.</t>
  </si>
  <si>
    <t>National Urban Water Supply Project</t>
  </si>
  <si>
    <t>The development objective of the National Urban Water Supply Program for Indonesia is to provide access to improved water sources for the population and strengthen the operational performance of water service providers in selected urban areas.It has three components. i) the physical investment windows of sectoral development platform, (ii) the technical assistance and capacity building windows of the framework, and (iii) Central Government’s development, implementation and continuous improvement of the framework. A fourth component will assist the Government at central and local levels with project implementation and management support. 1) First component, investment support for urban water supply infrastructure development will support the Central Government in providing investment support to at least 40 local government (LGs)/Local Government’s owned water supply enterprise (Perusahaan Daerah Air Minum) PDAMs of varying performance or categories through the investment packages available under the framework</t>
  </si>
  <si>
    <t>NUWSP Project Goals
NUWSP is expected to be implemented and open to all regional governments that have systems and manage urban drinking water supply. However, as an operational initiation of the NUWSP framework, not all Regency/City Regional Governments can become NUWSP participants.
The criteria for regencies/cities that are prioritized in this NUWSP are regencies/cities that submit letters of interest, including PDAMs assisted by the Directorate General of CK, are included in Regional SPAMs, are local governments/PDAMs that are involved in drinking water programs from other donors and/or local governments that are included in strategic development areas (Special Economic Zones, tourism, connectivity development, etc.) but have weak PDAM.</t>
  </si>
  <si>
    <t>PAMSIMAS III</t>
  </si>
  <si>
    <t>This project focuses on enhancing access to clean water and sanitation facilities in rural and peri-urban communities through community engagement and sustainable management practices.</t>
  </si>
  <si>
    <t>Countermeasure for Sediment in Wonogiri Multipurpose</t>
  </si>
  <si>
    <t xml:space="preserve"> This project focuses on implementing strategies to manage sedimentation in the Wonogiri reservoir, enhancing water quality and supporting the reservoir’s multipurpose functions, such as irrigation and flood control.</t>
  </si>
  <si>
    <t>RESEARCH &amp; INNOV SCIENCE
TECHN</t>
  </si>
  <si>
    <t>The technical design of the Research and Innovation in Science and Technology Project in Indonesia was built upon thorough sector assessments conducted under the 2002 RISTEK "PERISKOP" project, alongside a RISTEK team's feasibility study on overseas training programs. To guide and oversee the project, a Steering Committee, led by the RISTEK Executive Secretary, was formed. Additionally, a Technical Committee was established to offer expert advice on technical aspects.</t>
  </si>
  <si>
    <t>National Research and Innovation Agency</t>
  </si>
  <si>
    <t>The project modestly achieved its two objectives to improve the enabling policy environment for STI R&amp;D and to
improve LPNK performance, and substantially achieved its third objective to improve STI human resource
capacity, consistent with a Modest overall efficacy rating. Efficiency is rated Modest due to significant
implementation inefficiencies</t>
  </si>
  <si>
    <t>COREMAP-CTI</t>
  </si>
  <si>
    <t>The Coral Reef Rehabilitation and Management Program - Coral Triangle Initiative (COREMAP-CTI) is a project aimed at sustainable management of coral reef resources and associated ecosystems in Indonesia. The project seeks to institutionalize a decentralized and integrated framework for the welfare of communities in seven selected districts across five provinces in Indonesia8. The project is aligned with Indonesia's Country Partnership Strategy, focusing on pro-growth, pro-jobs, pro-poor, and pro-environment initiatives, with an emphasis on private sector involvement for sustainable economic growth</t>
  </si>
  <si>
    <t>Ministry of National Development Planning</t>
  </si>
  <si>
    <t>Coastal zone protection</t>
  </si>
  <si>
    <t>The project includes a comprehensive monitoring and evaluation framework to track progress and ensure effective implementation. This involves regular reporting and the use of a Management Information System (MIS) to provide detailed information on project outputs and achievements
Overall, COREMAP-CTI aims to provide a blueprint for scaling up sustainable coral reef management across Indonesia, contributing to the country's broader goals of economic development and environmental conservation</t>
  </si>
  <si>
    <t>DEVELOPMENT OF MARITIME METEOROLOGICAL INFORMATION SYSTEM  (MMS 1)</t>
  </si>
  <si>
    <t>The MMS 1 project aims to establish a comprehensive marine meteorological system to support Indonesia's maritime activities, given the country's vast archipelago consisting of over 17,000 islands. The initiative includes deploying about 200 instruments such as tide gauges, meteorological stations, and oceanographic floats. The system will also feature advanced computational resources and disaster recovery facilities, enhancing Indonesia's capacity for weather forecasting and maritime safety</t>
  </si>
  <si>
    <t>Meteorological, Climatological, and Geophysical Agency</t>
  </si>
  <si>
    <t>1.Increasing the accuracy of climatology and weather information, especially weather
maritime, especially in maritime weather and warnings about conditions at sea.
2. Improve the maritime observation network covering all waters
Indonesia which is reliable, integrated, user friendly, and accessible
public.
3. Increase BMKG's capabilities in supporting all maritime sectors and
integrated and reliable government policies through marine
forecasting &amp; analysis system.
4. Increase understanding of the relationship between atmospheric and oceanic interaction phenomena
and its role in weather variability and climatology in BMI.
5. Increase human resources to be able to manage Met Ocean data and
its operation.</t>
  </si>
  <si>
    <t>FRANCE</t>
  </si>
  <si>
    <t>NATIXIS BANQUE</t>
  </si>
  <si>
    <t>Indonesia Disaster Resilience Initiatives Project (IDRIP)</t>
  </si>
  <si>
    <t xml:space="preserve"> the project is expected to achieve its development objectives. The project has enhanced emergency preparedness in 180 villages and strengthened local government capabilities in 30 cities/regencies. It has improved BMKG’s seismic monitoring and capacities for the Tsunami (InaTEWS) and Earthquake Early Warning Systems (InaEEWS). The project will continue to strengthen the capacity of local EOCs to prepare and respond to emergencies, as well as improve the monitoring of seismic hazards and early warning system dissemination capabilities</t>
  </si>
  <si>
    <t>Here are key elements from the report:
1.	Multi-hazard Early Warning System:Achievement: The development of the system began in the second half of 2024.
2.	Functional Emergency Operations Centers (EOCs): Progress: As of June 2024, rehabilitation is ongoing and expected to be completed in some locations by 2024, with full completion by 2025.
3.	Mobile Phone Applications for Early Warning: Progress: By December 2023, 45% of the target user base, including women, will be registered on the app. Full achievement is expected by December 2024.
4.	Public Preparedness for Disaster Response: Progress: As of December 2024, 80% of the targeted population is expected to feel prepared to respond to disasters after participating in outreach and advocacy efforts.
5.	Women Facilitators in Disaster Response: Progress: By June 2024, 49.5% of women had been trained, with a slight decrease to 45% in December 2024. This target has been achieved according to the report.</t>
  </si>
  <si>
    <t>Procurement of Multipurposes Research Vessels</t>
  </si>
  <si>
    <t>Indonesia is strengthening its national oceanographic research capacities with the procurement of Multipurpose Research Vessels. The KRisNa (Kapal Riset Nasional)Project is implemented by the LIPI (Indonesian Institute of Sciences) with the support of AFD.</t>
  </si>
  <si>
    <t>Better knowledge and management of Indonesianbiodiversity and its marine resources;Better measurement of marine pollution impacts on coastal and marine ecosystems; Increased monitoring of the impacts of climate change on oceans;Strengthened quality and performance of oceanographic research, contributing to the expansion of Indonesian scientific research at the national and international levels; Development of synergies with all existing ocean institutions in Indonesia, with improved governance of ocean research activities.</t>
  </si>
  <si>
    <t>AFD</t>
  </si>
  <si>
    <t>Development of Sewerage System in Batam Island Project</t>
  </si>
  <si>
    <t>This initiative focuses on improving sanitation infrastructure in Batam Island by developing an efficient sewerage system. It aims to enhance public health, protect water resources, and support sustainable urban development.</t>
  </si>
  <si>
    <t>Batam Business Board (Coordinating Minister for the Economy)</t>
  </si>
  <si>
    <t>Closing</t>
  </si>
  <si>
    <t>protect water resources, enhance public health</t>
  </si>
  <si>
    <t>Support TF for PAMSIMAS III</t>
  </si>
  <si>
    <t>To increase the number of under-served rural and peri-urban populations accessing sustainable water supply and sanitation services</t>
  </si>
  <si>
    <t>Grant</t>
  </si>
  <si>
    <t>Impact
The project is expected to benefit 31,000 people by providing access to improved water and sanitation facilities, reducing under-5 mortality, and improving public health through better hygiene practices.
Improvement of Solid Waste Management Project
Overview
This project aims to enhance solid waste management services in urban areas across Indonesia, contributing to better environmental practices and supporting regional and metropolitan cities</t>
  </si>
  <si>
    <t>YOUTH ENTREPRENEURSHIP (YESS)</t>
  </si>
  <si>
    <t>encourages youth entrepreneurship by providing training, resources, and support for young entrepreneurs to develop their business ideas, fostering innovation and job creation.</t>
  </si>
  <si>
    <t>NON PROJECT TYPE GRANT AID</t>
  </si>
  <si>
    <t>This funding mechanism provides financial assistance without specific project requirements, allowing for flexible use in various sectors such as education, health, or infrastructure, aimed at addressing immediate needs and promoting development.</t>
  </si>
  <si>
    <t>Ministry of Industry</t>
  </si>
  <si>
    <t>BioCarbon Fund Initiative for Sustainable Forest Landscapes (BioCF ISFL) </t>
  </si>
  <si>
    <t>a. Support Indonesia's commitment to Green House Gas (GHG) emission reduction targets in the forestry and agricultural sectors.
b. Promote and reward GHG emission reductions and improve sequestration through improved land management, including REDD+, climate smart agriculture, and smarter land use planning and policies. Manage agricultural expansion and other land uses to minimize forest loss and GHG emissions.
c. Establish a portfolio of jurisdictional programs located in different geographical landscapes, thus significantly impacting and transforming rural areas through forest protection, degraded land restoration, improving agricultural productivity and through improving livelihood and the local environment.</t>
  </si>
  <si>
    <t>Ministry of Environment and Forestry</t>
  </si>
  <si>
    <t>Forestry</t>
  </si>
  <si>
    <t>1) GHG emissions reduction in the land use sector by (10% from baseline per year /± 3-million-ton Carbon dioxide equivalent (CO2eq)/year) or ± 18 million tons CO2eq in the year 2025.
2) Preparation of policies / instruments / regulations related to land-based GHG emission reduction.
3) The establishment of a yield-based financing mechanism for the reduction of land-based GHG emissions.</t>
  </si>
  <si>
    <t>BioCarbon Fund Initiative for Sustainable Forest Landscapes (BioCF ISFL)  Trust Fund</t>
  </si>
  <si>
    <t>Community-focused Investments to Address Deforestation and Forest Degradation Project</t>
  </si>
  <si>
    <t>The Project will focus on implementing community-centered REDD+ pilots, enhancing forest management units (FMUs), and aligning provincial policies with national objectives for improving forest carbon stocks. Key activities include assessing institutional capacities, engaging stakeholders, collecting baseline data, and conducting due diligence assessments. Expected outcomes include reduced greenhouse gas emissions and improved capacity for implementing REDD+ strategies at the sub-national level, ultimately benefiting local communities through poverty reduction, enhanced livelihoods, and better governance​</t>
  </si>
  <si>
    <t>The Community-Focused Investments to Address Deforestation and Forest Degradation project in Indonesia has significant environmental objectives and impacts, particularly in West Kalimantan. This region, a key part of the Heart of Borneo Initiative, is experiencing major challenges due to deforestation driven by factors such as commercial logging, agricultural expansion (especially palm oil), mining activities, and uncontrolled fires.</t>
  </si>
  <si>
    <t>FIP Promoting Sustainable Community Based Natural Resources Management and Institutional Development Project</t>
  </si>
  <si>
    <t>The development objective of the Promoting Sustainable Community Based Natural Resource Management and Institutional Development Project for Indonesia is to build institutions and local capacity to enhance partnerships and improve the decentralized management of forests. Some of the negative impacts and mitigation measures include: (1) public consultations facilitated by independent expert and institution with local communities, including members of Adat communities; (2) development of relevant regulations has to be done through public consultation process at least at provincial level with enough time and multi stakeholders (local government including Kesatuan Pengelolaan Hutan (KPH); academician, local and Adat community); (3) establishment of industrial non-timber forest products (NTFPs) processing facility should be done through participatory process; inclusive and effective community engagement; (4) waste management by business actor and unit; and (5) establishment of schemes for use of ecosystem services should be done through participatory process; inclusive and effective community engagement.</t>
  </si>
  <si>
    <t>Forest demarcation and changes in forest governance may directly modify communities’ access. If communities’ access to forests is being restricted in a demarcation or governance activity, the implementation of the activity will create direct impacts in the form of communities’ poorer access, a decrease in the number of livelihoods, poorer food and income, an increase in the unemployment rate, that have co-impacts on increased poverty and food insecurity.</t>
  </si>
  <si>
    <t>FOREST PROG -SUP FOR MIN FORES</t>
  </si>
  <si>
    <t>This program has been supported by KfW (Kreditanstalt für Wiederaufbau) and aims to enhance forest management while addressing climate change issues in Indonesia.</t>
  </si>
  <si>
    <t>Reducing Greenhouse Gas Emissions: The program focuses on strategies to minimize emissions from deforestation and forest degradation, aligning with the goals of the REDD+ initiative (Reducing Emissions from Deforestation and Forest Degradation)</t>
  </si>
  <si>
    <t>Forest Program IV</t>
  </si>
  <si>
    <t>The Forest Program IV aims to enhance forest conservation and sustainable management practices in Indonesia. It is part of a broader collaboration between the Indonesian government and the German government, focusing on strategies for reducing emissions and improving socio-economic conditions in forest-dependent communities. This program emphasizes community involvement and aims to strengthen institutional frameworks for forest management.</t>
  </si>
  <si>
    <t>To achieve this goal, 4 (four) outputs have been determined to be achieved during the implementation of FP IV, including; Strengthening Collaboration between Stakeholders to Improve Watershed Management (in the Mamasa Watershed) with indicators of reduced sedimentation, Strengthening forest management in selected KPHs at project locations to support watershed management with indicators of increased KPH management effectiveness, Empowering communities in selected villages to support management DAS with indicators for the formation of alternative community livelihoods, and Development and management of Gandang Dewata National Park with indicators of forest cover that can be maintained or increased</t>
  </si>
  <si>
    <t>Forest Program V – Social Forestry Support Project</t>
  </si>
  <si>
    <t>The activities of Forestry Program V (West Kalimantan, East Nusa Tenggara, West Java, and East Java Province) are divided into three components:
a. Capacity development in the partner organisation on national, regional and local level. The programme will support an efficient communication and coordination between relevant horizontal and vertical organisation structures.
b. Interventions directly in the Social Forestry areas or the community groups to mitigate carbon dioxide emissions and to improve the livelihood of the local people.
c. Support policy development and streamlining.</t>
  </si>
  <si>
    <t>a. Output
1) Capacity of institutions, organisations and individuals in facilitating and supporting implementation of the social forestry programme has improved:
i) Strengthen social forestry navigation and information system;
ii) Organise and implement sustainable forest management academy for decision makers;
iii) Strengthen capacity of SF facilitators and frontline provider;
iv) Strengthen capacity of conflict assessors and mediators;
v) Support harmonisation of SF policy.
2) Sustainable forest management and financially viable forest based livelihood and enterprise models are applied by local communities:
i) Strengthen institutional capacity of SF groups;
ii) Provide investments on SFM, livelihoods and community-based enterprise development;
iii) Create association of Social Forestry Business Groups.
b. Outcome
Social, ecological and economical sustainable management in selected forest areas in order to improve conditions of ecosystems and livelihood of local communities are applied by forest authorities and communities.</t>
  </si>
  <si>
    <t>Forest Program VI – Protection of Mangrove Forest</t>
  </si>
  <si>
    <t>Protection of Mangrove Forests in North Sumatera, East Kalimantan, and West Papua Province: a. Mangrove conservation, restoration, and sustainable management
b. Community development and livelihood
c. Spatial planning as well as policy and advocacy
d. Innovative as well as applied research and development
e. Establishment of a World Mangrove Centre</t>
  </si>
  <si>
    <t>On Going</t>
  </si>
  <si>
    <t>a. Output
1) Conservation, restoration, and sustainable management of mangrove forests
2) Community development and livelihoods
3) Spatial planning, policy and advocacy
4) Innovative as well as applied research and development
5) Establishment of a World Mangrove Centre
b. Outcome
Mangrove forests in the pilot regions are maintained and restored through social, ecological and economically sustainable management by forestry authorities and communities</t>
  </si>
  <si>
    <t>FOREST PROGRAMME II</t>
  </si>
  <si>
    <t>This program is intended to support developing countries' preparedness efforts in implementing REDD+, through providing financing to increase infrastructure and institutional readiness in order to help adapt to the impacts of climate change on forests, improve sustainable forest management (SFM) which reduces emissions and protection of carbon stores, as well as contributing to increasing access to the multi-benefits of forest resources, including conservation, biodiversity, protection of local community rights, poverty reduction, and increasing the welfare of rural communities</t>
  </si>
  <si>
    <t>his includes promoting sustainable forest management practices, reducing emissions, and protecting carbon stocks. The program also focuses on multi-benefit access to forest resources, which involves conservation, biodiversity protection, local community rights, poverty reduction, and improving rural livelihoods​</t>
  </si>
  <si>
    <t xml:space="preserve">Forest Programme III </t>
  </si>
  <si>
    <t>The programme location is in the upper watersheds of Palu/Lariang and Lore Lindu National Park. The Lore Lindu National Park is one of the largest remaining mountainous rain forests in Sulawesi and has high importance in terms of biodiversity and culture, as well as archaeological aspects. The park covers an area of 217,991 hectares and is the core zone of the Lore Lindu Biosphere Reserve.</t>
  </si>
  <si>
    <t>This program aims to investigate the potential of adding integrated watershed and biodiversity components for Sulawesi into the Indonesian – German REDD+ Programme. The objective is to contribute to the implementation of strategies for forest conservation and rehabilitation in order to reduce climate-relevant emissions and improve livelihoods of the rural poor (overall objective of Indonesian-German Forest Programmers)</t>
  </si>
  <si>
    <t>Strengthening of Social Forestry in Indonesia Project</t>
  </si>
  <si>
    <t>a. Policy and institutional strengthening to support social forestry.
1) Support the village and provincial development planning process and associated policies and guidelines.
2) Strengthen the policy framework for sustainable financing (e.g., decentralized fiscal transfers, micro-finance).
3) Consistent with one map policy, strengthen the policy and regulatory framework.
4) Incremental support for the operationalization of Social Forestry Task Force.
5) Incremental support for the grievances and conflict resolution mechanisms.
6) Support the establishment of village associations (lembaga desa). farmers groups, and customary institutions (lembaga adat).
7) Strengthen the institutional framework to expedite the issuance of land use rights to village associations, farmers groups and customary institutions.
8) Strengthen existing technical assistance (e.g., community facilitators) to forest-dependent communities.
9) Technical assistance and knowledge management.
b. Development and strengthening of social forestry.
1) Transfer of land use rights to communities.
2) Mapping and demarcation including zoning of different uses.
3) Development of management plans.
4) Implementation of the management plans (developed above).
5) Developing and implementing priority investments consistent with the management plans.
6) Development of small and micro community enterprises.
c. Project management and Monitoring and Evaluation (M&amp;E).</t>
  </si>
  <si>
    <t>1) Transfer and improved management of at least 300,000 ha of degraded lands.
2) Improve the protocols and information base for scaling up of Social Forestry schemes to meet the overall target of the Social Forestry Program.
3) Contribute to the conservation of biodiversity, especially through the protection of corridors and improved management of buffer zones to important and critical habitats.</t>
  </si>
  <si>
    <t>GEF</t>
  </si>
  <si>
    <t xml:space="preserve">Emission Reduction in Cities: Solid Waste Management </t>
  </si>
  <si>
    <t>Emission reduction in cities through solid waste management involves implementing various strategies to minimize greenhouse gas emissions associated with waste disposal and treatment. Key approaches include promoting waste reduction through recycling and composting to decrease overall waste generation. Additionally, managing organic waste through anaerobic digestion can convert it into biogas, significantly reducing methane emissions. Waste-to-energy technologies that transform waste into energy further help decrease reliance on landfills and lower emissions.</t>
  </si>
  <si>
    <t>waste reduction through recycling and composting to decrease overall waste generation</t>
  </si>
  <si>
    <t>Feasibility Study - Advanced Solid Waste Management</t>
  </si>
  <si>
    <t>A feasibility study for advanced solid waste management evaluates the practicality and effectiveness of implementing modern waste management technologies and practices. It assesses various factors, including technical, economic, environmental, and social aspects. The study typically analyzes existing waste generation patterns, potential treatment methods (such as recycling, composting, and waste-to-energy), and infrastructure requirements. It also examines costs, regulatory compliance, and community acceptance. The ultimate aim is to determine whether the proposed advanced solid waste management system can efficiently reduce waste, minimize environmental impact, and promote sustainability in the target area.</t>
  </si>
  <si>
    <t>evaluates the practicality and effectiveness of implementing modern waste management technologies and practices</t>
  </si>
  <si>
    <t>SUPPORT TF PAMSIMAS III: NSUP</t>
  </si>
  <si>
    <t>INTEGRATED PARTICIPATORY DEVELOPMENT AND MANAGEMENT OF THE IRRIGATION SECTOR PROJECT</t>
  </si>
  <si>
    <t>The Project has four components: C1: Strengthened Policy and Institutional Frameworks for Irrigated Agriculture;C2:
Improved Irrigation System Management; C3: Improved Irrigation Infrastructure; C4: Increased Irrigated Agricultural
Incomes. The IFAD loan finances activities under C4 led by the Ministry of Agriculture (MoA) and the IFAD grant supports
policy activities led by the Ministry of National Development Planning (Bappenas) under C1. The ADB loan, which adopts
a Result Based Lending (RBL) modality, focusses on irrigation activities led by the Ministry of Public Works and Housing
(MoPWH) and includes the Ministry of Home Affaires (MoHA) as an implementing agency.</t>
  </si>
  <si>
    <t>The goal of the IPDMIP is to improve food security and livelihoods in rural Indonesia, and its development objective is to
increase the value of sustainable irrigated agriculture. The Project covers 74 districts in 16 provinces, where most
activities are managed at the sub-national level. Funds are channelled from national government to the province and
district governments using an on-granting mechanism</t>
  </si>
  <si>
    <t>Jakarta Sewerage Development Project (Zone 1)</t>
  </si>
  <si>
    <t>The Jakarta Sewerage Development Project (Zone 1) is a major infrastructure initiative aimed at improving the sewage management system in Jakarta, Indonesia. Zone 1 refers to a specific area within the city where modern sewerage facilities, including wastewater treatment plants and sewage pipelines, are being developed. The project seeks to address the city's growing sanitation challenges due to rapid urbanization, including inadequate wastewater treatment and pollution of water bodies.</t>
  </si>
  <si>
    <t>KOMERING IRRIGATION II-2</t>
  </si>
  <si>
    <t>The Komering Irrigation II-2 project refers to a phase of the irrigation development in the Komering area, located in South Sumatra, Indonesia. This project is part of a broader initiative to expand and improve irrigation systems in the region to support agricultural productivity, particularly rice farming.</t>
  </si>
  <si>
    <t>rice farming.</t>
  </si>
  <si>
    <t>PARTICIP.IRRIG.REHAB &amp; IMPROV</t>
  </si>
  <si>
    <t>"Participatory Irrigation Rehabilitation and Improvement" (PIR) refers to a project or initiative focused on the rehabilitation and enhancement of irrigation systems with the active involvement of local communities and water user associations (WUAs).</t>
  </si>
  <si>
    <t>IRRIGATION SYSTEM EAST IND 2</t>
  </si>
  <si>
    <t>The "Irrigation System East Indonesia 2" project refers to efforts aimed at improving irrigation infrastructure in the eastern regions of Indonesia. These initiatives typically involve building and rehabilitating irrigation facilities to increase food production, particularly rice, and enhance agricultural productivity. </t>
  </si>
  <si>
    <t>rehabilitating irrigation facilities to increase food production, particularly rice, and enhance agricultural productivity. </t>
  </si>
  <si>
    <t>ADD.LOAN JATIGEDE DAM PROJECT</t>
  </si>
  <si>
    <t>The ADD.LOAN Jatigede Dam Project refers to a loan agreement aimed at supporting the construction of the Jatigede Dam, which is one of Indonesia's major infrastructure projects. Located in West Java, this multipurpose dam is primarily designed for irrigation, water supply, flood control, and power generation. It plays a key role in providing water for agriculture and managing water resources in the region.</t>
  </si>
  <si>
    <t>The dam will meet the electricity needs of approximately 500,000 households and will help ensure a secure power supply to the Java grid, increasing the proportion of clean and renewable energy, promoting economic development, and improving livelihoods in Indonesia</t>
  </si>
  <si>
    <t>CHINA</t>
  </si>
  <si>
    <t>EXIM BANK OF CHINA</t>
  </si>
  <si>
    <t>AF ITDP</t>
  </si>
  <si>
    <t>ITDP is an organization focused on promoting sustainable and inclusive transportation solutions across the world. In Indonesia, they work on projects related to public transport, cycling, walking, traffic reduction, and sustainable urban development.</t>
  </si>
  <si>
    <t>FS SWRGE DVLPMNT
OPTIM BANDUNG</t>
  </si>
  <si>
    <t xml:space="preserve">FS SWRGE Development Optim Bandung refers to a project focused on optimizing the development of surface water resources and managing water supply in the Bandung area. The initiative aims to enhance water resource management through improved infrastructure, efficient distribution systems, and sustainable practices. </t>
  </si>
  <si>
    <t>feasibility study</t>
  </si>
  <si>
    <t>Scaling-Up BMKG Climate and Weather Service Capacity (SUS)</t>
  </si>
  <si>
    <t>The project Scaling-Up BMKG Climate and Weather Service Capacity (SUS) is an initiative involving the Indonesian Agency for Meteorology, Climatology, and Geophysics (BMKG) and funded by France. The project aims to enhance Indonesia's capabilities in providing weather and climate services, including the implementation of impact-based forecasting to support various sectors affected by weather patterns.</t>
  </si>
  <si>
    <t>The project's expected impact includes:
Improved reliability and timeliness of weather forecasts, contributing to better preparedness for climate-related disasters.
Enhanced capacity for providing climate information, which supports various sectors by reducing risks and improving resilience to climate change.
Training and education initiatives leading to higher proficiency within BMKG, fostering a more skilled workforce capable of addressing the challenges posed by climate variability.</t>
  </si>
  <si>
    <t>Urban Flood Control System Improvement in Selected Cities (Phase 2)</t>
  </si>
  <si>
    <t>The Urban Flood Control System Improvement in Selected Cities (Phase 2) project aims to enhance flood management infrastructure in various urban areas to reduce the impact of flooding. This phase focuses on upgrading and expanding flood control systems, such as drainage networks, floodgates, and retention basins, in cities that are vulnerable to heavy rainfall and flooding.</t>
  </si>
  <si>
    <t>Sustainability Energy Fund - Solar Panel Incentive (Global Environmental Facility)</t>
  </si>
  <si>
    <t>It is an initiative led by the Global Environment Facility (GEF) to promote sustainable urban development in cities around the world. The Sustainable Cities Impact Program (SICP) specifically focuses on helping cities adopt sustainable practices in areas like energy, transport, waste management, water, and land use, with the goal of reducing greenhouse gas emissions and improving the overall environmental sustainability of urban areas.</t>
  </si>
  <si>
    <t>2021</t>
  </si>
  <si>
    <t>Renewable Energy</t>
  </si>
  <si>
    <t>reducing greenhouse gas emissions and improving the overall environmental sustainability of urban areas. •	GHG reduction (19,511 tons CO2e),
•	electricity generated +19,692 Mwh
•	Economy (electricity bill savings, green jobs)
•	Increased public awareness.</t>
  </si>
  <si>
    <t>World Bank Technical Assistance</t>
  </si>
  <si>
    <t>3 main objectives, namely building an Information Management system, building a Communication Strategy and Increasing BPDLH's operational capacity.</t>
  </si>
  <si>
    <t>Indonesia Environmental Fund / BPDLH</t>
  </si>
  <si>
    <t>2022</t>
  </si>
  <si>
    <t>Ford Foundation Community Based Program Dana TERRA</t>
  </si>
  <si>
    <t>To support sustainable Livelihood in Forest</t>
  </si>
  <si>
    <t>•	Increasing the capacity of communities around the forest;
•	Support the development of natural resource research and community service activities with the support of universities:
•	19 Community Service Teams (from 16 Universities);
•	13 research teams (from 12 universities)
•	Development of forest farmer business models;</t>
  </si>
  <si>
    <t>Ford Foundation</t>
  </si>
  <si>
    <t>FOLU Cooperation with Norway</t>
  </si>
  <si>
    <t>To support FOLU Net Sink 2030 to develop a climate-resilient low carbon development.</t>
  </si>
  <si>
    <t>folu netsink</t>
  </si>
  <si>
    <t>Norway</t>
  </si>
  <si>
    <t>UNDP GCF REDD+ Result-based Payment - Green Climate Fund</t>
  </si>
  <si>
    <t>•	GHG emission reduction of 20.7 million tons of CO2e;
•	Increasing the capacity of local governments in efforts to overcome climate issues;
•	And the Indonesian government can again get incentives for reducing emissions</t>
  </si>
  <si>
    <t>UNDP</t>
  </si>
  <si>
    <t>Community Based Program Dana TERRA</t>
  </si>
  <si>
    <t>Reduced GHG emissions by approximately 19,511 tons of CO2e. Generated an additional 19,692 MWh of electricity.
Provided economic benefits such as savings on electricity bills and the creation of green jobs. Helped raise public awareness about renewable energy and its importance for environmental sustainability</t>
  </si>
  <si>
    <t>Project Mangrove for Coastal Resilience (M4CR) Grants</t>
  </si>
  <si>
    <t>The development objective of Mangroves for Coastal Resilience Project for Indonesia is to enhance the management of mangroves and livelihoods of local communities in selected areas. This project has four components. 1) The first component, Strengthening Policy and Institutions for Mangrove Management, has the following sub-components: (i) Strengthening Policy, Governance, and Coordination; (ii) Improving and Updating the National Mangrove Map; (iii) Registration and Monitoring of Mangrove Rehabilitation and Sustainable Mangrove Management; and (iv) Preparation of Mangrove Blue Carbon Offset Readiness. 2) The second component, Rehabilitating and Promoting Sustainable Mangrove Management, has the following sub-components: (i) Large-Scale Community-Based Mangrove Rehabilitation; and (ii) Sustainable Mangrove Management. 3) The third component, Improving Livelihood Opportunities for Mangrove Communities, has the following sub-components: (i) Promoting Community-Based Livelihoods; and (ii) Coastal Enterprise Development. 4) The fourth component, Operation Management, will support project management and coordination activities to ensure that the project is effectively managed and in accordance with fiduciary and environment and social risk management requirements.</t>
  </si>
  <si>
    <t>Component 1: Strengthening Policy and Institutions for Mangrove Management, highlighting key indicators and their statuses.
1. Readiness Requirements for a Blue Carbon Program: The readiness criteria include having a reference emissions level, a framework for monitoring mangrove cover change, a benefit-sharing mechanism, and a program design document based on internationally recognized standards.
2. Updated National Mangrove Map (PMN) Operational: The map's operationalization includes three steps: incorporating updated information from the project into the PMN, reviewing and formalizing the PMN by relevant authorities, and making the PMN publicly available.
3. Multi-sectoral Mangrove Coordination Bodies: Coordination bodies at both the national and subnational levels are considered operational if they meet four criteria: having Terms of Reference (ToR), meeting at least twice a year, preparing annual reports, and receiving a government decree for official establishment.</t>
  </si>
  <si>
    <t>The Green Climate Fund (GCF) is a funding mechanism under the United Nations Framework Convention on Climate Change (UNFCCC) which was specifically established to provide financial support to developing countries to reduce emissions</t>
  </si>
  <si>
    <t>GCF</t>
  </si>
  <si>
    <t>Sustainability Energy Fund (SEF)- Solar Panel Incentive (Global Environmental Facility)</t>
  </si>
  <si>
    <r>
      <t xml:space="preserve">Notation keys: NA = not applicable; UA = information not available at the time of reporting; NR = not reported (to indicate the voluntary character of the information).
</t>
    </r>
    <r>
      <rPr>
        <vertAlign val="superscript"/>
        <sz val="11"/>
        <color theme="1"/>
        <rFont val="Calibri"/>
        <family val="2"/>
        <scheme val="minor"/>
      </rPr>
      <t>a</t>
    </r>
    <r>
      <rPr>
        <sz val="11"/>
        <color theme="1"/>
        <rFont val="Calibri"/>
        <family val="2"/>
        <scheme val="minor"/>
      </rPr>
      <t xml:space="preserve">  Developing country Parties should provide, in common tabular format, information on financial support received, to the extent possible, as available and as applicable.
</t>
    </r>
    <r>
      <rPr>
        <vertAlign val="superscript"/>
        <sz val="11"/>
        <color theme="1"/>
        <rFont val="Calibri"/>
        <family val="2"/>
        <scheme val="minor"/>
      </rPr>
      <t>b</t>
    </r>
    <r>
      <rPr>
        <sz val="11"/>
        <color theme="1"/>
        <rFont val="Calibri"/>
        <family val="2"/>
        <scheme val="minor"/>
      </rPr>
      <t xml:space="preserve">  Parties include information on support received, ongoing or planned since the previous BTR.
</t>
    </r>
    <r>
      <rPr>
        <vertAlign val="superscript"/>
        <sz val="11"/>
        <color theme="1"/>
        <rFont val="Calibri"/>
        <family val="2"/>
        <scheme val="minor"/>
      </rPr>
      <t>c</t>
    </r>
    <r>
      <rPr>
        <sz val="11"/>
        <color theme="1"/>
        <rFont val="Calibri"/>
        <family val="2"/>
        <scheme val="minor"/>
      </rPr>
      <t xml:space="preserve">  Parties provide the underlying assumptions, definitions and methodologies, as applicable, used to identify and/or report this reporting parameter in the respective section of the BTR.
</t>
    </r>
    <r>
      <rPr>
        <vertAlign val="superscript"/>
        <sz val="11"/>
        <color theme="1"/>
        <rFont val="Calibri"/>
        <family val="2"/>
        <scheme val="minor"/>
      </rPr>
      <t>d</t>
    </r>
    <r>
      <rPr>
        <sz val="11"/>
        <color theme="1"/>
        <rFont val="Calibri"/>
        <family val="2"/>
        <scheme val="minor"/>
      </rPr>
      <t xml:space="preserve">  If “other”, Parties should specify this information.
</t>
    </r>
    <r>
      <rPr>
        <vertAlign val="superscript"/>
        <sz val="11"/>
        <color theme="1"/>
        <rFont val="Calibri"/>
        <family val="2"/>
        <scheme val="minor"/>
      </rPr>
      <t xml:space="preserve">e   </t>
    </r>
    <r>
      <rPr>
        <sz val="11"/>
        <color theme="1"/>
        <rFont val="Calibri"/>
        <family val="2"/>
        <scheme val="minor"/>
      </rPr>
      <t xml:space="preserve">This refers to funding for activities that have both mitigation and adaptation components.
</t>
    </r>
    <r>
      <rPr>
        <vertAlign val="superscript"/>
        <sz val="11"/>
        <color theme="1"/>
        <rFont val="Calibri"/>
        <family val="2"/>
        <scheme val="minor"/>
      </rPr>
      <t xml:space="preserve">f  </t>
    </r>
    <r>
      <rPr>
        <sz val="11"/>
        <color theme="1"/>
        <rFont val="Calibri"/>
        <family val="2"/>
        <scheme val="minor"/>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</si>
  <si>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b/>
        <sz val="14"/>
        <color rgb="FF000000"/>
        <rFont val="Calibri"/>
        <family val="2"/>
      </rPr>
      <t xml:space="preserve">Table III.8 Information on </t>
    </r>
    <r>
      <rPr>
        <b/>
        <sz val="14"/>
        <color rgb="FF0070C0"/>
        <rFont val="Calibri"/>
        <family val="2"/>
      </rPr>
      <t>technology development and transfer support needed</t>
    </r>
    <r>
      <rPr>
        <b/>
        <sz val="14"/>
        <color rgb="FF000000"/>
        <rFont val="Calibri"/>
        <family val="2"/>
      </rPr>
      <t xml:space="preserve"> by developing country Parties under Article 10 of the Paris Agreement</t>
    </r>
    <r>
      <rPr>
        <b/>
        <vertAlign val="superscript"/>
        <sz val="14"/>
        <color rgb="FF000000"/>
        <rFont val="Calibri"/>
        <family val="2"/>
      </rPr>
      <t>a, b</t>
    </r>
  </si>
  <si>
    <r>
      <rPr>
        <b/>
        <sz val="11"/>
        <rFont val="Calibri"/>
        <family val="2"/>
      </rPr>
      <t>Sector</t>
    </r>
    <r>
      <rPr>
        <b/>
        <vertAlign val="superscript"/>
        <sz val="11"/>
        <rFont val="Calibri"/>
        <family val="2"/>
      </rPr>
      <t>c</t>
    </r>
  </si>
  <si>
    <r>
      <rPr>
        <b/>
        <sz val="11"/>
        <rFont val="Calibri"/>
        <family val="2"/>
      </rPr>
      <t>Subsector</t>
    </r>
    <r>
      <rPr>
        <b/>
        <vertAlign val="superscript"/>
        <sz val="11"/>
        <rFont val="Calibri"/>
        <family val="2"/>
      </rPr>
      <t>c</t>
    </r>
  </si>
  <si>
    <r>
      <rPr>
        <b/>
        <sz val="11"/>
        <rFont val="Calibri"/>
        <family val="2"/>
      </rPr>
      <t>Title of activity, programme, project or other</t>
    </r>
    <r>
      <rPr>
        <b/>
        <vertAlign val="superscript"/>
        <sz val="11"/>
        <rFont val="Calibri"/>
        <family val="2"/>
      </rPr>
      <t>c,</t>
    </r>
    <r>
      <rPr>
        <b/>
        <sz val="11"/>
        <rFont val="Calibri"/>
        <family val="2"/>
      </rPr>
      <t xml:space="preserve"> </t>
    </r>
    <r>
      <rPr>
        <b/>
        <vertAlign val="superscript"/>
        <sz val="11"/>
        <rFont val="Calibri"/>
        <family val="2"/>
      </rPr>
      <t>d</t>
    </r>
  </si>
  <si>
    <r>
      <rPr>
        <b/>
        <sz val="11"/>
        <rFont val="Calibri"/>
        <family val="2"/>
      </rPr>
      <t>Programme/project description</t>
    </r>
    <r>
      <rPr>
        <b/>
        <vertAlign val="superscript"/>
        <sz val="11"/>
        <rFont val="Calibri"/>
        <family val="2"/>
      </rPr>
      <t>c</t>
    </r>
  </si>
  <si>
    <r>
      <rPr>
        <b/>
        <sz val="11"/>
        <rFont val="Calibri"/>
        <family val="2"/>
      </rPr>
      <t>Type of support</t>
    </r>
    <r>
      <rPr>
        <b/>
        <vertAlign val="superscript"/>
        <sz val="11"/>
        <rFont val="Calibri"/>
        <family val="2"/>
      </rPr>
      <t>c</t>
    </r>
  </si>
  <si>
    <r>
      <rPr>
        <b/>
        <sz val="11"/>
        <rFont val="Calibri"/>
        <family val="2"/>
      </rPr>
      <t>Type of technology</t>
    </r>
    <r>
      <rPr>
        <b/>
        <vertAlign val="superscript"/>
        <sz val="11"/>
        <rFont val="Calibri"/>
        <family val="2"/>
      </rPr>
      <t>c</t>
    </r>
  </si>
  <si>
    <r>
      <rPr>
        <b/>
        <sz val="11"/>
        <rFont val="Calibri"/>
        <family val="2"/>
      </rPr>
      <t>Expected time frame</t>
    </r>
    <r>
      <rPr>
        <b/>
        <vertAlign val="superscript"/>
        <sz val="11"/>
        <rFont val="Calibri"/>
        <family val="2"/>
      </rPr>
      <t>c</t>
    </r>
  </si>
  <si>
    <r>
      <rPr>
        <b/>
        <sz val="11"/>
        <rFont val="Calibri"/>
        <family val="2"/>
      </rPr>
      <t>Expected use, impact and estimated results</t>
    </r>
    <r>
      <rPr>
        <b/>
        <vertAlign val="superscript"/>
        <sz val="11"/>
        <rFont val="Calibri"/>
        <family val="2"/>
      </rPr>
      <t>c</t>
    </r>
  </si>
  <si>
    <r>
      <rPr>
        <b/>
        <sz val="11"/>
        <rFont val="Calibri"/>
        <family val="2"/>
      </rPr>
      <t>Additional information</t>
    </r>
    <r>
      <rPr>
        <b/>
        <vertAlign val="superscript"/>
        <sz val="11"/>
        <rFont val="Calibri"/>
        <family val="2"/>
      </rPr>
      <t>f</t>
    </r>
  </si>
  <si>
    <r>
      <rPr>
        <sz val="11"/>
        <color rgb="FF000000"/>
        <rFont val="Calibri"/>
        <family val="2"/>
      </rPr>
      <t>Energy 
Transport 
Industry 
Agriculture 
Forestry
Water and sanitation
Cross-cutting 
Other (specify)</t>
    </r>
    <r>
      <rPr>
        <vertAlign val="superscript"/>
        <sz val="11"/>
        <color rgb="FF000000"/>
        <rFont val="Calibri"/>
        <family val="2"/>
      </rPr>
      <t>d</t>
    </r>
  </si>
  <si>
    <r>
      <rPr>
        <sz val="11"/>
        <color theme="1"/>
        <rFont val="Calibri"/>
        <family val="2"/>
        <scheme val="minor"/>
      </rPr>
      <t>Adaptation Mitigation 
Cross-cutting</t>
    </r>
    <r>
      <rPr>
        <vertAlign val="superscript"/>
        <sz val="11"/>
        <rFont val="Calibri"/>
        <family val="2"/>
      </rPr>
      <t>e</t>
    </r>
  </si>
  <si>
    <t>New and renewable energy generation development program</t>
  </si>
  <si>
    <t>Improvement and development of PLTS</t>
  </si>
  <si>
    <t>PLTS</t>
  </si>
  <si>
    <t>2025-2030</t>
  </si>
  <si>
    <t>Contribute to the target of developing new renewable energy sources (solar resources) for electric power, namely 6.5 GW in 2025 and 14.2 GW in 2030.</t>
  </si>
  <si>
    <t>Source of reference: Directorate of Aneka RNE, Ministry of Energy and Mineral Resource (MoEMR)</t>
  </si>
  <si>
    <t>Improvement and development of  PLTA/M/MH</t>
  </si>
  <si>
    <t>PLTA/M/MH</t>
  </si>
  <si>
    <t xml:space="preserve">Contribute to the target of developing new renewable energy sources (water resources) for electric power, namely 18 GW in 2025 and 22 GW in 2030.
Contribute to the target of developing new renewable energy sources (minihydro/microhydro) for electric power, namely 3 GW in 2025 and 3.8 GW in 2030.
</t>
  </si>
  <si>
    <t>Improvement and development of Coal Gasification PLT</t>
  </si>
  <si>
    <t>Coal Gasification PLT</t>
  </si>
  <si>
    <t>Contribute to achieving final energy needs for industrial fuel, from synthetic gas (including coal gasification) around 26.6 MTOE in 2025 and 34.6 MTOE in 2030</t>
  </si>
  <si>
    <t>Installation of Solar Charged E-Vehicle System in Indonesia</t>
  </si>
  <si>
    <t>- Provision of Electric Cars and Electric Car Service Centers 
- Provision of EV Chargers including Fast Chargers 
- Electric Car Education and Training 
- Provision of Equipment and Construction of 3 integrated electric vehicle charging stations 
- Establishment of Two
-Wheeled Electric Motorcycle Service Centers 
- Provision of Electric Motorcycles (e- scooter)</t>
  </si>
  <si>
    <t>EV &amp; EV infrastructure</t>
  </si>
  <si>
    <t>2022 - 2026</t>
  </si>
  <si>
    <t>Contribute to reducing the use of fossil fuel and reducing GHG emissions from the transportation sub-sector</t>
  </si>
  <si>
    <t>Directorate of Energy conservation, MoEMR</t>
  </si>
  <si>
    <t>SINAR (Sustainable Energy for Indonesia's Advancing Resilience)</t>
  </si>
  <si>
    <t>- Preparation of Market Survey Study and Optimization Guide for Industrial Boilers.</t>
  </si>
  <si>
    <t>Boiler Optimization Guideline</t>
  </si>
  <si>
    <t>2021 - 2025</t>
  </si>
  <si>
    <t>Contribute to reducing GHG emissions</t>
  </si>
  <si>
    <t>Indonesia Denmark Energy Partnership Programme (INDODEPP)</t>
  </si>
  <si>
    <t>- Preparation of Technology Catalogue for the Industrial Sector</t>
  </si>
  <si>
    <t xml:space="preserve"> Technology Catalogue</t>
  </si>
  <si>
    <t>2020 - 2025</t>
  </si>
  <si>
    <t>Requires facilitation of satellite use for MRV</t>
  </si>
  <si>
    <t>Providing better satellite access to observe agricultural conditions that will be quantified in the form of emissions. This satellite will provide near real-time data so that it will be more valid. In addition, ground checks are also needed to validate satellite data.</t>
  </si>
  <si>
    <t>Satellite and Laboratory - Information System as the goal</t>
  </si>
  <si>
    <t>2025 - 2030</t>
  </si>
  <si>
    <t>Contribute to improvement and quaility of spatial data that can be benefecial for MRV in near future</t>
  </si>
  <si>
    <t>BSIP, Ministry of Agriculture</t>
  </si>
  <si>
    <t>Emission Calculator</t>
  </si>
  <si>
    <t>Current calculations still use Excel, simple and capable tools are needed so that calculations can be carried out by stakeholders themselves down to the farmer and livestock group level.</t>
  </si>
  <si>
    <t>Information Systems</t>
  </si>
  <si>
    <t>Eddy covariance equipment</t>
  </si>
  <si>
    <t>Eddy covariance (also known as eddy correlation and eddy flux) is a primary atmospheric measurement technique for measuring and quantifying vertical turbulent fluxes in the atmospheric boundary layer. It analyzes high-frequency wind data and atmospheric series of scalars, gases, energy, and momentum,[1] yielding flux values of these properties. It is a statistical method used in meteorology and other applications (micrometeorology, oceanography, hydrology, agricultural sciences, industrial and regulatory applications, etc.) to determine the rates of trace gas exchange over natural ecosystems and agricultural lands, and to quantify the rates of gas emissions from land and other bodies of water. It is often used to estimate momentum, heat, water vapor, carbon dioxide, and methane fluxes.</t>
  </si>
  <si>
    <t>Laboratory equipment</t>
  </si>
  <si>
    <t>2025 -2030</t>
  </si>
  <si>
    <t>Contribute to improvement and quaility of statistical data that can be benefecial for calculation in near future</t>
  </si>
  <si>
    <t>Technology for sustainable intensification practices</t>
  </si>
  <si>
    <t>Sustainability technology in the agricultural sector to achieve high production that is environmentally friendly and sustainable such as organic farming, use of AWD, SRI, PTT etc.</t>
  </si>
  <si>
    <t>Cross-cutting</t>
  </si>
  <si>
    <t>Appropriate technology</t>
  </si>
  <si>
    <t>Contribute to reducing GHG emissions in achieving NDC target in agriculture sector</t>
  </si>
  <si>
    <t>Technology for developing high yield and low emission varieties</t>
  </si>
  <si>
    <t>High-yielding seeds to achieve food fulfillment, especially rice, and have low emission values. It is necessary to assemble these varieties</t>
  </si>
  <si>
    <t>Superior varieties</t>
  </si>
  <si>
    <t>BSIP, Directorate General of Food Crops</t>
  </si>
  <si>
    <t>Balanced fertilizer application and technology for restoring soil fertility</t>
  </si>
  <si>
    <t>use of fertilizer for agricultural land according to recommendations based on plant needs by conducting an initial assessment based on soil nutrient status.</t>
  </si>
  <si>
    <t>Organic fertilizer</t>
  </si>
  <si>
    <t>BSIP</t>
  </si>
  <si>
    <t>Manure management (biogas, organic fertilizer, etc)</t>
  </si>
  <si>
    <t>Utilization of livestock waste which is processed into energy sources and organic fertilizers or other products which are more environmentally friendly and implement the zero waste concept.</t>
  </si>
  <si>
    <t>Animal waste processing</t>
  </si>
  <si>
    <t>BSIP, Director General of PKH</t>
  </si>
  <si>
    <t>Technology for increasing grassland productivity and feed quality for livestock</t>
  </si>
  <si>
    <t>utilization of marginal land into livestock grazing land that provides livestock feed will increase the value of land use and increase livestock yields. In addition, increasing livestock digestibility through the provision of high-quality feed ingredients will increase weight results and reduce emissions by increasing feed digestibility.</t>
  </si>
  <si>
    <t>Quality animal feed</t>
  </si>
  <si>
    <t>Increasing Carbon Stock from horticulture and Estate Crop</t>
  </si>
  <si>
    <t>Agriculture has the potential to increase carbon stocks through planting annual fruit crops and plantation crops. Planting on abandoned and degraded land will increase carbon stocks.</t>
  </si>
  <si>
    <t>planting crops on degraded abandoned land</t>
  </si>
  <si>
    <t>BSIP, Director General of Horticulture, Director General of Plantations</t>
  </si>
  <si>
    <t xml:space="preserve">Cross-cutting </t>
  </si>
  <si>
    <t>Domestic Solid Waste</t>
  </si>
  <si>
    <t>Sanitary landfill and LFG Recovery</t>
  </si>
  <si>
    <t>The implementation of Landfill Gas (LFG) recovery which is supported with the rehabilitation of an open dumping TPA into a sanitary landfill and equipped with methane gas utilisation.
Since most of the final waste processing in Indonesia uses landfilling, LFG Recovery is a potential mitigation action in the solid waste sector. Emission reduction is obtained from (a) methane destruction and (b) replacement of fossil energy for electricity and/or thermal. Waste to energy activities through methane recovery has been started from several CDM projects in the early 2000s, but are constrained by the current low carbon price.</t>
  </si>
  <si>
    <t>LFG Recovery Plant</t>
  </si>
  <si>
    <t>1.5 million ton CO2-eq reduction comes from LFG utilisation for &gt;5,900 household and &gt;45 MW LFG power.</t>
  </si>
  <si>
    <t>Semi Aerob Landfill and LFG recovery</t>
  </si>
  <si>
    <t>The implementation of Landfill Gas (LFG) at semi aerobic landfill. Semi-aerobic landfills do not produce enough methane to generate electricity. Maybe only enough for thermal use (cooking).</t>
  </si>
  <si>
    <t>In-Vessel Composting</t>
  </si>
  <si>
    <t xml:space="preserve">A group of methods that confine the composting materials within a building, container, or vessel. </t>
  </si>
  <si>
    <r>
      <rPr>
        <sz val="11"/>
        <color theme="1"/>
        <rFont val="Calibri"/>
        <family val="2"/>
        <scheme val="minor"/>
      </rPr>
      <t>Mitigation</t>
    </r>
  </si>
  <si>
    <t>Biological treatment of Solid Waste</t>
  </si>
  <si>
    <t>Treatment of waste by composting 3.7 million ton MSW</t>
  </si>
  <si>
    <t>Composting (open window system)</t>
  </si>
  <si>
    <t>The production of compost by piling organic matter or biodegradable waste</t>
  </si>
  <si>
    <t>Bio digester - Low and High Solid</t>
  </si>
  <si>
    <t>A tank that digest organic material biologically, transform organic waste into renewable energy</t>
  </si>
  <si>
    <t>The impact includes reducing landfill reliance, lowering greenhouse gas emissions, and producing renewable energy</t>
  </si>
  <si>
    <t>Industrial and Domestic Solid Waste</t>
  </si>
  <si>
    <t>MBT (Mechanical Biological treatment)</t>
  </si>
  <si>
    <t xml:space="preserve">A type of waste processing facility that combines a sorting facility with a form of biological treatment such as composting or anaerobic digestion. </t>
  </si>
  <si>
    <t>Mechanical Biological treatment</t>
  </si>
  <si>
    <t>The end products include RDF, which can be used for energy generation, and reduced landfill volume. This technology helps mitigate landfill emissions and promotes recycling and resource recovery</t>
  </si>
  <si>
    <t xml:space="preserve">Thermal Conversion: Mass-fired combustion; RDF-fired combustion; Fluidised bed combustion </t>
  </si>
  <si>
    <t>Thermal processing of solid waste, either to produce fuel, or directly burned (without or with energy recovery)</t>
  </si>
  <si>
    <t xml:space="preserve">Thermal Conversion </t>
  </si>
  <si>
    <t>The PLTSa/RDF facilities is to treat 4.6 million ton MSW to avoid 1.9 million ton CO2-eq</t>
  </si>
  <si>
    <t>Gasification technology: Vertical fixed bed; Fluidised bed</t>
  </si>
  <si>
    <t>A chemical process that involves heating trash in a low-oxygen environment to break it down into its constituent molecules</t>
  </si>
  <si>
    <t>This advanced technology enhances efficiency by maintaining a consistent reaction environment. Improves syngas quality, contributing to better energy recovery and lower environmental impacts.</t>
  </si>
  <si>
    <t>Pyrolysis technology: Fluidised bed</t>
  </si>
  <si>
    <t>Pyrolysis is a viable thermochemical conversion (TCC) process to convert waste plastics into useful chemicals and alternative energy.</t>
  </si>
  <si>
    <t>This method thermally decomposes organic materials without oxygen at high temperatures. It produces bio-oil, syngas, and char, which can be used as fuel or for chemical production. Pyrolysis reduces the volume of waste and generates valuable by-products while emitting fewer pollutants compared to traditional incineration.</t>
  </si>
  <si>
    <t>Aerated, centralised domestic liquid waste  treatment</t>
  </si>
  <si>
    <t>Centralized domestic wastewater treatment with aerobic system</t>
  </si>
  <si>
    <r>
      <rPr>
        <sz val="11"/>
        <color theme="1"/>
        <rFont val="Calibri"/>
        <family val="2"/>
        <scheme val="minor"/>
      </rPr>
      <t xml:space="preserve">Mitigation 
</t>
    </r>
  </si>
  <si>
    <t>Aerobic wastewater treatment</t>
  </si>
  <si>
    <t>Effectively reduces nutrient pollution, supporting ecosystem health and resource conservation.</t>
  </si>
  <si>
    <t>Integrated domestic liquid waste treatment</t>
  </si>
  <si>
    <t>Sludge removal and treatment</t>
  </si>
  <si>
    <t>By integrating multiple systems, it enhances overall efficiency, reduces environmental impacts, and enables water recycling, thus contributing to sustainable water management practices.</t>
  </si>
  <si>
    <t>Providing more water sources through pumping, piping, reservoirs and ditches</t>
  </si>
  <si>
    <t>Improvement of Mobile Air Quality Monitoring System and Instrument (Sistem dan Instrumen Pemantauan Kualitas Udara Bergerak - SIPUBER)</t>
  </si>
  <si>
    <t>SIPUBER is an air pollution detector installed in Gojek vehicles and in the Trans Semarang fleet. This project is a collaboration between BRIN, the Semarang City Government (Pemkot), and Gojek (online car/bike hire service).</t>
  </si>
  <si>
    <t>Availability of air quality information that can be used for various purposes by related parties</t>
  </si>
  <si>
    <t>Ecosystem</t>
  </si>
  <si>
    <t>Development of a monitoring system for the utilization of environmental services</t>
  </si>
  <si>
    <t>This program is carried out to ensure the sustainability and monitoring of climate change adaptation programs by related ministries/agencies.</t>
  </si>
  <si>
    <t>Monitoring the use of environmental services in various types of ecosystems</t>
  </si>
  <si>
    <t>Development of online health database throughout Indonesia and internet support</t>
  </si>
  <si>
    <t>Each health center reports climate-related disease incidence data on regular basis. This condition requires adequate internet network support and online platform. Current capacity does not support this and internet access is still often an obstacle.</t>
  </si>
  <si>
    <t>Increasing the speed of policy formulation related to the early warning and response system (EWS) for related diseases</t>
  </si>
  <si>
    <t>Technology for rapid detection of Malaria and Dengue cases</t>
  </si>
  <si>
    <t>Additional support for medical devices to detect cases so that cases can be handled immediately and transmission can be prevented.</t>
  </si>
  <si>
    <t>Improving case handling rate</t>
  </si>
  <si>
    <t>Integrated Monitoring and Early Warning System to Address Residual Impacts</t>
  </si>
  <si>
    <t>The program will develop an integrated monitoring and early warning system with weather, climate, and socio-economic impact data. The main goal is to predict and warn communities about potential residual impacts of climate change that cannot be addressed by direct adaptation actions.</t>
  </si>
  <si>
    <t>Improve the predictive ability of governments and communities to identify the potential long-term impacts of climate disasters, so they can plan better responses. This program is expected to reduce economic and non-economic impacts that are not detected at the beginning of a disaster.</t>
  </si>
  <si>
    <t>Strengthening the Disaster Awareness Culture Movement through various platforms</t>
  </si>
  <si>
    <t>A program initiated by BNPB to instill awareness of disaster risks and the importance of preparedness among the community, one of which has been implemented through the radio broadcast "Asmara di Tengah Bencana"</t>
  </si>
  <si>
    <t>Encourage community concerns about disasters and able to take appropriate action when a disaster occurs.</t>
  </si>
  <si>
    <r>
      <rPr>
        <sz val="11"/>
        <color theme="1"/>
        <rFont val="Calibri"/>
        <family val="2"/>
        <scheme val="minor"/>
      </rPr>
      <t xml:space="preserve">Notation keys: NA = not applicable; UA = information not available at the time of reporting; NR = not reported (to indicate the voluntary character of the information).
</t>
    </r>
    <r>
      <rPr>
        <vertAlign val="superscript"/>
        <sz val="11"/>
        <rFont val="Calibri"/>
        <family val="2"/>
      </rPr>
      <t xml:space="preserve">a   </t>
    </r>
    <r>
      <rPr>
        <sz val="11"/>
        <color theme="1"/>
        <rFont val="Calibri"/>
        <family val="2"/>
        <scheme val="minor"/>
      </rPr>
      <t xml:space="preserve">Developing country Parties should provide, in a common tabular format, information on technology development and transfer support needed, to the extent possible, as available and as applicable.
</t>
    </r>
    <r>
      <rPr>
        <vertAlign val="superscript"/>
        <sz val="11"/>
        <rFont val="Calibri"/>
        <family val="2"/>
      </rPr>
      <t xml:space="preserve">b   </t>
    </r>
    <r>
      <rPr>
        <sz val="11"/>
        <color theme="1"/>
        <rFont val="Calibri"/>
        <family val="2"/>
        <scheme val="minor"/>
      </rPr>
      <t xml:space="preserve">Parties include information on support needed from the reporting year of the BTR.
</t>
    </r>
    <r>
      <rPr>
        <vertAlign val="superscript"/>
        <sz val="11"/>
        <rFont val="Calibri"/>
        <family val="2"/>
      </rPr>
      <t xml:space="preserve">c   </t>
    </r>
    <r>
      <rPr>
        <sz val="11"/>
        <color theme="1"/>
        <rFont val="Calibri"/>
        <family val="2"/>
        <scheme val="minor"/>
      </rPr>
      <t xml:space="preserve">Parties provide the underlying assumptions, definitions and methodologies, as applicable, used to identify and/or report this reporting parameter in the respective section of the BTR.
</t>
    </r>
    <r>
      <rPr>
        <vertAlign val="superscript"/>
        <sz val="11"/>
        <rFont val="Calibri"/>
        <family val="2"/>
      </rPr>
      <t xml:space="preserve">d   </t>
    </r>
    <r>
      <rPr>
        <sz val="11"/>
        <color theme="1"/>
        <rFont val="Calibri"/>
        <family val="2"/>
        <scheme val="minor"/>
      </rPr>
      <t xml:space="preserve">If “other”, Parties should specify this information.
</t>
    </r>
    <r>
      <rPr>
        <vertAlign val="superscript"/>
        <sz val="11"/>
        <rFont val="Calibri"/>
        <family val="2"/>
      </rPr>
      <t xml:space="preserve">e   </t>
    </r>
    <r>
      <rPr>
        <sz val="11"/>
        <color theme="1"/>
        <rFont val="Calibri"/>
        <family val="2"/>
        <scheme val="minor"/>
      </rPr>
      <t xml:space="preserve">This refers to activities that have both mitigation and adaptation components.
</t>
    </r>
    <r>
      <rPr>
        <vertAlign val="superscript"/>
        <sz val="11"/>
        <rFont val="Calibri"/>
        <family val="2"/>
      </rPr>
      <t xml:space="preserve">f   </t>
    </r>
    <r>
      <rPr>
        <sz val="11"/>
        <color theme="1"/>
        <rFont val="Calibri"/>
        <family val="2"/>
        <scheme val="minor"/>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</si>
  <si>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b/>
        <sz val="14"/>
        <color rgb="FF000000"/>
        <rFont val="Calibri"/>
        <family val="2"/>
      </rPr>
      <t xml:space="preserve">Table III.9 Information on </t>
    </r>
    <r>
      <rPr>
        <b/>
        <sz val="14"/>
        <color rgb="FF0070C0"/>
        <rFont val="Calibri"/>
        <family val="2"/>
      </rPr>
      <t>technology development and transfer support received</t>
    </r>
    <r>
      <rPr>
        <b/>
        <sz val="14"/>
        <color rgb="FF000000"/>
        <rFont val="Calibri"/>
        <family val="2"/>
      </rPr>
      <t xml:space="preserve"> by developing country Parties under Article 10 of the Paris Agreement</t>
    </r>
    <r>
      <rPr>
        <b/>
        <vertAlign val="superscript"/>
        <sz val="14"/>
        <color rgb="FF000000"/>
        <rFont val="Calibri"/>
        <family val="2"/>
      </rPr>
      <t>a, b</t>
    </r>
  </si>
  <si>
    <r>
      <rPr>
        <b/>
        <sz val="11"/>
        <rFont val="Calibri"/>
        <family val="2"/>
      </rPr>
      <t>Time frame</t>
    </r>
    <r>
      <rPr>
        <b/>
        <vertAlign val="superscript"/>
        <sz val="11"/>
        <rFont val="Calibri"/>
        <family val="2"/>
      </rPr>
      <t>c</t>
    </r>
  </si>
  <si>
    <r>
      <rPr>
        <b/>
        <sz val="11"/>
        <rFont val="Calibri"/>
        <family val="2"/>
      </rPr>
      <t>Recipient entity</t>
    </r>
    <r>
      <rPr>
        <b/>
        <vertAlign val="superscript"/>
        <sz val="11"/>
        <rFont val="Calibri"/>
        <family val="2"/>
      </rPr>
      <t>c</t>
    </r>
  </si>
  <si>
    <r>
      <rPr>
        <b/>
        <sz val="11"/>
        <rFont val="Calibri"/>
        <family val="2"/>
      </rPr>
      <t>Implementing entity</t>
    </r>
    <r>
      <rPr>
        <b/>
        <vertAlign val="superscript"/>
        <sz val="11"/>
        <rFont val="Calibri"/>
        <family val="2"/>
      </rPr>
      <t>c</t>
    </r>
  </si>
  <si>
    <r>
      <rPr>
        <b/>
        <sz val="11"/>
        <rFont val="Calibri"/>
        <family val="2"/>
      </rPr>
      <t>Status of activity</t>
    </r>
    <r>
      <rPr>
        <b/>
        <vertAlign val="superscript"/>
        <sz val="11"/>
        <rFont val="Calibri"/>
        <family val="2"/>
      </rPr>
      <t>c</t>
    </r>
  </si>
  <si>
    <r>
      <rPr>
        <b/>
        <sz val="11"/>
        <rFont val="Calibri"/>
        <family val="2"/>
      </rPr>
      <t>Use, impact and estimated results</t>
    </r>
    <r>
      <rPr>
        <b/>
        <vertAlign val="superscript"/>
        <sz val="11"/>
        <rFont val="Calibri"/>
        <family val="2"/>
      </rPr>
      <t>c</t>
    </r>
  </si>
  <si>
    <t>Solar Ice Maker Pilot Project</t>
  </si>
  <si>
    <t>Accelerating the use of renewable energy, this solar ice maker is equipped with a 25 kWp solar panel that functions to cool the salt water solution to (-15) degrees Celsius for making ice blocks, so that the ice block making process can continue at night.</t>
  </si>
  <si>
    <t>Solar Ice Maker</t>
  </si>
  <si>
    <t>2016-2022</t>
  </si>
  <si>
    <t>MoEMR, NTT Government, NTT Residents, and Private Sector</t>
  </si>
  <si>
    <t>The Solar Ice Maker in Sulamu NTT) operates fully off-grid and can produce ice blocks of up to 1 ton/day, or 245 tons/year. This solar ice maker can fulfill around 56% of the demand for ice blocks in Sulamu and help fishermen maintain the freshness of their catch.</t>
  </si>
  <si>
    <t>Directorate of Aneka RNE, Ministry of Energy and Mineral Resource (MoEMR)</t>
  </si>
  <si>
    <t>Photo Voltaic Boat Pilot Project</t>
  </si>
  <si>
    <t>Electric boat project and Solar Powered Electric Boat Charging Station</t>
  </si>
  <si>
    <t>PV Boat</t>
  </si>
  <si>
    <t>2019-2024</t>
  </si>
  <si>
    <t>MoEMR, NTT Government</t>
  </si>
  <si>
    <t>Solar-based electric boats are an alternative in the energy transition that will continue to replace fossil energy but are limited in supply and are not environmentally friendly. New and renewable energy will continue to be encouraged until we reach the target of being free from carbon emissions by 2060. The potential of electric power in NTT is the highest in Indonesia, at around 66.2 megawatts. It is hoped that this can be put to good use to overcome the scarcity of fuel-based energy sources and encourage the local community's economy to transition to becoming more prosperous.</t>
  </si>
  <si>
    <t>Installation of Remote Monitoring System (RMS) at Rooftop PLTS DKI Jakarta Province</t>
  </si>
  <si>
    <t>Installation of a Remote Monitoring System (RMS) on a Rooftop Solar Power Plant (PLTS) in DKI Jakarta Province includes</t>
  </si>
  <si>
    <t>RMS PLTS</t>
  </si>
  <si>
    <t>2022-now</t>
  </si>
  <si>
    <t>MoEMR, DKI Jakarta Government</t>
  </si>
  <si>
    <t>On-Going</t>
  </si>
  <si>
    <t>Provide data on the efficiency of solar PV system in Jakarta</t>
  </si>
  <si>
    <t>Solar PV testing</t>
  </si>
  <si>
    <t>Ensuring the solar power system functions optimally and safely starting from performance and efficiency, detecting problems, installation verification, performance testing, system security, conformity and specifications, and reporting documents.</t>
  </si>
  <si>
    <t>Solar PV</t>
  </si>
  <si>
    <t>MoEMR, BRIN</t>
  </si>
  <si>
    <t>Assess suitability of the solar PV technology</t>
  </si>
  <si>
    <t>Monitoring and Evaluation of Rooftop Solar Power Plant for Cold Storage</t>
  </si>
  <si>
    <t>Conducting a review and recommendations for improving the implementation of Rooftop PLTS for cold storage facilities that have been implemented through cooperation between KESDM and KKP in 2021</t>
  </si>
  <si>
    <t>Cold Storage for PLTS</t>
  </si>
  <si>
    <t>2024-now</t>
  </si>
  <si>
    <t>MoEMR, KKP</t>
  </si>
  <si>
    <t>The road map towards the Energy Transition in 2060 is expected to accelerate EBT development in the long term. In the dedieselization program, the government targets 5,200 diesel power generation units in 2,130 locations with a capacity of 2.37 Giga Watt (GW) to be transferred into three schemes, namely (1) conversion of PLTD to EBT PLT with a capacity of 500 MW; (2) Conversion of diesel power plants to gas (gasification) with a capacity of 598 MW; and (3) Network expansion to an isolated system to eliminate diesel power plants with a capacity of 1,070 MW. Meanwhile, the remaining PLTD, with a capacity of 203 MW, is still used as a black-start system when a blackout occurs.</t>
  </si>
  <si>
    <t>Feasibility Study on PLN Solar Replacement Project</t>
  </si>
  <si>
    <t>In order to overcome various challenges related to the environment and operations, and to support the transition to a cleaner and more sustainable energy system.</t>
  </si>
  <si>
    <t>PLT RNE</t>
  </si>
  <si>
    <t>MoEMR, PLN</t>
  </si>
  <si>
    <t>Replication of Solar Ice Maker Pilot Project in Kawa, Maluku</t>
  </si>
  <si>
    <t>Replicating the Solar Ice Maker technology that was launched in 2022, with improvements in several aspects, especially from the business side</t>
  </si>
  <si>
    <t>MoEMR, Maluku Government, Private Sector</t>
  </si>
  <si>
    <t>Output: (1) Redesign of the National Forest Inventory (NIF); (2) Technical Guidelines for the National Forest Inventory; (3) IF Roadmap 2025-2035; (4) NFMS Quality Improvement; (5) GHG Reporting Improvement; (6) Peat Monitoring System Quality Improvement.</t>
  </si>
  <si>
    <t>Strengthening Indonesian Forest and Land Monitoring for Climate Actions</t>
  </si>
  <si>
    <t>Strengthening technical capacity and institutional coordination for sustainable and appropriate IHN and NFMS in accordance with current and future developments to meet the needs of forest management decision-making in Indonesia.</t>
  </si>
  <si>
    <t>Monitoring system</t>
  </si>
  <si>
    <t>MoEF (Directorate of IPSDH, Directorate of IGRKMPV,  Directorate of PKG)</t>
  </si>
  <si>
    <t>Deforestation and forest degradation</t>
  </si>
  <si>
    <t>Transfer technology for 2 output components: (1) 1.2. Improving and updating the National Mangrove Map; and (2) Registration and Monitoring of Mangrove Rehabilitation and Sustainable Mangrove Management.</t>
  </si>
  <si>
    <t>Directorate of IPSDH, Ministry of Environmental and Forestry (MoEF)</t>
  </si>
  <si>
    <t>Mangrove for Coastal 
Resilience (M4CR) Project</t>
  </si>
  <si>
    <t>The Government of Indonesia (GoI) is working with the World Bank to implement the Mangroves for Coastal Resilience (M4CR) program through the signing of a Loan Agreement between the Ministry of Finance and the World Bank and a Grant Agreement between the Environmental Fund Management Agency and the World Bank.</t>
  </si>
  <si>
    <t>National Mangrove Map</t>
  </si>
  <si>
    <t>MoEF (Directorate of IPSDH, Directorate of IGRKMPV, BSI secretariat, Biro PR)</t>
  </si>
  <si>
    <t>Deforestation and forest degradation, Peatland restoration, Land Rehabilitation</t>
  </si>
  <si>
    <t>Forest Carbon Partnership Facility (FPCF) East Kalimantan</t>
  </si>
  <si>
    <t>FPCF Carbon Fund 2021-2025 has 5 activity, (1) Forest and Land Governance, (2) Strengthening Forest and Land Development, (3) Reducing Deforestation and Forest Degradation in Licensing, (4) Sustainable Alternatives for Communities, (5) Program Management and Monitoring.</t>
  </si>
  <si>
    <t>Carbon Fund</t>
  </si>
  <si>
    <t>2021-now</t>
  </si>
  <si>
    <t>MoEF (Directorate of PPI,  BSI secretariat, Biro PR)</t>
  </si>
  <si>
    <t>Advancing Indonesia’s Lighting Market to High Efficient Technologies (ADLIGHT)</t>
  </si>
  <si>
    <t>Preparation of LED lamp energy performance standards</t>
  </si>
  <si>
    <t>LED Lamps Standard</t>
  </si>
  <si>
    <t>2020 - 2024</t>
  </si>
  <si>
    <t>MoEMR</t>
  </si>
  <si>
    <t>Directorate of Energy Conservation,  Ministry of Energy and Mineral Resource (MoEMR)</t>
  </si>
  <si>
    <r>
      <rPr>
        <sz val="11"/>
        <color theme="1"/>
        <rFont val="Calibri"/>
        <family val="2"/>
        <scheme val="minor"/>
      </rPr>
      <t xml:space="preserve">Notation keys: NA = not applicable; UA = information not available at the time of reporting; NR = not reported (to indicate the voluntary character of the information).
</t>
    </r>
    <r>
      <rPr>
        <vertAlign val="superscript"/>
        <sz val="11"/>
        <rFont val="Calibri"/>
        <family val="2"/>
      </rPr>
      <t xml:space="preserve">a   </t>
    </r>
    <r>
      <rPr>
        <sz val="11"/>
        <color theme="1"/>
        <rFont val="Calibri"/>
        <family val="2"/>
        <scheme val="minor"/>
      </rPr>
      <t xml:space="preserve">Developing country Parties should provide, in common tabular format, information on technology development and transfer support received, to the extent possible, as available and as applicable.
</t>
    </r>
    <r>
      <rPr>
        <vertAlign val="superscript"/>
        <sz val="11"/>
        <rFont val="Calibri"/>
        <family val="2"/>
      </rPr>
      <t xml:space="preserve">b   </t>
    </r>
    <r>
      <rPr>
        <sz val="11"/>
        <color theme="1"/>
        <rFont val="Calibri"/>
        <family val="2"/>
        <scheme val="minor"/>
      </rPr>
      <t xml:space="preserve">Parties include information on support received, ongoing or planned since the previous BTR.
</t>
    </r>
    <r>
      <rPr>
        <vertAlign val="superscript"/>
        <sz val="11"/>
        <rFont val="Calibri"/>
        <family val="2"/>
      </rPr>
      <t xml:space="preserve">c   </t>
    </r>
    <r>
      <rPr>
        <sz val="11"/>
        <color theme="1"/>
        <rFont val="Calibri"/>
        <family val="2"/>
        <scheme val="minor"/>
      </rPr>
      <t xml:space="preserve">Parties provide the underlying assumptions, definitions and methodologies, as applicable, used to identify and/or report this reporting parameter in the respective section of the BTR.
</t>
    </r>
    <r>
      <rPr>
        <vertAlign val="superscript"/>
        <sz val="11"/>
        <rFont val="Calibri"/>
        <family val="2"/>
      </rPr>
      <t xml:space="preserve">d   </t>
    </r>
    <r>
      <rPr>
        <sz val="11"/>
        <color theme="1"/>
        <rFont val="Calibri"/>
        <family val="2"/>
        <scheme val="minor"/>
      </rPr>
      <t xml:space="preserve">If “other”, Parties should specify this information.
</t>
    </r>
    <r>
      <rPr>
        <vertAlign val="superscript"/>
        <sz val="11"/>
        <rFont val="Calibri"/>
        <family val="2"/>
      </rPr>
      <t xml:space="preserve">e   </t>
    </r>
    <r>
      <rPr>
        <sz val="11"/>
        <color theme="1"/>
        <rFont val="Calibri"/>
        <family val="2"/>
        <scheme val="minor"/>
      </rPr>
      <t xml:space="preserve">This refers to activities that have both mitigation and adaptation components.
</t>
    </r>
    <r>
      <rPr>
        <vertAlign val="superscript"/>
        <sz val="11"/>
        <rFont val="Calibri"/>
        <family val="2"/>
      </rPr>
      <t xml:space="preserve">f   </t>
    </r>
    <r>
      <rPr>
        <sz val="11"/>
        <color theme="1"/>
        <rFont val="Calibri"/>
        <family val="2"/>
        <scheme val="minor"/>
      </rPr>
      <t xml:space="preserve">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
</t>
    </r>
  </si>
  <si>
    <r>
      <rPr>
        <b/>
        <sz val="14"/>
        <color rgb="FF000000"/>
        <rFont val="Calibri"/>
        <family val="2"/>
      </rPr>
      <t xml:space="preserve">Table III.10 Information on </t>
    </r>
    <r>
      <rPr>
        <b/>
        <sz val="14"/>
        <color rgb="FF0070C0"/>
        <rFont val="Calibri"/>
        <family val="2"/>
      </rPr>
      <t>capacity-building support needed</t>
    </r>
    <r>
      <rPr>
        <b/>
        <sz val="14"/>
        <color rgb="FF000000"/>
        <rFont val="Calibri"/>
        <family val="2"/>
      </rPr>
      <t xml:space="preserve"> by developing country Parties under Article 11 of the Paris Agreement</t>
    </r>
    <r>
      <rPr>
        <b/>
        <vertAlign val="superscript"/>
        <sz val="14"/>
        <color rgb="FF000000"/>
        <rFont val="Calibri"/>
        <family val="2"/>
      </rPr>
      <t>a, b</t>
    </r>
  </si>
  <si>
    <t>Energy efficiency</t>
  </si>
  <si>
    <t>Capacity Building Energy Planning (LEAP, plexos, system advisor Model, energy plus)</t>
  </si>
  <si>
    <t>This project aims to provide training on various energy planning tools for local governments, utility companies, and energy sector stakeholders. These tools will help simulate different energy scenarios, assess the impact of policy decisions, and improve energy efficiency. The project will support transitioning to renewable energy and achieving energy security in the long term.</t>
  </si>
  <si>
    <t>Enhance human and organizational capacity to plan and manage energy systems effectively, sustainably and efficiently</t>
  </si>
  <si>
    <t>Directorate of Aneka RNE and Directorate of Energy conservation, Ministry of Energy and Mineral Resource (MoEMR)</t>
  </si>
  <si>
    <t>Renewable energy</t>
  </si>
  <si>
    <t>Capacity building on Carbon Trading of RNE Power Plant</t>
  </si>
  <si>
    <t>This project will focus on educating energy sector servants about carbon trading mechanisms, allowing them to better manage and implement carbon credit systems. Participants will learn how to use carbon credits effectively on RNE.</t>
  </si>
  <si>
    <t>Increasing carbon trading capacity in Indonesia based on carbon trading activities from abroad</t>
  </si>
  <si>
    <t>Capacity Building Energy Manager and Energy Audit for Local Government</t>
  </si>
  <si>
    <t>Provides training for local government to identify energy inefficiencies and take action to reduce consumption. It focuses on energy audits in energy management for all parties.</t>
  </si>
  <si>
    <t>Improving the capacity of building owners in local governments in managing energy management</t>
  </si>
  <si>
    <t>Directorate of Energy conservation, Ministry of Energy and Mineral Resources (MoEMR)</t>
  </si>
  <si>
    <t>Capacity Building Process of compiling DRAM for energy sector mitigation action activities</t>
  </si>
  <si>
    <t xml:space="preserve">This project focuses on developing the technical skills needed to compile DRAM for energy sector. These activity will be used to improve the capacity in implementing energy mitigation strategies, ensuring that emission reduction targets are met. </t>
  </si>
  <si>
    <t>2025-2029</t>
  </si>
  <si>
    <t>Improving the understanding of human resources capacity in compiling DRAM for energy sector mitigation activities</t>
  </si>
  <si>
    <t>MoEMR, Ministry of Transportation, Ministry of Industry, Ministry of Public Works and Public Housing, and Private sector</t>
  </si>
  <si>
    <t>Validation and Verification Training on DRAM from energy sector mitigation actions</t>
  </si>
  <si>
    <t>This project provides specific training on how to validate and verify the data generated through the DRAM for energy sector, ensuring that all energy sector mitigation actions are correctly implemented and measured.</t>
  </si>
  <si>
    <t>Understanding for a validator and verifier of DRAM compiled by Business Actors and the process according to the standards set by the relevant Ministries/Institutions</t>
  </si>
  <si>
    <t>MoEMR, MoEF, Ministry of Transportation, Ministry of Industry, LVV</t>
  </si>
  <si>
    <t>Capacity Building for the Implementation of Carbon Trading in the energy sector, especially in the field of Energy Efficiency</t>
  </si>
  <si>
    <t>This project will provide specialized training for energy servants and industry stakeholders on the implementation of carbon trading, specifically how energy efficiency improvements can be leveraged for carbon credits. It will cover both theoretical and practical aspects, including policy compliance and market opportunities.</t>
  </si>
  <si>
    <t>Improving the capacity for carbon trading in Indonesia based on domestic and foreign carbon trading activities</t>
  </si>
  <si>
    <t>Training in the use of IPCC Software</t>
  </si>
  <si>
    <t>Training program for agricultural sector climate change technical teams</t>
  </si>
  <si>
    <t>Improving build capacity in the use of IPCC (Intergovernmental Panel on Climate Change) software for climate reporting and GHG inventory management.</t>
  </si>
  <si>
    <t>NDC Roadmap</t>
  </si>
  <si>
    <t>Preparation of the SNDC roadmap to achieve the SNDC targets in 2035 and support the NZE of the agricultural sector</t>
  </si>
  <si>
    <t>Developing a comprehensive roadmap for the implementation of Nationally Determined Contributions (NDCs) under the Paris Agreement.</t>
  </si>
  <si>
    <t>Determination of EF</t>
  </si>
  <si>
    <t>The Ministry of Agriculture's climate change technical team needs to be equipped with knowledge on how to determine EF so that the development of EF values can be sustainable.</t>
  </si>
  <si>
    <t>Establish standardized Emission Factors (EF) for various sectors, enhancing the accuracy of emissions reporting and reduction strategies.</t>
  </si>
  <si>
    <t>Uncertainty Analysis</t>
  </si>
  <si>
    <t>The Ministry of Agriculture's climate change technical team needs to be equipped with knowledge on how to determine Uncertainty Analysis so that the development of reporting carried out by Agriculture can be identified and how to improve it later.</t>
  </si>
  <si>
    <t>Conducting uncertainty analysis in climate reporting and GHG inventories.</t>
  </si>
  <si>
    <t>BTR on Agriculture</t>
  </si>
  <si>
    <t>The Ministry of Agriculture's climate change technical team needs to be equipped with knowledge on how BTR can meet the expected development targets.</t>
  </si>
  <si>
    <t>Transparency reporting system on Finance, Technology transfer, and Capacity building in supporting data on BTR report development for Agriculture sector.</t>
  </si>
  <si>
    <t>Assessment of adaptation of the agricultural sector</t>
  </si>
  <si>
    <t>The Ministry of Agriculture's climate change technical team needs to be equipped with knowledge on how to prepare adaptation reports so that the reports that have been prepared include adaptation components.</t>
  </si>
  <si>
    <t>Assessment the climate resilience of the agricultural sector and identify adaptation strategies to mitigate climate risks.</t>
  </si>
  <si>
    <t>Social and livelihood resilience</t>
  </si>
  <si>
    <t>Development of community capacity and participation in local planning processes, to secure access to key natural resources</t>
  </si>
  <si>
    <t>Food Self-Sufficiency (ASTA CITA 2)</t>
  </si>
  <si>
    <t>This activity is in accordance with sustainable development planning for handling climate change and align with the national priority plan (ASTA CITA 1 - 8). This activity has a vision of 2025-2029 which will be developed by MoEF: Development of a green economy based on forests and the environment and decarbonization of the forest and land sector. ASTA CITA 2 aims to strengthen the country's defense and security system and encourage national independence through self-sufficiency in food, energy, water, creative economy, green economy and blue economy.</t>
  </si>
  <si>
    <t>Increasing the capacity of human resources within the Ministry of Environment and Forestry: (1) Increasing legal certainty regarding land control by communities in forest areas; (2) Strengthening the certainty of solid forest areas (legitimacy); (3) Increasing access to forest area management by communities; (4) Increasing the area of forest cover through planting and enrichment of forest areas, forest and land rehabilitation, ecosystem restoration, mangrove forest rehabilitation, mangrove ecosystem rehabilitation.</t>
  </si>
  <si>
    <t>PKTL, PDASRH, PHL, PSKL, KSDAE in Ministry of Environmental and Forestry</t>
  </si>
  <si>
    <t>Water Self-Sufficiency (ASTA CITA 2)</t>
  </si>
  <si>
    <t>Increasing the capacity of human resources within the Ministry of Environment and Forestry: (1) Increasing the quality of the environment through controlling water pollution (clean river program), B3 and non-B3 management, and B3 waste management; (2) Increasing the number of springs restored through monitoring water management and the Early Warning System (EWS) for flooding in disaster-prone watersheds; (3) Increasing the capacity of water recharge and priority lake water catchment areas (DTA) inside and outside forest areas; (4) Increasing institutional strengthening and law enforcement in the field of Environment and Forestry.</t>
  </si>
  <si>
    <t>PHLHK, PPKL, PDASRH, PKTL in Ministry of Environmental and Forestry</t>
  </si>
  <si>
    <t>Green Economy (ASTA CITA 2)</t>
  </si>
  <si>
    <t>Increasing the capacity of human resources within the Ministry of Environment and Forestry in implementing a green economy in every sector, including biodiversity and natural resources.</t>
  </si>
  <si>
    <t xml:space="preserve">PPKL, PKTL, PPI, PHLHK, KSDAE, BSILHK, PHL PSLB3, BRGM </t>
  </si>
  <si>
    <t>Encouraging Entrepreneurship to Create Quality Jobs (ASTA CITA 3)</t>
  </si>
  <si>
    <t>This activity is in accordance with sustainable development planning for handling climate change and align with the national priority plan (ASTA CITA 1 - 8). This activity has a vision of 2025-2029 which will be developed by MoEF: Development of a green economy based on forests and the environment and decarbonization of the forest and land sector. ASTA CITA 3 aims to Increasing quality employment opportunities, encouraging entrepreneurship, developing creative industries, and continuing infrastructure development.</t>
  </si>
  <si>
    <t>Increasing the capacity of internal human resources of the Ministry of Environment and Forestry in: (1) Increasing the absorption of workers in the LHK sector from graduates of State Forestry Vocational Schools; (2) Increasing the absorption of workers in the forestry sector; (3) Increasing the workforce in the environmental sector; (4) Increasing the Economic Transaction Value of KUPS through increasing KUPS in the marketplace.</t>
  </si>
  <si>
    <t>BP2SDM, PSKL, PHL, KSDAE, PSLB3</t>
  </si>
  <si>
    <t>Promoting Creative Industries (ASTA CITA 3)</t>
  </si>
  <si>
    <t>Improving the capacity of internal human resources of the Ministry of Environment and Forestry in: (1) Increasing PNBP from forest utilization through the utilization of environmental services for natural tourism in conservation areas; (2) Increasing access to forest area management by the community through conservation partnerships and community empowerment; (3) Increasing the Economic Transaction Value of KUPS through increasing the number of independent KUPS, business credit flowing to KUPS, and the role of partners in strengthening KUPS. (4) Increasing the economic value of environmental management through the Waste Bank Unit</t>
  </si>
  <si>
    <t>KSDAE, PSKL, PHL, BP2SDM, PSLB3</t>
  </si>
  <si>
    <t>Strengthening the Human Resources Quality Improvement System (ASTA CITA 4)</t>
  </si>
  <si>
    <t>This activity is in accordance with sustainable development planning for handling climate change and align with the national priority plan (ASTA CITA 1 - 8). This activity has a vision of 2025-2029 which will be developed by MoEF: Development of a green economy based on forests and the environment and decarbonization of the forest and land sector. ASTA CITA 4 aims to Increasing quality employment opportunities, encouraging entrepreneurship, developing creative industries, and continuing infrastructure development.</t>
  </si>
  <si>
    <t>Activity outputs: (1) Increasing cooperation between educational institutions, government and industry to increase the use of digital and technology and (2) Increasing the quality of the workforce through various certified job training.</t>
  </si>
  <si>
    <t xml:space="preserve">BP2SDM, Ministry of Environmental and Forestry </t>
  </si>
  <si>
    <t>Strengthening Education, Science, and Technology (ASTA CITA 4)</t>
  </si>
  <si>
    <t>Activity outputs: (1) Improving the curriculum of Higher Education, Vocational Education and Polytechnics based on research, innovation, application, and incubation that is connected to industry; (2) Developing and improving the quality of vocational schools in all areas of technical expertise, revitalizing job training centers; (3) Partnering with private companies in partnership with BUMN to open scholarship and internship programs for graduates at higher education and vocational schools.</t>
  </si>
  <si>
    <t>BP2SDM, Ministry of Environmental and Forestry</t>
  </si>
  <si>
    <t>Eradicating Poverty (ASTA CITA 6)</t>
  </si>
  <si>
    <t>This activity is in accordance with sustainable development planning for handling climate change and align with the national priority plan (ASTA CITA 1 - 8). This activity has a vision of 2025-2029 which will be developed by MoEF: Development of a green economy based on forests and the environment and decarbonization of the forest and land sector. ASTA CITA 6 aims to Strengthening human resource development (HRD), science, technology, education, health, sports achievements, gender equality, and strengthening the role of women, youth, and people with disabilities.</t>
  </si>
  <si>
    <t>Encouraging independence for poor and underprivileged communities so that they can improve their standard of living through assistance, empowerment and partnership programs.</t>
  </si>
  <si>
    <t>BP2SDM, PSKL, KSDAE, PHL</t>
  </si>
  <si>
    <t>Disaster Management (ASTA CITA 8)</t>
  </si>
  <si>
    <t>This activity is in accordance with sustainable development planning for handling climate change and align with the national priority plan (ASTA CITA 1 - 8). This activity has a vision of 2025-2029 which will be developed by MoEF: Development of a green economy based on forests and the environment and decarbonization of the forest and land sector. ASTA CITA 8 aims to Strengthening the alignment of harmonious life with the environment, nature and culture, as well as increasing tolerance between religious communities to achieve a just and prosperous society.</t>
  </si>
  <si>
    <t>Building infrastructure that is oriented towards readiness and resilience to face disaster situations. Organizing coordination between related institutions to accelerate disaster management and handling. Organizing synergy between the government and the private sector, community groups, and foreign donor institutions in disaster management and handling.</t>
  </si>
  <si>
    <t>PPI, PDASRH, BSILHK</t>
  </si>
  <si>
    <t>All sectors</t>
  </si>
  <si>
    <t>Technical capacity building related to GHG Inventory</t>
  </si>
  <si>
    <t>Data-collection, development of country-specific Emission Factors (EFs), estimation of emission precursor gases, identification of sources and uncertainties of Activity Data (AD)</t>
  </si>
  <si>
    <t>2022-2027</t>
  </si>
  <si>
    <t>Capacity-building that aims to facilitate reporting in accordance with the UNFCCC reporting guidelines on BTRs, and participation in ICA in accordance with the ICA modalities and guidelines, taking into account Article 4, paragraph 3, of the Convention.</t>
  </si>
  <si>
    <t>The Third BUR of Indonesia</t>
  </si>
  <si>
    <t>Development of an information system or an integrated web-based system for collecting data for GHG inventories and on mitigation actions at the national and local level</t>
  </si>
  <si>
    <t>Building capacity for quality assurance/quality control (QA/QC) and management of GHG inventory data; (ii) Building capacity to collect and report data in order to improve the completeness of the GHG inventory, and to improve the transparency of reporting.</t>
  </si>
  <si>
    <t>Building technical capacity of governments and non-government agencies to integrate MRV into long-term plans and programmes</t>
  </si>
  <si>
    <t>Institutional strengthening</t>
  </si>
  <si>
    <t>(i) Improving national capacity to engage a wide range of stakeholders in reporting on implementation, progress and results of mitigation and adaptation actions;
(ii) Enhancing technical knowledge for linking mitigation actions with GHG 
inventories;
(iii) Improving the capacity of sectoral ministries, local governments and the private sector to incorporate climate actions into long-term plans and programmes bysetting quantitative mitigation goals that contribute to meeting overarching national goals</t>
  </si>
  <si>
    <t xml:space="preserve">Goals: (i) To improve accessibility of climate finance information, including drafts of funding  proposals and project plans, by governments, particularly local governments;
(ii) To improve budget tagging and climate finance tracking to identify and monitor support received; 
(iii) Institutional arrangements for continuous data exchange among and within ministries and agencies. </t>
  </si>
  <si>
    <t>Building an effective institutional system that links processes related to GHG inventory, mitigation, adaptation, and means of implementation in order to ensure timely BUR/BTR/National communication reporting</t>
  </si>
  <si>
    <t>Capacity building on assessment of needs and support</t>
  </si>
  <si>
    <t xml:space="preserve">Enhancing national capacity to conduct nationally determined technology needs assessments for key source sectors; 
(ii) Enhancing institutional capacity to overcome data limitation constraints and gaps when collecting information on technology support received by developing a system to identify, track and record technology support received for climate change; </t>
  </si>
  <si>
    <t>Capacity building in healthcare management</t>
  </si>
  <si>
    <t>Capacity to restructure authorities in healthcare management to ensure fulfilment of basic healthcare service and increase social resilience</t>
  </si>
  <si>
    <t>Education</t>
  </si>
  <si>
    <t>Capacity building for accelerating a mandatory of 13 years basic education and for improving accessibility to climate sensitive learning materials</t>
  </si>
  <si>
    <t>Goals: (i) accelerating a mandatory of 13 years basic education; (ii) Improving accessibility of education and learning materials on climate change;</t>
  </si>
  <si>
    <t>RPJMN</t>
  </si>
  <si>
    <t>Capacity building on climate-sensitive fiscal planning</t>
  </si>
  <si>
    <t>Reformation of fiscal planning and governance to enhance legal supremacy, stability, and leadership as a foundation for economic resilience</t>
  </si>
  <si>
    <t>Development of an Early Warning System for the Impact of Climate Change for Horticultural Crops (EWS SIPANTARA)</t>
  </si>
  <si>
    <t>This activity will be carried out under the Directorate General of Horticulture as an anticipation of handling El Nino in the horticulture sub-sector by developing applications to anticipate the impacts of climate change as an easy, effective and efficient adaptation and mitigation step, especially for chili and onion plants.</t>
  </si>
  <si>
    <t>Improving the understanding of extension workers and farmers in dealing with the impacts of climate change in chili and red onion cultivation.</t>
  </si>
  <si>
    <t>Agriculture insurance</t>
  </si>
  <si>
    <t>Scaling up and improvement of Climate field school (Sekolah Lapangan Iklim - SLI)</t>
  </si>
  <si>
    <t>SLI is a climate literacy activity that aims to support food security in the context of climate change adaptation implemented by Met Agency, the Ministry of Agriculture, Regional Governments and other Community Organizations.</t>
  </si>
  <si>
    <t>Increasing understanding and implementation of climate-resilient agricultural practices</t>
  </si>
  <si>
    <t>Scaling up and improvement of Fishermen Weather Field School (Sekolah Lapang Cuaca Nelayan - SLCN)</t>
  </si>
  <si>
    <t>SLCN is a field activity that aims to increase the capacity of fishermen and fisheries extension workers in utilizing climate information. This activity is carried out by the Maritime Meteorology Center of Met Agency</t>
  </si>
  <si>
    <t>Increasing knowledge related to climate by combining local wisdom information and meteorological science technology in fisheries activities, one of which is the use of integrated information on potential fishing areas.</t>
  </si>
  <si>
    <t>Scaling up and improvement of Aviation Meteorology Field School (Sekolah Lapang Meteorologi Penerbangan - SLMP)</t>
  </si>
  <si>
    <t>SLMP is an activity that aims to provide education and knowledge related to aviation weather information services to stakeholders, especially at airports that have not received services from aviation meteorological stations. This activity is carried out by the Aviation Meteorology Center of Met Agency</t>
  </si>
  <si>
    <t>Improving understanding of aviation climate information to support flight planning and safety in accordance with national and international regulations.</t>
  </si>
  <si>
    <t>Maintain regular Climate Literacy for Youth and Community Climate Action</t>
  </si>
  <si>
    <t>climate education activity aimed at students, school children, village governments, and NGOs. This activity is carried out by the Applied Climate Information Service Center, BMKG</t>
  </si>
  <si>
    <t>Improve understanding of climate information and its use, responsiveness and alertness to early warnings and implementing independent adaptation actions.</t>
  </si>
  <si>
    <t>Improvement and introduction of Weather Education Program (Program Edukasi Cuaca - EDUCA) to wider audience</t>
  </si>
  <si>
    <t>EDUCA is an online-based weather and climate education activity targeting children aged 4-12 years and young parents aged 20-40 years. This activity is carried out by the Public Meteorology Center, Met Agency</t>
  </si>
  <si>
    <t>Increased understanding of weather and climate information with wider access through the weather channel</t>
  </si>
  <si>
    <t>Improvement and introduction of Satellite Disaster Early Warning System (SADEWA)  to wider target audience</t>
  </si>
  <si>
    <t>SADEWA is a web-based application consisting of the Himawari-8 satellite-based atmospheric monitoring system, the Weather Research Forecasting (WRF) model-based atmospheric prediction system, and the extreme rain early warning system. SADEWA is available for all regions of Indonesia with a spatial resolution of 5 kilometers, a time resolution of 1 hour, with a prediction range of 3 days ahead. More detailed output is available for West Java Province with a spatial resolution of 1 km. SADEWA was developed by the BRIN Climate and Atmospheric Research Center</t>
  </si>
  <si>
    <t>SADEWA is expected to be a decision support system or Decision Support System (DSS) for parties related to handling disaster events both at the central and regional government levels in the context of managing hydro-meteorological disaster risks.</t>
  </si>
  <si>
    <t>Improvement and introduction of Sistem Embaran Maritim (SEMAR) to wider audience</t>
  </si>
  <si>
    <t>SEMAR is a web-based application consisting of atmospheric, marine, fisheries and observation information systems (Sadeng Island, Yogyakarta and Mantang Island, Riau Islands). SEMAR was developed by several BRIN Research Centers, Ministry of Marine and Fisheris, Met Agency, and the Provincial Governments (Yogyakarta and Riau Islands)</t>
  </si>
  <si>
    <t>SEMAR diharapkan dapat menjadi sistem pendukung keputusan terkait keselamatan pelayaran dan peningkatan produksi perikanan tangkap</t>
  </si>
  <si>
    <t>Improvement and introduction of Indonesian Atmospheric Composition Information System (Sistem Informasi Komposisi Atmosfer Indonesia - SRIKANDI) to wider audience</t>
  </si>
  <si>
    <t>SRIKANDI is a web-based application that provides information related to atmospheric composition and air pollution, both based on observations, satellites and predictions based on WRF-Chem.</t>
  </si>
  <si>
    <t>SRIKANDI is expected to be decision support system for stakeholders in air quality management</t>
  </si>
  <si>
    <t>Improvement and introduction of Local rain monitorig system (Sistem Pemantau Hujan - SANTANU) to wider audience</t>
  </si>
  <si>
    <t>SANTANU is a monitoring system for local scale rainfall monitoring as an alternative technology to fill in areas that are not monitored by existing weather radar.</t>
  </si>
  <si>
    <t>Availability of rainfall information that can be used for various purposes by related parties</t>
  </si>
  <si>
    <t>Improvement and introduction of Medium term seasonal onset assessment (Kajian Awal Musim Jangka Madya Wilayah Indonesia - KAMAJAYA) to wider audience</t>
  </si>
  <si>
    <t>KAMAJAYA is a web-based system that provides information related to rainfall predictions for the next few months and recommendations for the start of the harvest season. The KAMAJAYA Pilot Project has been implemented in Ogan Komering Ulu Regency, South Sumatra, a collaboration between PT Mitra Tanam Sejahtera and BRIN</t>
  </si>
  <si>
    <t>KAMAJA is expected to be a decision support system related to determining the start of the planting season by related parties - for example farmers.</t>
  </si>
  <si>
    <t>Training on Agricultural and Disaster Preparedness System (Sistem Kesiapsigaan Pertanian dan Bencana - SKPB)</t>
  </si>
  <si>
    <t>KPB is an application that provides information on rainfall predictions, weather, planting calendars, and potential disaster hazards using climate prediction technology equipped with satellite data and field data. Village Resilience Assessment (PKD) for 20 representative villages in East Lombok Regency were conducted as a basis for development of this system. Trainings were carried out by the Partner Resource Development Institute (LPSDM) with the support of World Neighbors (WN) in collaboration with the East Lombok Communication and Information Service. The system can be helpful for other regions too.</t>
  </si>
  <si>
    <t>The SKPB application can be used by related parties - for example farmers - to optimize climate-resilient agriculture. The Village Resilience Assessment can also be the basis for developing strategies and programs to increase village resilience.</t>
  </si>
  <si>
    <t>Pilot Climate Smart Chicken Coop</t>
  </si>
  <si>
    <t>USAID APIK (Adaptasi Perubahan Iklim dan Ketangguhan) dan Paguyuban Peternak Rakyat Nasional (PPRN) Kabupaten Blitar mengembangkan kandang ayam yang mampu meningkatkan efisiensi penggunaan air, serta meningkatkan kualitas dan kuantitas telur</t>
  </si>
  <si>
    <t>Tersedianya kandang percontohan sebgai media pembelajaran dalam peningkatan kapasitas peternak dalam mengembangan peternakan cerdas iklim</t>
  </si>
  <si>
    <t>Training for the use of monitoring and evaluation systems for program actions related to climate change adaptation.</t>
  </si>
  <si>
    <t>This program is carried out to ensure the sustainability and monitoring of climate change adaptation programs by related Ministries/Agencies</t>
  </si>
  <si>
    <t>Optimizing the use of existing monitoring systems</t>
  </si>
  <si>
    <t>Training for surveillance personnel, vector control personnel and health information system operating personnel, especially in the underdeveloped, frontier, and outmost (Tertinggal, Terdepan, Terluar - 3T) regions.</t>
  </si>
  <si>
    <t>Surveillance personnel, vector controllers are the spearhead of disease prevention and control, but training for 3T areas is still experiencing obstacles. There is a need to increase training activities, especially in these areas.</t>
  </si>
  <si>
    <t>Increased case detection and responses</t>
  </si>
  <si>
    <t>Water Resources</t>
  </si>
  <si>
    <t xml:space="preserve">Strengthening the Disaster Resilient Village (Desa Tangguh Bencana - Destana) Program </t>
  </si>
  <si>
    <t>One of Destana's programs is to integrate Natural Disaster Risk Management into business models and practices. Related actions are compiling disaster risk maps, evacuation maps, and PRB forums; providing training related to Processed Fish Products, Handicrafts, Fishing Trawls, and Tourism Villages</t>
  </si>
  <si>
    <t>Increasing the ability of villages or communities to be independent in adapting and facing disaster threats, as well as recovering quickly from the detrimental impacts of disasters.</t>
  </si>
  <si>
    <t>Disaster Early Warning System (EWS) training</t>
  </si>
  <si>
    <t>This program is a program initiated by BNPB in order to strengthen the community adaptation forum in Long Peso and Long Bia Villages, North Kalimantan, regarding learning about early warning signs of disasters. Need further implementation in other regions.</t>
  </si>
  <si>
    <t>Increasing public understanding of early warning signs of disasters</t>
  </si>
  <si>
    <t>Training on the use of digital strong-wind early warning tools (systems)</t>
  </si>
  <si>
    <t>This program is part of the Climate Village Program in Massenrengpulu Village, Lamuru, South Sulawesi and related stakeholders need training to understand how this tool (system) works, and how to respond to the warnings received. This also involves raising awareness about the risk of strong wind.</t>
  </si>
  <si>
    <t>Increasing understanding of the use of early warning tools (systems) for strong winds, including increasing awareness of the risks of strong wind disasters.</t>
  </si>
  <si>
    <t>Disaster-resilient family movement campaign for women and high school students</t>
  </si>
  <si>
    <t>The program was initiated by BNPB in order to build disaster-resilient families and this activity has started in Cimahi, West Java.</t>
  </si>
  <si>
    <t>Improving disaster response for women and high school students</t>
  </si>
  <si>
    <t>Strengthening DRR-movement program</t>
  </si>
  <si>
    <t>DRR-movement or Gerakan PRB covers Coastal, River, and Mountain Schools is an initiative of BNPB to increase community resilience in facing disasters. This program is not only effective in reducing disaster risks, but also strengthens collaboration between communities and concern for the environment.</t>
  </si>
  <si>
    <t>Increasing community preparedness, strengthening ecosystems, developing community capacity, and strengthening natural resource governance.</t>
  </si>
  <si>
    <t>Disaster resilient schools</t>
  </si>
  <si>
    <t>This is a BNPB program for climate awareness campaigns, enforcement of standards and supervision in schools or education units</t>
  </si>
  <si>
    <t>Raising awareness of climate disasters for areas prone to climate disasters</t>
  </si>
  <si>
    <t>Development of Resilient Coastal Villages (Desa Pesisir Tangguh)</t>
  </si>
  <si>
    <t>This program was initiated by the Ministry of Marine Affairs and Fisheries, one of the programs is strengthening the mangrove working group and the mangrove care forum.</t>
  </si>
  <si>
    <t>Increasing community understanding in the context of coastal area protection</t>
  </si>
  <si>
    <r>
      <rPr>
        <sz val="11"/>
        <color theme="1"/>
        <rFont val="Calibri"/>
        <family val="2"/>
        <scheme val="minor"/>
      </rPr>
      <t xml:space="preserve">Notation keys: NA = not applicable; UA = information not available at the time of reporting; NR = not reported (to indicate the voluntary character of the information).
</t>
    </r>
    <r>
      <rPr>
        <vertAlign val="superscript"/>
        <sz val="11"/>
        <rFont val="Calibri"/>
        <family val="2"/>
      </rPr>
      <t xml:space="preserve">a   </t>
    </r>
    <r>
      <rPr>
        <sz val="11"/>
        <color theme="1"/>
        <rFont val="Calibri"/>
        <family val="2"/>
        <scheme val="minor"/>
      </rPr>
      <t xml:space="preserve">Developing country Parties should provide, in common tabular format, information on capacity-building support needed, to the extent possible, as available and as applicable.
</t>
    </r>
    <r>
      <rPr>
        <vertAlign val="superscript"/>
        <sz val="11"/>
        <rFont val="Calibri"/>
        <family val="2"/>
      </rPr>
      <t xml:space="preserve">b   </t>
    </r>
    <r>
      <rPr>
        <sz val="11"/>
        <color theme="1"/>
        <rFont val="Calibri"/>
        <family val="2"/>
        <scheme val="minor"/>
      </rPr>
      <t xml:space="preserve">Parties include information on support needed from the reporting year of the BTR.
</t>
    </r>
    <r>
      <rPr>
        <vertAlign val="superscript"/>
        <sz val="11"/>
        <rFont val="Calibri"/>
        <family val="2"/>
      </rPr>
      <t xml:space="preserve">c   </t>
    </r>
    <r>
      <rPr>
        <sz val="11"/>
        <color theme="1"/>
        <rFont val="Calibri"/>
        <family val="2"/>
        <scheme val="minor"/>
      </rPr>
      <t xml:space="preserve">Parties provide the underlying assumptions, definitions and methodologies, as applicable, used to identify and/or report this reporting parameter in the respective section of the BTR
</t>
    </r>
    <r>
      <rPr>
        <vertAlign val="superscript"/>
        <sz val="11"/>
        <rFont val="Calibri"/>
        <family val="2"/>
      </rPr>
      <t xml:space="preserve">d   </t>
    </r>
    <r>
      <rPr>
        <sz val="11"/>
        <color theme="1"/>
        <rFont val="Calibri"/>
        <family val="2"/>
        <scheme val="minor"/>
      </rPr>
      <t xml:space="preserve">If “other”, Parties should specify this information.
</t>
    </r>
    <r>
      <rPr>
        <vertAlign val="superscript"/>
        <sz val="11"/>
        <rFont val="Calibri"/>
        <family val="2"/>
      </rPr>
      <t xml:space="preserve">e   </t>
    </r>
    <r>
      <rPr>
        <sz val="11"/>
        <color theme="1"/>
        <rFont val="Calibri"/>
        <family val="2"/>
        <scheme val="minor"/>
      </rPr>
      <t xml:space="preserve">This refers to activities that have both mitigation and adaptation components.
</t>
    </r>
    <r>
      <rPr>
        <vertAlign val="superscript"/>
        <sz val="11"/>
        <rFont val="Calibri"/>
        <family val="2"/>
      </rPr>
      <t xml:space="preserve">f   </t>
    </r>
    <r>
      <rPr>
        <sz val="11"/>
        <color theme="1"/>
        <rFont val="Calibri"/>
        <family val="2"/>
        <scheme val="minor"/>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</si>
  <si>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b/>
        <sz val="14"/>
        <color rgb="FF000000"/>
        <rFont val="Calibri"/>
        <family val="2"/>
      </rPr>
      <t xml:space="preserve">Table III.11 Information on </t>
    </r>
    <r>
      <rPr>
        <b/>
        <sz val="14"/>
        <color rgb="FF0070C0"/>
        <rFont val="Calibri"/>
        <family val="2"/>
      </rPr>
      <t>capacity-building support received</t>
    </r>
    <r>
      <rPr>
        <b/>
        <sz val="14"/>
        <color rgb="FF000000"/>
        <rFont val="Calibri"/>
        <family val="2"/>
      </rPr>
      <t xml:space="preserve"> by developing country Parties under Article 11 of the Paris Agreement</t>
    </r>
    <r>
      <rPr>
        <b/>
        <vertAlign val="superscript"/>
        <sz val="14"/>
        <color rgb="FF000000"/>
        <rFont val="Calibri"/>
        <family val="2"/>
      </rPr>
      <t>a, b</t>
    </r>
  </si>
  <si>
    <t>Strengthening School Preparedness for Tsunami in the Asia-Pacific Region Phase I (2017-18), Phase II (2018-2021), Phase III (2021-23)</t>
  </si>
  <si>
    <t>Most countries in the Asia-Pacific region are prone to tsunami. Early warning systems, preparedness plans and awareness campaigns help mitigate the impact of tsunami, which though infrequent, can be potentially devastating. The UNDP Government of Japan project Partnerships for Strengthening School Tsunami Preparedness in the Asia-Pacific Region has helped schools in 24 countries to prepare or update their tsunami or disaster preparedness plans and test them through safe evacuation drills, 400 schools tsunami initiatives, 200,000 students and teachers training. The tsunami project contributes to the achievement of the Sendai Framework’s seven targets to reduce lives lost, numbers of people affected, and economic damage from natural and human-induced hazards. The Bali Provincial Government’s decree on Disaster Resilience Education calls for high school/universities to mainstream disaster education into intra and extra curriculum.</t>
  </si>
  <si>
    <t>2017-2023</t>
  </si>
  <si>
    <t>Bangladesh, Cambodia, Fiji, Indonesia, Malaysia, Other (Republic of Maldives), Myanmar, Pakistan, Papua New Guinea, Philippines, Samoa, Solomon Islands, Sri Lanka, Thailand, Other (East Timor), Tonga, Vanuatu, Viet Nam</t>
  </si>
  <si>
    <t>BNPB and UNDP Country Office are the main implementers of the project. At the country level, additional partners may include subnational governments (Bali Province), the Red Cross and Red Crescent movement, the Japanese International Cooperation Agency (JICA) and others such as technical partner in Indonesia is BRIN.</t>
  </si>
  <si>
    <t>Climate Resilience Awareness, Disaster risks management</t>
  </si>
  <si>
    <t>The purpose is to raise awareness of the need for tsunami preparedness. In partnership with the Government of Japan, the United Nations Development Programme Bangkok Regional Hub is helping tsunami prone schools in the region to strengthen their tsunami preparedness, based on Japan’s experience</t>
  </si>
  <si>
    <t>BR_4</t>
  </si>
  <si>
    <t>Human resources development program for promoting export of low-carbon technologies</t>
  </si>
  <si>
    <t>The program is FY2022 Support Program for Human Resources Development to Export Carbon Reduction Technology. There is 2 expert from Indonesia, which is approved by the Screening Committee was aggravated.</t>
  </si>
  <si>
    <t>China, Thailand, Indonesia, India, Mexico, Other (etc.)</t>
  </si>
  <si>
    <t>Engineers in developing countries, etc. are accepted by parent companies in Japan and provided with training</t>
  </si>
  <si>
    <t>RE, Energy Conservation, Energy Efficiency</t>
  </si>
  <si>
    <t>Human resource development in this program promotes CO2 reductions and improves the
performance of companies in Japan and local companies simultaneously. Also promote the low carbonization and ultimately carbon neutrality by 2050</t>
  </si>
  <si>
    <t>Project of Capacity Development for the Implementation of Agricultural Insurance</t>
  </si>
  <si>
    <t>Agricultural insurance in Indonesia is a relatively new instrument employed by the Government to protect farmers from crop failures caused by natural disasters, plant pest attacks, outbreaks of infectious animal diseases, impacts of climate change and/or other risks stipulated in the Farmers Protection Law (19/2013). In 2010-2015, JICA supported the Ministry of Agriculture (MOA) in piloting an indemnity-based agriculture insurance. In 2015, based on the results of various pilot initiatives, the Government of Indonesia started the implementation of an indemnity-based agricultural insurance for small-scale rice farmers called AUTP (Asuransi Usaha Tani Padi) in major rice producing provinces, under which 80% of the premium are subsidized by the Government using the state budget allocated to the MOA.
The indemnity-based insurance scheme requires damage verification for every single incidence of damage claims and it has been facing challenges such as high operational and administrative costs. Furthermore, appropriate data management system, including data collection, processing and administration, need to be in place to avoid risks of data inaccuracy and implementation failures.
Against these backdrops, the Project of Capacity Development for the Implementation of Agricultural Insurance has been developed and implemented since October 2017 to address challenges through enhancing capacities of the key ministries/agencies in promoting the agricultural insurance in Indonesia.</t>
  </si>
  <si>
    <t>Indonesia</t>
  </si>
  <si>
    <t>Ministry of National Development Planning/National Development Planning Agency (BAPPENAS), Ministry of Agriculture, Ministry of Finance, Agency for Meteorology Climatology and Geophysics (BMKG), PT Asuransi Jasa Indonesia (Jasindo)</t>
  </si>
  <si>
    <t>Multiple Areas</t>
  </si>
  <si>
    <t>Agriculture, Economic resilience, Social and livelihood resilience</t>
  </si>
  <si>
    <t>Sustainable agriculture and plantations, Enhancement of adaptive capacity</t>
  </si>
  <si>
    <t>- Goals: Agricultural insurance is continuously implemented in Indonesia.
- Project Purpose Capacity of the key ministries/institutions, the concerned local governments, and other relevant organizations to enhance the implementation of agricultural insurance is strengthened.
- Output: Capacity to implement the current scheme of agricultural insurance for paddy is strengthened; Capacity to analyse and improve agricultural insurance scheme is strengthened.</t>
  </si>
  <si>
    <t>The Project for Enhancement of Disaster Risk Reduction through Improvement of the Disaster Risk Information and Communication Framework in Indonesia</t>
  </si>
  <si>
    <t>The meeting was attended by a total of about 50 participants. From the Indonesian side, representatives of the National Disaster Management Authority (BNPB), other Ministries and Agencies involved in Disaster Risk Reduction (DRR) attended the meeting. Meanwhile, from the Japanese side, representatives from JICA Indonesia Office, JICA Expert (currently dispatched to BNPB), and the JICA Expert Team attended the meeting. In addition, some representatives from international organizations also joined the meeting.
At the meeting, active discussions were held on the project outline and its implementation policy. BNPB emphasized the importance of promoting the implementation of DRR projects (investment in DRR) by improving the monitoring and evaluation system of the Long-term Master Plan for Disaster Management (RIPB 2020-2044) and the National Mid-term Disaster Management Plan (Renas PB) through the Project.
Like Japan, Indonesia is also one of the world's most disaster-prone countries due to its geographical features, and the 2004 Indian Ocean Earthquake and Tsunami triggered a policy shift toward developing a comprehensive disaster management system, including a pre-disaster perspective. This led to the enactment of the Disaster Management Law in 2007 and the establishment of the BNPB. In response to this transition, JICA has continuously committed to provide assistance in the field of DRR since 2007, including strengthening the disaster management capacity of the central and local governments, and formulating disaster management plans. Furthermore, the Sendai Framework for Disaster Risk Reduction, adopted in 2015, underscores the need to promote investment in DRR. Following these global trends and the current challenges, the Project will support Indonesia in building a disaster-resilient country.</t>
  </si>
  <si>
    <t>2023-2026</t>
  </si>
  <si>
    <t>- Implementing Institution:
BNPB (National Disaster Management Authority)
- Cooperating Institutions:
BAPPENAS (National Project planning Agency)
KEMENDAGRI (Ministry of Home Affairs)
- Members of Joint Coordinating Committee (JCC):
Kemenko PMK (Coordinating Ministry for Human Development and Cultural Affairs) and
KEMENKEU (Ministry of Finance)</t>
  </si>
  <si>
    <t>Ramping up disaster preparedness programs for natural disaster risk reduction</t>
  </si>
  <si>
    <t>On going</t>
  </si>
  <si>
    <t>- Goals: A country's mechanism and structure to promote disaster risk reduction project in cooperation with relevant agencies will be established.
- Output: Output 1: A methodology to monitor and evaluate RIPB 2020-2044 and its related program/ project with utilization of disaster information and disaster risk information is developed.
Output 2: An implementation framework to monitor, evaluate and improve RIPB 2020-2044 and its related program/ project is established.</t>
  </si>
  <si>
    <t>The Project for Development and Implementation of New Damage Assessment Process in Agricultural Insurance as Adaptation to Climate Change for Food Security</t>
  </si>
  <si>
    <t>Specifically targeted at Indonesia, which has launched an agricultural insurance system for rice producers, the project aims to “contribute to future food security on an international basis by supporting the improvement of agricultural insurance as a means of adapting to climate change, thus increasing the adoption of agricultural insurance.” It also aims to realize the implementation of objective and efficient damage assessment covering wide area, the core of agricultural insurance system, by establishing new assessment method utilizing spatial information from such as satellites, drones, GIS and other sources.</t>
  </si>
  <si>
    <t>Research Institutions in Counterpart Country: 
Bogor Agricultural University / Udayana University / West Java Provincial Agriculture Office / Badung District Agriculture Office in Bali Province</t>
  </si>
  <si>
    <t>Agriculture, Economic resilience</t>
  </si>
  <si>
    <t>Terminated</t>
  </si>
  <si>
    <t>Project for Community Movement Program on Forest and Land Fire Prevention</t>
  </si>
  <si>
    <t>The newly signed project, which will be implemented at Riau, West Kalimantan, and Central Kalimantan provinces, which have large areas of peatlands and government's high priority sites, utilizes the results of JICA's previous cooperation in order to address GHG emission control in Indonesia. The project will adopt community-based forest and land fire prevention models at the district level with the aim of sharing these experiences at the national level. While community-based approach was also used in the past project, the new project will also include components such as peatland water management and alternative livelihood planning that enable residents to improve sustainable livelihoods without using the fire. JICA provides support at both the policy and community levels.</t>
  </si>
  <si>
    <t>Directorate of Forest and Land Fire Management, Ministry of Environment and Forestry (KLHK)</t>
  </si>
  <si>
    <t>Forestry, Social and livelihood resilience</t>
  </si>
  <si>
    <t>Deforestation and forest degradation, Enhancement of adaptive capacity</t>
  </si>
  <si>
    <t>Project output:
1. Institutional arrangement for forest and land fire control is operationalized in the three (3) targeted areas.
2. Community-based forest and land fire prevention model is adopted at the district level.
3. Community-based sustainable peatland management model is developed at fire prone villages.
4. Policies and experiences on Community-based forest and land fire prevention are shared at the national level.</t>
  </si>
  <si>
    <t>300186 Economics of Low Carbon Development for Indonesia</t>
  </si>
  <si>
    <t>The UK Climate Change Unit (UKCCU) in partnership with Indonesia’s National Development and Planning Ministry (Bappenas) funded a Low Carbon Development Initiative (LCDI) programme (November 2017- August 2021). The LCDI programme aims to support the Government of Indonesia (GoI) to (i) to prepare and implement Indonesia’s first national low carbon development plan and (ii) to build lasting support for long-term low carbon development in Indonesia. During past two years, the LCDI programme supported the production of a key report: Low Carbon Development: A Paradigm Shift Towards a Green Economy in Indonesia, launched by Bappenas in March 2019 and supported an intense technocratic process on the plan to integrate the Low Carbon Development (LCD) into the GoI’s medium term planning process  (2020-24).</t>
  </si>
  <si>
    <t>Bappenas, the Ministry of Environment and Forestry, the Ministry of Home Affairs and the Ministry of Finance</t>
  </si>
  <si>
    <t>LCDI strategic and report in line with RPJMN of GoI.</t>
  </si>
  <si>
    <t>BR_5</t>
  </si>
  <si>
    <t xml:space="preserve">This project loans include constructing a large-scale wastewater treatment plant, along with a sewer network in Zone 1 of Jakarta </t>
  </si>
  <si>
    <t>Directorate General of Human Settlements, Ministry of Public Works and Housing, Provincial Government of Jakarta, and JICA</t>
  </si>
  <si>
    <t>Ecosystem resilience, Social and Livelihood Resilience, Waste &amp; IPPU</t>
  </si>
  <si>
    <t>Promoting proper wastewater treatment, improving the living environment and sanitation for residents, and conserving the aquatic environment. The project will contribute to the achievement of SDGs Goal 6.</t>
  </si>
  <si>
    <t>a. Enhancing the management of Mamasa Watershed.
b. Strengthening the capacity of Forest Management Unit (FMU) in West Sulawesi.
c. Empowering people surrounding Mamasa Watershed.
d. Conservation of biodiversity in the Gadang Dewata Landscapes in West Sulawesi.</t>
  </si>
  <si>
    <t>Ministry of Environment and Forestry. a. Watershed and Protection Forest Management Office of Jenebarang Saddang
b. Watershed and Protection Forest Management Office of Lariang Mamasa
c. Nature Resource Conservation Office of South Sulawesi</t>
  </si>
  <si>
    <t>FOLU, ecosystem resilience, social and livelihood resilience</t>
  </si>
  <si>
    <t>a. Output
1) Strengthening the cooperation of key stakeholders to improve watershed management.
2) Strengthening of forest management in selected Unity of Forest Management or Kesatuan Pengelolaan Hutan (KPH) in West Sulawesi to support watershed management.
3) Empowering people in selected villages to support watershed management.
4) Gandang Dewata National Park development and management.
b. Outcome
The implementation of strategies for forest conservation and rehabilitation in order to reduce sedimentation and improve the function of Mamasa watershed for livelihoods of the community.</t>
  </si>
  <si>
    <t>DRKH DJPPR Kemenkeu 2018</t>
  </si>
  <si>
    <t>This project is based on the high demand to improve the provision of information to farmers. Furthermore, this project uses the concept-based applications as input for agriculture and financial information which would then be added to the information related to the irrigation sector. Key innovative elements of this project include:
a. The provision of specific local market information and linkages with markets.
b. Platforms to link farmers with value chain groups and irrigation authorities.
c. A public-private partnership model to support the provision of agricultural information to farmers through mobile phones.
The system will technically and financially viable and may lead to mass commercial uptake.</t>
  </si>
  <si>
    <t>Deputy Minister of Infrastructure Affairs, Ministry of National Development Planning/National Development Planning Agency</t>
  </si>
  <si>
    <t>Economic resilience, ecosystem resilience</t>
  </si>
  <si>
    <t>a. Output
1) Model and strategy developed for using information and communication technology for agricultural information exchange.
2) Context specific, low-cost, timely, and actionable information are provided.
b. Outcome
Management of agricultural extension information services in three districts in rural Indonesia is improved</t>
  </si>
  <si>
    <t>1) Determination of the water supply capacity and water demand in target year.
2) Digitalization of water network map of project area.
3) Zoning and District Meter Area (DMA) established plan considering water supply sources, service connections and administrative districts.
4) Establishment Smart Water Management System design to stabilize operation and maintenance through and has DMA operation, leakage detection, and restoration capacity of the PDAM’s officers and operators.
5) Investigation and analysis of future plans established by PDAM Tirta Moedal or relevant institutes.</t>
  </si>
  <si>
    <t>1. Agency for the Improvement of Drinking Water Supply System (BPPSPAM)
2. Directorate of Water Supply System Development, Ministry of Public Works and Housing</t>
  </si>
  <si>
    <t>Economic resilience, Social and livelihood resilience</t>
  </si>
  <si>
    <t>1) Improvement of PDAM performance.
2) Reduction of NRW from 38,73% to 20% or less.
3) Create synergy between Smart Water Management project and other on-going projects in PDAM Tirta Moedal, Semarang City.
4) Ensure technical readiness of PDAM Tirta Moedal to implement Smart Water Management project.</t>
  </si>
  <si>
    <t>DRKH DJPPR Kemenkeu 2019</t>
  </si>
  <si>
    <t>BioCF ISFL is a multilateral facility program supported by donor governments and managed by the World Bank, which is intended to promote and reward GHG emissions reductions and increase sequestration through improved land management including; REDD+, climate smart agriculture and smarter land use planning and policies. Indonesia has participated in the BioCF ISFL scheme as one of the result-based REDD + pilots, the Ministry of Environment and Forestry c.q. the Directorate General of Climate Change has conducted a joint assessment of stakeholders to propose Jambi Province to become the location of the BioCF ISFL program in Indonesia.</t>
  </si>
  <si>
    <t>Directorate General of Climate Change, Ministry of Environment and Forestry</t>
  </si>
  <si>
    <t>AFOLU, Economic resilience, Social and livelihood resilience</t>
  </si>
  <si>
    <t>1) Identification of causes of GHG emission changes, based on land.
2) Identification of activities to be carried out to support emission reduction achievements.
3) Establishment of a strong institution and policy framework for implementing BioCF ISFL activities.</t>
  </si>
  <si>
    <t>Pre-Investment for BioCarbon Fund Initiative for Sustainable Forest Landscapes (BioCF ISFL) </t>
  </si>
  <si>
    <t>2020-2025</t>
  </si>
  <si>
    <t>Sustainable Forest Landscapes, REDD+, climate smart agriculture, smart landuse planning and policies</t>
  </si>
  <si>
    <t>Forest Programme V: Social Forestry Support Programme </t>
  </si>
  <si>
    <t>2020-2024</t>
  </si>
  <si>
    <t>Ministry of Environment and Forestry, a. Social Forestry and Environment partnership Jawa and Bali Office (BPSKL-Jawa-Bali-Nusa Tenggara)
b. Social Forestry and Environment Partnership Kalimantan office (BPSKL-Kalimantan) </t>
  </si>
  <si>
    <t>Social forestry</t>
  </si>
  <si>
    <t>Strengthening of Social Forestry in Indonesia </t>
  </si>
  <si>
    <t>Ministry of Environment and Forestry: a. Directorate General of Social Forestry and Environment Partnership
b. Directorate General of Area Preparation of Social Forestry</t>
  </si>
  <si>
    <t>Technical Assistance Sustainable Infrastructure Assistance Project Phase II (TA SIAP 2) </t>
  </si>
  <si>
    <t>a. SIAP2 will be carried out based on the lessons learned in SIAP1 with some improvements to: (1) a greater focus on the supervision of strategic partners rolling plan; (2) emphasis on project preparation and implementation efforts; (3) strong reporting arrangements with a control and evaluation framework that is better focused on results (output, outcome and impact);
(4) a greater focus on program management and communication; (5) simplification of procedures for greater involvement of consultants; and (6) priority sectors: (i) energy; (ii) transportation; (iii) urban services; and (iv) water resources.
b. SIAP2 will contribute to the improvement of project planning and preparation processes through improving the quality of feasibility studies, the accuracy of design standards, the details of engineering design, and strengthening capacity in procurement. Through better project planning and preparation,
risks in delays and quality problems in infrastructure development can be minimized.
c. SIAP2 is proposed as a transaction technical assistance (TRTA) cluster that will provide: (i) project preparation support to specific ensuing infrastructure projects; and (ii) implementation and capacity-building support to specific ongoing infrastructure projects.
d. For the initial step of SIAP2, these six sub-projects will be approved in 2018-2019:
1) TRTA Subproject 1: Due Diligence for Road Projects in Kalimantan and Sulawesi and Capacity Development.
2) TRTA Subproject 2: Preparing Railway Projects in Sulawesi.
3) TRTA Subproject 3: Supporting Sustainable and Efficient Energy Policies and Investments.
4) TRTA Subproject 4: Supporting Sustainable and Universal Electricity Access.
5) TRTA Subproject 5: Preparation of the Integrated Participatory Development and Irrigation Management Program
6) KSTA Subproject 6: Innovative Infrastructure Financing, Infrastructure Planning, and SIAP2 Program Management.</t>
  </si>
  <si>
    <t>a. Ministry of National Development Planning/ National Development Planning Agency
b. Ministry of Public Works and Housing
c. Ministry of Energy and Mining Resources
d. Ministry of Transportation
e. National Public Procurement Agency (NPPA)</t>
  </si>
  <si>
    <t>Energy, Economic resilience, Social and livelihood resilience</t>
  </si>
  <si>
    <t>Sustainable and energy efficient infrastructure and investments</t>
  </si>
  <si>
    <t>Effective identification, preparation, implementation, and financing of infrastructure projects.</t>
  </si>
  <si>
    <t>DFAT Support to the National Slum Upgrading Program (NSUP) </t>
  </si>
  <si>
    <t>2021-2024</t>
  </si>
  <si>
    <t>Ministry of Public Works and Housing </t>
  </si>
  <si>
    <t>water, sanitation, and settlement infrastructure development</t>
  </si>
  <si>
    <t>a. Output
The percentage of water, sanitation and settlement facilities that are functioning and adopting diffable incentives is 50%, the minimum target of services at 80%, and the number of people involved in cash for works and labour-intensive activities
b. Outcome
1) About 20,000 people provided with improved infrastructure
2) About 6,000 people provided with improved water sources
3) About 6,000 people provided with improved sanitation
4) About 20,000 people provided with regular solid waste collection
5) About 6,000 people provided with improved drainage</t>
  </si>
  <si>
    <t>DRKH DJPPR Kemenkeu 2021</t>
  </si>
  <si>
    <t>Capacity Building to Support Operational Sustainability SPAM Regional Wosusokas </t>
  </si>
  <si>
    <t>In order to ensure the sustainability of the financed operation in Central Java and East Java Province, a training is necessary for both the operator and regulator of the Wosusokas SPAM Regional: a. Training needs assessment include data collection and assessment of the current situation
b. Planning phase for the implementation of the specific training measures
c. Implementation phase (training units, workshops, and study tours)</t>
  </si>
  <si>
    <t>2022-2026</t>
  </si>
  <si>
    <t>Directorate General of Human Settlement, Ministry of Public Works and Housing</t>
  </si>
  <si>
    <t>Water</t>
  </si>
  <si>
    <t>Output
1) Standard operational procedure
2) Training modules
3) Activity report
b. Outcome
1) Achieving minimum allowable water loss
2) Reasonable tariff for operation (above production cost)</t>
  </si>
  <si>
    <t>Forest Programme VI: Protection of Mangrove Forests </t>
  </si>
  <si>
    <t>2022-2029</t>
  </si>
  <si>
    <t>Ministry of Forestry: (1) Forestry and Environment Research, Development and Innovation Agency; (2) Center for Research and Development on Social, Economy, Policy and Climate Change</t>
  </si>
  <si>
    <t>AFOLU, Economic resilience, Social and livelihood resilience, ecosystem resilience</t>
  </si>
  <si>
    <t>Mangrove conservation, restoration, and sustainable management, Community development and livelihood</t>
  </si>
  <si>
    <t>Output
1) Conservation, restoration, and sustainable management of mangrove forests
2) Community development and livelihoods
3) Spatial planning, policy and advocacy
4) Innovative as well as applied research and development
5) Establishment of a World Mangrove Centre
b. Outcome
Mangrove forests in the pilot regions are maintained and restored through social, ecological and economically sustainable management by forestry authorities and communities</t>
  </si>
  <si>
    <t>Preparatory Survey for Comprehensive Disaster Reduction and Management Improvement of Jeneberang River Basin </t>
  </si>
  <si>
    <t>Jeneberang River basin has been suffered from serious flood damage due to frequent flooding, so JICA formulated a flood control master plan (hereinafter called as “the M/P”) in 1980’s. JICA recognizes a necessity of updating existing the M/P and sediment management plan for prolonging the functions of Bili-Bili Dam and decided to implement this survey for formulation of new JICA projects for flood control and sediment management.</t>
  </si>
  <si>
    <t>Ministry of Public Works and Housing: a. Directorate of Dam and Lakes
b. Directorate of River and Coasts
c. River Basin Organization for Pompengan Jeneberang</t>
  </si>
  <si>
    <t>Social and livelihood resilience, ecosystem resilience</t>
  </si>
  <si>
    <t>flood control and sediment management.</t>
  </si>
  <si>
    <t>1) Increasing effective water storage
2) Guaranteed supply of raw water
3) Increasing of resilience against flood disaster
4) River flow normalization and flood disaster mitigation
5) Prolonging of life of Bili-Bili dam
6) Controlled sedimentation rates in the central and upstream areas</t>
  </si>
  <si>
    <t>DRKH DJPPR Kemenkeu 2022</t>
  </si>
  <si>
    <t>Preparatory Survey for Water Resources Development in The Eastern Semarang through Upgrade of the Kedung Ombo Dam </t>
  </si>
  <si>
    <t>The water resources development issues need to be urgently resolved in Semarang and Demak for establishing and expanding the sustainable socio-economy of the region and forming the balanced socio-economic situation in the Java Economic Corridor, which links Jakarta, Semarang and Surabaya. Since the new water source in the Eastern Semarang area is not enough to supply the increasing water demand, the effective use of the existing Kedung Ombo (KDO) Dam is proposed by means of upgrading of the facilities and reservoir operation</t>
  </si>
  <si>
    <t>Ministry of Public Works and Housing: a. Directorate of Dam and Lakes
b. River Basin Organization for Pemali Juana </t>
  </si>
  <si>
    <t>water resources development</t>
  </si>
  <si>
    <t>1) Mitigation of drought damage in the Eastern Semarang
2) Mitigation of land subsidence by means of restriction of groundwater use
3) Increase of agricultural products
4) Enhancement of living standard in the urban and rural area of the Eastern Semarang</t>
  </si>
  <si>
    <t>Australian government assistance performance-based drinking water management grants</t>
  </si>
  <si>
    <t>Improving the performance of BUMD Organizing Drinking Water Supply Systems (SPAM) includes aspects of governance, operational efficiency, finance and service quality so that they can provide quality and sustainable services to customers and increase access to drinking water to all levels of society.</t>
  </si>
  <si>
    <t>Direktorat Jenderal Cipta Karya, Ministry of Public Works and Housing</t>
  </si>
  <si>
    <t>Smart Water Management</t>
  </si>
  <si>
    <t>The purpose of organizing SPAM is regulated in Article 2 of PP SPAM, namely to:
a. The accessibility of services for providing drinking water to ensure that everyone has access to it;
b. The provision of economical, high-quality drinking water management and services;
c. Balancing the interests of customers, SOEs, BUMDs, UPT, UPTD, community organizations, and business entities;
d. expanding the use of drinking water by achieving effective and efficient water</t>
  </si>
  <si>
    <t>BUKU SAKU HIBAH 2022</t>
  </si>
  <si>
    <t>Wastewater Treatment Grant - DFAT</t>
  </si>
  <si>
    <t>As replacement funds for the implementation of activities to improve access to piped wastewater systems for the community.</t>
  </si>
  <si>
    <t>2020-2022</t>
  </si>
  <si>
    <t>Diretorate General Cipta Karya, Ministry of Public Works and Housing</t>
  </si>
  <si>
    <t>Waste resources development</t>
  </si>
  <si>
    <t>The key policies are:
(a) Increasing access to sewerage and on-site sanitation, in urban and rural areas for improvements in public health;
(b) Institutional strengthening and capacity building of domestic wastewater management personnel</t>
  </si>
  <si>
    <t>Project City Sewerage Project (PCSP)/Instalasi Pengelolaan Air Limbah (IPAL) Palembang - DFAT</t>
  </si>
  <si>
    <t>Accelerate the achievement of sustainable development in waste water and solid waste h in Palembang City</t>
  </si>
  <si>
    <t>2018-2024</t>
  </si>
  <si>
    <t>Waste and IPPU, Economic resilience, Social and livelihood resilience</t>
  </si>
  <si>
    <t>sustainable municipal waste management</t>
  </si>
  <si>
    <t>The two main objectives of the Palembang City Sanitation Project (PCSP) are to develop a sustainable municipal waste disposal system that is owned, operated and maintained by the Palembang City government from the outset and to demonstrate the feasibility of an alternative approach to urban waste disposal systems that is more in line with the principle of regional autonomy.</t>
  </si>
  <si>
    <t>Rural Empowerment and Agricultural Development – Scalling Up Initiative (READ-SI) - IFAD</t>
  </si>
  <si>
    <t>2018-2025</t>
  </si>
  <si>
    <t>BPPSDM Ministry of Agriculture</t>
  </si>
  <si>
    <t>agriculture, farmers empowerment</t>
  </si>
  <si>
    <t>Objective:
The long-term goal is to improve the welfare of poor farming families in Indonesia.The short-term goal is to empower rural households in Sulawesi, West Kalimantan and NTT, both individually and as a group, with skills, building self-confidence and utilizing resources to increase income from the agricultural and non-agricultural sectors and improve their standard of living in a sustainable manner.
Target:
• Increased agricultural development and livelihoods in rural areas (Village agriculture and livelihoods development), 
• Increased extension services, provision of inputs and marketing (Services, inputs and market linkages),
• Availability of policy and strategy development support (Policy and strategy development support), 
• Implementation of Activity Management (Project Management). Location in 6 provinces and 18 districts.</t>
  </si>
  <si>
    <t>The Development of Integrated Farming System at Upland Areas Project (UPLAND) - IFAD</t>
  </si>
  <si>
    <t>2019-2026</t>
  </si>
  <si>
    <t>Directorate General of Agricultural Infrastructure and Facilities, Ministry of Agriculture</t>
  </si>
  <si>
    <t>Australia-Indonesia Grants for Sanitation Development/ Australia-Indonesia Infrastructure Grants for Sanitation (SAIIG)</t>
  </si>
  <si>
    <t>The sAIIG program works with Local Authorities that do not have sewage and solid waste networks and are therefore unable to participate in separate DFAT funded Sanitation Grants. Under sAIIG, community waste disposal systems are built (each system generally serves between 150-400 households). sAIIG is currently working with 38 Local Governments with a target of building 46,000 household connections. To participate in the sAIIG program Local Governments must meet three criteria: (i) demonstrate a commitment to financing and developing sanitation services; (ii) participate in the Indonesian Government's Accelerated Settlement Sanitation Development Program (PPSP); and (iii) complete the City Sanitation Strategy.</t>
  </si>
  <si>
    <t>2013-2021</t>
  </si>
  <si>
    <t>wastewater treatment</t>
  </si>
  <si>
    <t>Of the 38 Local Governments participating in the program, 28 continue to be active participants and allocate annually in the local budget (APBD). Since 2013, 28 Local Governments have budgeted around $60 million for sanitation infrastructure, building sewage connections for 22,000 households. The program has opened a pathway for Local Governments to invest in sanitation infrastructure, in a sector that has historically had limited interest in investment.
The sAIIG program has also introduced new methods for the creation and operation of local wastewater treatment plants serving between 150 - 400 households. A common method is for local governments to build infrastructure (some sharing the costs with communities) and then hand it over to communities to operate. Under the sAIIG program, local governments not only build infrastructure but also establish institutions that manage and operate it.</t>
  </si>
  <si>
    <t>BUKU SAKU HIBAH 2021</t>
  </si>
  <si>
    <t>National Urban Water Supply Project (NUWSP)</t>
  </si>
  <si>
    <t>Investment priority is focused on providing urban drinking water through a pipe network managed by PDAM. Increasing the capacity of Regional Governments and PDAMs through NUWSP is expected to help increase the capacity of Regional Governments and PDAMs in preparing plans for the development and implementation of urban SPAM as a whole, whether drinking water services via piped or non-piped networks.
In NUWSP, the assistance provided to Regional Governments/PDAMs is integrated assistance between non-physical assistance (technical assistance and capacity building) and physical assistance in the form of infrastructure investment whose type and amount is adjusted to regional and PDAM capacity. Technical assistance and capacity building programs will be provided to Regional Governments/PDAMs before the investment program is implemented, according to their needs, with the aim that the assistance provided will have an impact on increasing the capacity and capabilities of the Regional Governments/PDAMs concerned.</t>
  </si>
  <si>
    <t>2017-2022</t>
  </si>
  <si>
    <t xml:space="preserve">Improvement of drinking water services </t>
  </si>
  <si>
    <t>NUWSP Project Goals
NUWSP is expected to be implemented and open to all regional governments that have systems and manage urban drinking water supply. However, as an operational initiation of the NUWSP framework, not all Regency/City Regional Governments can become NUWSP participants. The criteria for regencies/cities that are prioritized in this NUWSP are regencies/cities that submit letters of interest, including PDAMs assisted by the Directorate General of CK, are included in Regional SPAMs, are local governments/PDAMs that are involved in drinking water programs from other donors and/or local governments that are included in strategic development areas (Special Economic Zones, tourism, connectivity development, etc.) but have weak PDAM.</t>
  </si>
  <si>
    <t>Capacity Increase in Economic Calculation of Renewable Energy Generation</t>
  </si>
  <si>
    <t>Improve the knowledge, skills and abilities of individuals or organizations in conducting economic analysis for renewable energy projects.</t>
  </si>
  <si>
    <t>Part of GIZ ExploRE, Improving the human capacity in economic Calculation of Renewable Energy Generation action</t>
  </si>
  <si>
    <t>Carbon Trading Workshop on Renewable Energy Power Plants</t>
  </si>
  <si>
    <t>Improvement of regulatory, economic, and best practice aspects related to carbon trading in the context of renewable energy generation in Indonesia starting from the introduction of carbon trading, calculation of carbon emissions and credits, registration and certification, economic aspects, and implementation strategies.</t>
  </si>
  <si>
    <t>Part of GIZ ExploRE, Improving the human capacity regarding the carbon trading mechanism of renewable energy, including the economic, regulation, and implementation strategies</t>
  </si>
  <si>
    <t>Webinar Hosting Capacity in Distribution Network</t>
  </si>
  <si>
    <t>Discussing the maximum capacity that can be supported by the electricity distribution network for the integration of renewable energy sources, energy storage technologies, and other technologies without causing operational problems or the need for large investments.</t>
  </si>
  <si>
    <t>Part of GIZ ExploRE, Improving the human capacity for the integration of renewable energy sources, energy storage technologies, and other technologies</t>
  </si>
  <si>
    <t>Photo Voltaic (PV) Module location assessment</t>
  </si>
  <si>
    <t>The process of assessing the feasibility and potential of a location for the installation of a solar panel system.</t>
  </si>
  <si>
    <t>MoEMR, BRIN, BSN</t>
  </si>
  <si>
    <t>Low carbon emitting fuels</t>
  </si>
  <si>
    <t>The PhysikalischTechnische Bundesanstalt (PTB)</t>
  </si>
  <si>
    <t>IEC 61215 training on new laboratory launch for PV modules</t>
  </si>
  <si>
    <t>IEC 61215 training is a training that focuses on international standards for photovoltaic (PV) modules that cover the performance and quality of solar panels. IEC 61215 is one of the standards published by the International Electrotechnical Commission (IEC) and regulates testing and requirements to ensure the reliability and durability of PV modules.</t>
  </si>
  <si>
    <t>HOMER Training Workshop for techno-economic modeling of hybrid renewable energy systems.</t>
  </si>
  <si>
    <t>Using HOMER (Hybrid Optimization of Multiple Energy Resources) software to design and analyze hybrid renewable energy systems consists of an introduction to homer, basic modeling, and model analysis.</t>
  </si>
  <si>
    <t>Part of British (UK Mentari), The purposes of the program in the electricity supply business are to reduce dependency on fossil fuels, reduce production costs, and reduce emissions to the environment. The RES generators that have the potential to be used are PV Photovoltaic and Wind Turbines.</t>
  </si>
  <si>
    <t>Geospatial Least-cost Planning Renewable Energy Training</t>
  </si>
  <si>
    <t>Increase knowledge and skills in using geospatial-based approaches to plan and optimize renewable energy projects</t>
  </si>
  <si>
    <t>MoEMR, NTT Government, PLN</t>
  </si>
  <si>
    <t>Part of British (UK Mentari), improving the knowledge and skills to implementing the renewable energy project</t>
  </si>
  <si>
    <t>Webinar/sharing session with the theme "Gender Equality and Social Inclusion in the Energy Sector".</t>
  </si>
  <si>
    <t>Increase awareness, share knowledge, and discuss strategies on how gender equality and social inclusion can be implemented and improved in the energy sector.</t>
  </si>
  <si>
    <t>Renewable energy, Energy effiency</t>
  </si>
  <si>
    <t>Part of USAID SINAR, improving the awareness and capacity in implementing project on gender equality and social inclusion in the energy sector.</t>
  </si>
  <si>
    <t>Training on renewable energy project investment</t>
  </si>
  <si>
    <t>Increase knowledge, skills, and tools needed to plan, assess, and manage investments in renewable energy projects</t>
  </si>
  <si>
    <t>Part of USAID SINAR, improving the capacity in manage investments in renewable energy projects</t>
  </si>
  <si>
    <t>Assessment of PLTS for cold storage</t>
  </si>
  <si>
    <t>Evaluate the feasibility and efficiency of using solar energy to support the operation of cold storage systems</t>
  </si>
  <si>
    <t>Part of NZ - NZMATES, improving the capactity on feasibility skills and efficiency of using solar energy to support the operation of cold storage systems</t>
  </si>
  <si>
    <t>Water and sanitation program grants Phase II (performance-based drinking water management grants</t>
  </si>
  <si>
    <t>The program uses an innovative approach where local governments are reimbursed up to 45 per cent of the connection costs following verification that each new connection has functioned for at least three months. The program is working with 125 local governments to deliver 250,000 new water and 9,000 sewerage connections. This will benefit 1.2 million people from predominantly low-income families. Women, people with disabilities and the elderly are significant beneficiaries, with many experiencing improved health and productivity benefits.</t>
  </si>
  <si>
    <t>Dit. Air Minum PUPR</t>
  </si>
  <si>
    <t>The Water and Sanitation Grants Program aims to increase water and sewerage connections across Indonesia by helping local governments boost investment in water and sanitation infrastructure.</t>
  </si>
  <si>
    <t>PUPR</t>
  </si>
  <si>
    <t>Improvement of implementation capacity of underground leakage counter-measure in Makassar City towards effective use of water resources</t>
  </si>
  <si>
    <t>In order to reduce the high non-revenue water, which is a major issue in Makassar city, Indonesia, the technical cooperation project utilizing the JICA Partnership Program (Local government type) will be implemented to support
underground leakage countermeasure (Abbreviation: MaKaPro).
Activities include the local dispatch of our technical staff (9 times) and training in Japan for Perumda Makassar (executives: 2 times, practitioners people: 3 times).</t>
  </si>
  <si>
    <t>2019-2025</t>
  </si>
  <si>
    <t>The objective of MaKaPro is to improve the ability of Perumda Makassar's capability to implement water leakage prevention measures. The aim is to reduce the non-revenue water ratio in Makassar city by efficiently transferring the technology</t>
  </si>
  <si>
    <t>Pilot Project of Smart Water Management in Denpasar, Bali</t>
  </si>
  <si>
    <t>The project is based on active non-revenue water (NRW) management using a zoning system, where the system as a whole is divided into a series of smaller, hydraulically isolated sub-systems, called DMAs (District Meter Areas) in which the volume of water loss can be calculated separately. DMAs are further subdivided into areas with pumping systems and those with gravity systems, and then into villages, to facilitate the effective and efficient management and control of the project. The scale of the Denpasar City SWM project is large, in terms of the investment cost required. The local government (city of Denpasar), PDAM Denpasar and even central government under Ministry of Public Work and Housing were not able to commit the required resources to support the project. Due to these fund limitations, PDAM Denpasar City has not yet fully applied Integrated Information Technology systems for monitoring existing DMAs.</t>
  </si>
  <si>
    <t>2021-2025</t>
  </si>
  <si>
    <t xml:space="preserve">The project is continued the previous project was developed in 2016-2020, The project developed with consideration of water supply for the service area at high and low elevations, available pump and gravity systems, deep well availability and villages boundaries. </t>
  </si>
  <si>
    <t>The Project for Strengthening Water Supply Service in Solok City</t>
  </si>
  <si>
    <t xml:space="preserve">The purpose of this operation is to improve the ability of central and local governments in developing countries to formulate water supply project, and to promote the formation of high-quality and highly
skilled projects in which Japan's knowledge and experience can be fully utilized. This is achieved through the provision of advice and guidance based on professional and technical knowledge, which
contributes to the formulation of projects to solve specific problems in the water supply sector (facility development, management and maintenance, human resource development, etc.). </t>
  </si>
  <si>
    <t>2021-2026</t>
  </si>
  <si>
    <t>Improve the capability of central and local governments in Indonesia to formulate water supply project, and to promote the formation of high-quality and highly skilled projects in which Japan's knowledge and experience can be fully utilized.</t>
  </si>
  <si>
    <t>The Project for Capacity Development of Perumda Tirtanadi for 24 Hours Safe Water Supply</t>
  </si>
  <si>
    <t>Main Organizer: Yokohama Waterworks Bureau (YWWB), the project will assist Japanese water supply-related companies in developing their bussiness there, by researching local needs for the products and technologies. During the project, Yokohama Waterworks Bureau dispatches staff to Indonesia about three times a year and carries out training in Japan once a year.</t>
  </si>
  <si>
    <t>2022-2025</t>
  </si>
  <si>
    <t>The purpose of this project is to give advice for improving water distribution facilities and instruct staff on how to improve the capacity of water distribution management and treatment of high-turbidity water in Medan, Indonesia, in order to realize safe 24-hour water supply in response to increase in water demand due to population growth</t>
  </si>
  <si>
    <t>Technical Cooperation Project on Regional Solid Waste Management in Gerbangkertosusila Area</t>
  </si>
  <si>
    <t>The program aims to improve the living environment by developing basic infrastructure, such as water supply and sewerage management systems, enhancing waste disposal management, and improving the water quality of oceans and rivers. Japan also supports the enhancement of the systems, organizations and capacity of local governments to manage the abovementioned infrastructure, facilities and environment</t>
  </si>
  <si>
    <t>Dit. Sanitasi PUPR</t>
  </si>
  <si>
    <t>Solid waste management</t>
  </si>
  <si>
    <t>Development of regional solid waste management system is attempted in Gerbangkertosusila Area according to the Master Plan.</t>
  </si>
  <si>
    <t>Capacity Building Project to Improve Wastewater Quality in Bandung City</t>
  </si>
  <si>
    <t>Capacity building activities in handling wastewater quality through existing wastewater disposal and drainage systems are integrated into the wastewater treatment system through the installation of new drains and interceptors.</t>
  </si>
  <si>
    <t>Economic, Social and livelihood resilience</t>
  </si>
  <si>
    <t>Wastewater treatment</t>
  </si>
  <si>
    <t>Concept of Wastewater Management
- Commitment of Development strategy
- Define sewerage service type
- Utilize existing facility
- Collaborating with private company</t>
  </si>
  <si>
    <t>The Project for Development of Low Carbon Affordable Apartments in the hot-humid climate of Indonesia towards Paris Agreement 2030</t>
  </si>
  <si>
    <t>Under the Paris Agreement signed in 2016, developing countries have targets for reducing greenhouse gas emissions. Securing healthy, comfortable housing is a priority in countries with insufficient living standards, but low-carbon targets have to be met as well ? achieving both goals is not easy. Targeting high- and medium-high-rise apartment housing, which is becoming more prevalent in Indonesia, this project develops low-carbon construction technologies suitable to hot-humid regions. It aims to have the technologies incorporated into actual buildings and into national standards and other legally-binding construction regulations.</t>
  </si>
  <si>
    <t>Dit. BTPP PUPR</t>
  </si>
  <si>
    <t>Energy, economic, Social and livelihood resilience</t>
  </si>
  <si>
    <t>Low carbon settlement</t>
  </si>
  <si>
    <t>Achieve comfortable living environment in Indonesia using affordable low-carbon technologies</t>
  </si>
  <si>
    <t>Indonesia-Australia Partnership for Infrastructure Facility on drinking water, sanitation, and settlement</t>
  </si>
  <si>
    <t xml:space="preserve">This project part of KIAT project in Indonesia. Infrastructure agencies generally assume that men and women benefit equally from infrastructure but in reality, women and other marginalised groups (such as those living with disabilities - including the elderly) remain particularly hampered by poor access to infrastructure services such as transport, power, water, and sanitation. This, combined with restrictive gender norms and exclusionary practices, </t>
  </si>
  <si>
    <t>2017-2027</t>
  </si>
  <si>
    <t>Dit. Air Minum, Sanitasi, and PKP PUPR</t>
  </si>
  <si>
    <t>drinking water, sanitation, and settlement</t>
  </si>
  <si>
    <t>The program aimed at increasing the number of low-income rural and peri-urban populations accessing improved water and sanitation facilities</t>
  </si>
  <si>
    <t>Support for Development of Safely Managed Drinking Water and Sanitation/Water Sanitation and Hygiene (WASH)-UNICEF 2021-2025</t>
  </si>
  <si>
    <t>The project supported by Ministry of PUPR in successful in implementing in Indonesia. The effects of climate change are already being felt everywhere. Most strikingly, they are felt through water.
Water scarcity through climate change and the resulting increase in the costs of water can lead to inequitable access. This may deprive households of opportunities to collect the amount of safe water needed for proper handwashing and hygiene, limiting children’s ability to grow up healthy and strong.</t>
  </si>
  <si>
    <t>Dit. Air Minum, Sanitasi, and BTPP PUPR</t>
  </si>
  <si>
    <t>Improvement of drinking water services and sanitation</t>
  </si>
  <si>
    <t xml:space="preserve">Improving the efficiency of water resources, and expanding technologies to ensure climate resilience </t>
  </si>
  <si>
    <t>USAID UWASSH (Urban Water, Sanitation, Solid Waste and Hygiene)</t>
  </si>
  <si>
    <t>The United States Agency for International Development Mission to Indonesia (USAID Indonesia) is gathering information to support an anticipated design of new activities under the Urban Water, Sanitation, Solid Waste and Hygiene (UWASSH) program, administered through the Grant Implementation Agreement (GIA) with the Indonesian Ministry of National Development Planning / National Development Planning Agency (Bappenas). The UWASSH program seeks to strengthen urban environmental management through improved access to safely managed drinking water, sanitation, and hygiene in Indonesia, increased urban resilience and water security, and improved solid waste management. The UWASSH program will support Indonesia’s goals under the National Medium-Term Development Plan (RPJMN) 2020-2024 to reduce inequality, improve infrastructure for basic services, and increase resiliency (National Priorities 2, 5, and 6). In close partnership with the GOI, USAID will also support Indonesia to achieve their Sustainable Development Goals (SDG) targets to ensure access to water and sanitation for all (SDG 6), to make cities and settlement inclusive, safe, resilient, and sustainable (SDG 11), and to ensure sustainable consumption and production patterns (SDG 12)</t>
  </si>
  <si>
    <t>Dit. Air Minum, Dit. Sanitasi PUPR</t>
  </si>
  <si>
    <t>urban water, sanitation, solid waste management, and hygiene</t>
  </si>
  <si>
    <t>The purpose of this RFI is to solicit public feedback on the attached draft concept of the Urban Water, Sanitation, Solid Waste and Hygiene (UWASSH) program. Interested parties, including government, non-government organizations, academia, and the private sector are invited to provide recommendations to support the Government of Indonesia to expand access to safely managed drinking water and sanitation, increase the resilience of these services to climate-related shocks and stresses, and reduce land-based sources of ocean plastic pollution through improved solid waste management and recycling actions.</t>
  </si>
  <si>
    <t>Advisor for Sewage Management (Tanaka Matsuo- JICA ID 201903660)</t>
  </si>
  <si>
    <t>2021-2023</t>
  </si>
  <si>
    <t>Sewage management</t>
  </si>
  <si>
    <t>Circular economy and solid waste management between Denmark and Indonesia</t>
  </si>
  <si>
    <t>The SSC partnership on circular economy and waste management between Denmark and Indonesia was launched in 2018, and the first phase of the cooperation was completed in June 2023. A second phase has been initiated in July 2023 for a three-year period until June 2026. The Danish Environmental Protection Agency (DEPA) collaborates with the Indonesian Ministry of Environment (KLHK), other sector ministries and local authorities in Indonesia and Denmark as well as with other international partners, civil society organisations, universities and private sector. Odense Waste Utility (Odense Renovation) is also involved in the Programme and collaborates with a number of selected cities in Indonesia.</t>
  </si>
  <si>
    <t>DG PSLB3 MoEF</t>
  </si>
  <si>
    <t>completed</t>
  </si>
  <si>
    <t>The cooperation with cities includes advice and exchange of best practices within municipality waste planning, organization, services and operations, financing, waste energy recovery and other issues of relevance for the Indonesian local authorities at provincial and municipality levels.</t>
  </si>
  <si>
    <t>MoEF</t>
  </si>
  <si>
    <t xml:space="preserve">Forest Investment Program I (FIP I): Community–Focused Investment to Address Deforestation and Forest Degradation </t>
  </si>
  <si>
    <t>The Forest Investment Program (FIP) helps reverse the impact of human actions and climate change on forest ecosystems, through empowering governments and local communities to sustainably address the drivers of deforestation and forest degradation. FIP grants and low-interest loans are designed to help governments, communities, and business stakeholders work together to find solutions that protect, restore, and sustainably manage forests. The result is a triple win for nature, climate, and development.</t>
  </si>
  <si>
    <t>2017-2021</t>
  </si>
  <si>
    <t xml:space="preserve">DG PSKL MoEF: 1. BPSKL Wilayah Kalimantan; 2. Dit. Kesatuan Pengelolaan Hutan Produksi; 3. Dit. Pemanfaatan Jasa Lingkungan Hutan Konservasi </t>
  </si>
  <si>
    <t>AFOLU</t>
  </si>
  <si>
    <t>REDD+, Deforestation and forest degradation</t>
  </si>
  <si>
    <t>FIP results:
- Land Tenure, Rights, and Access FIP is contributing to improved tenure, rights, and access by establishing innovative tree tenure and benefit-sharing systems.
- Capacity Development FIP is providing technical assistance, employment opportunities, trainings for communities and local governments, awareness-raising campaigns, and equipment in support of sustainable forestry.</t>
  </si>
  <si>
    <t>Forest Investment Program II (FIP II) : Promoting Sustainable Community Based Natural Resources Management and Institutional Development</t>
  </si>
  <si>
    <t>Direktorat Kesatuan Pengelolaan Hutan Produksi (Ditjen PHPL)</t>
  </si>
  <si>
    <t>Forest Programme II (FP II): Development of Biodiversity Conservation and Watershed Management</t>
  </si>
  <si>
    <t>Direktorat Konservasi Tanah dan Air (Ditjen PDASHL)</t>
  </si>
  <si>
    <t>Biodiversity Conservation and Watershed Management</t>
  </si>
  <si>
    <t>FIP results:
- Biodiversity FIP countries are making good progress toward enhanced biodiversity through forest loss reduction, forest conservation, and payments for environmental services</t>
  </si>
  <si>
    <t>Forest Programme III (FP III): Collaborative Integrated Management of The Lore Lindu Landcape</t>
  </si>
  <si>
    <t>2016-2023</t>
  </si>
  <si>
    <t>Direktorat Pemolaan dan Informasi Konservasi Alam (Ditjen KSDAE)</t>
  </si>
  <si>
    <t>Landscape management</t>
  </si>
  <si>
    <t>FIP results:
- Governance FIP support is helping to improve governance by strengthening decision-making processes, ensuring a participatory approach, and bolstering forest law enforcement.</t>
  </si>
  <si>
    <t>USAID Collective (13 conservation areas), 5 provinces Kepulauan Riau, Bangka Belitung, Kalimantan Barat, Papua Barat, dan Papua Barat Daya.</t>
  </si>
  <si>
    <t>USAID Collective will strengthen the protection of Indonesia’s marine biodiversity by improving the management effectiveness of established PAs. The program will identify existing gaps and underlying factors that limit the effectiveness of PA management and work collaboratively to address these gaps toward well-managed PAs. Implemented by the Indonesian Biodiversity Foundation (KEHATI) and in collaboration with the Nusantara Nature Conservation Foundation (YKAN), the program will explore opportunities to engage stakeholders, including private sector actors, in co-management of PAs to increase economic opportunities, mobilize resources, and support local livelihoods. To achieve these goals, USAID Collective will focus on the following objectives: (1) strengthening human resources and institutional arrangements for PA management; (2) building sustainable financing for PAs; (3) increasing benefits to coastal communities through sustainable PA management; (4) strengthening compliance with PA rules and regulations; and (5) enhancing protection for marine ETP species and priority habitats.</t>
  </si>
  <si>
    <t>Direktorat Kawasan Konservasi dan Kenekaragaman Hayati Laut, MoMF</t>
  </si>
  <si>
    <t>Ecosystem resilience, Social and Livelihood Resilience</t>
  </si>
  <si>
    <t>Marine conservation</t>
  </si>
  <si>
    <t>Expected Outcomes:
- Increased effectiveness of national and provincial MPA management in target areas to optimal or sustainable levels;
- Reduced direct drivers and pressures on biodiversity in target areas; and
- Increased community benefits from sustainable use and conservation of marine biodiversity in target areas.</t>
  </si>
  <si>
    <t>MoMF</t>
  </si>
  <si>
    <t>Ocean for Development</t>
  </si>
  <si>
    <t xml:space="preserve">Indonesia and Norway have signed a technical agreement on Ocean for Development Programme that marks five-year cooperation (2022 - 2028) on the technical cooperation for ocean accounts, marine spatial planning, marine protected areas, and knowledge management.​
The agreement was signed in Oslo on Thursday (19/5) between Victor Gustaaf Manoppo, Director General for Marine Spatial Management, Indonesian Ministry of Marine Affairs and Fisheries, and Stig Traavik, Director Department of Climate and Environment Norwegian Agency for Development Cooperation (NORAD), represented by Assistant Director Jorun Nossum. Indonesian Ambassador in Oslo, Todung Mulya Lubis, was also present to witness the signing. </t>
  </si>
  <si>
    <t>2022-2028</t>
  </si>
  <si>
    <t>Marine resources balance</t>
  </si>
  <si>
    <t xml:space="preserve">The cooperation integrates with the Indonesian Government's effort to implement sustainable ocean and fisheries management and a blue economy to protect its ocean ecosystem and resources. To Balance ecology preservation with economic development. </t>
  </si>
  <si>
    <t>Partnerships for Coral Reef Insurance in Asia and the Pacific</t>
  </si>
  <si>
    <t xml:space="preserve">This GEF project focuses on the Coral Triangle in Southeast Asia, which includes Indonesia, the Philippines, Solomon Islands, and Fiji, encompassing 27% of the world’s coral reefs. These vital ecosystems face numerous threats, including unsustainable practices that degrade their health and value, resulting in significant loss and damage to coastal communities and economies. Part of the broader ADB technical assistance (KSTA) titled “Building Coastal Resilience through Nature-Based and Integrated Solutions,” this project falls under Output 4: Establishing and operationalizing risk financing solutions and transfer mechanisms to enhance coastal resilience across four developing member countries (DMCs). </t>
  </si>
  <si>
    <t>Indonesia, Fiji, Solomon, Philipipines</t>
  </si>
  <si>
    <t>Outcomes on Environment and Social Safeguards, stakeholder engagement, and project implementation activities</t>
  </si>
  <si>
    <t>Mangroves for Coastal Resilience (M4CR)</t>
  </si>
  <si>
    <t>Indonesia’s mangrove ecosystems are the largest and most productive in the world. Spanning around 3.4 million hectares (ha), Indonesia’s mangroves account for over 20 percent of the total global mangrove area (MoEF, National Mangrove Map, 2021). Indonesia’s mangroves have high biodiversity importance. Indonesia’s mangroves serve as crucial fisheries habitat (nursery, habitat, and source of food) and are home to numerous endangered, threatened, and unique animal species such as birds, insects, mammals and reptiles. Given the critical importance of mangroves for livelihoods, resilience and the climate, the Government of Indonesia in 2020 announced the National Mangrove Rehabilitation Program, a presidential priority and aims to rehabilitate 600,000 hectares of degraded mangroves by 2024. The program is conducted by several ministries, led by the Ministry of Maritime Affairs and Investment (MoMAI), Ministry of Environment and Forestry (MoEF), Ministry of Marine Affairs and Fisheries (MMAF), and Peatland and Mangrove Restoration Agencies (BRGM), with involvement from the private sector and civil society organizations. The Program is supported by development partners, including the World Bank, through the forthcoming Mangroves for Coastal Resilience (M4CR) project.</t>
  </si>
  <si>
    <t>BRGM, MoEF, MoF</t>
  </si>
  <si>
    <t>AFOLU, Ecosystem resilience, Social and Livelihood Resilience</t>
  </si>
  <si>
    <t>Deforestation and forest degradation, Peat water management, Peatland Restoration, Development of community capacity and participation in local planning processes, to secure access to key natural resources</t>
  </si>
  <si>
    <t>GCF Indonesia REDD+ Result Based Payment 2014 – 2016</t>
  </si>
  <si>
    <t xml:space="preserve">This project recognises Indonesia's REDD+ results for 2014-2016, with a total volume of 27 million tonnes of carbon dioxide equivalent (MtCO2eq) submitted to GCF for results-based payments (RBP).
Indonesia will use the proceeds from these RBP to invest in activities that support the implementation of the country’s national REDD+ action strategy (STRANAS). This will augment current efforts addressing forest governance. This includes working with key agencies at the national, provincial, and local levels to strengthen the development, coordination, and implementation of Indonesia’s overall REDD+ architecture, as well as providing support to decentralised sustainable forest governance. This includes establishing forest management units and expanding implementation of the country’s social forestry programme. </t>
  </si>
  <si>
    <t>2022-2023</t>
  </si>
  <si>
    <t>Providing support to decentralised sustainable forest governance</t>
  </si>
  <si>
    <t xml:space="preserve">Technical Assistance for the ‘Green Peatland Economy’ Project </t>
  </si>
  <si>
    <t xml:space="preserve">Grean Peatland Economy is an activity to shifting paradigm to zero-drainage, low-emission, wet peatland management and climate resilient communities and ecosystems. The activities was implemented in peatland area in Indonesia. </t>
  </si>
  <si>
    <t>BRGM</t>
  </si>
  <si>
    <t>AFOLU, Ecosystem resilience</t>
  </si>
  <si>
    <t>Deforestation and forest degradation, Peatland Restoration</t>
  </si>
  <si>
    <t>The restoration of peatland hydrological system are also highlighting the engagement of multi-stakeholders</t>
  </si>
  <si>
    <t>In Indonesia, agriculture remains the main source of income for one third of the total population and for 64 per cent of the poor. Although well-commercialized in some parts of the country, smallholder agriculture is less developed in the more geographically remote areas such as Sulawesi and the border districts in West Kalimantan and East Nusa Tenggara.
READ SI builds on and scales up the successful Rural Empowerment and Agricultural Development project. It aims to deliver sustainable improvements in the livelihoods of the rural poor by further increasing smallholder household assets and incomes, reducing chronic malnutrition in children, improving access to markets and services, and decreasing food insecurity. The project will directly benefit at least 342,000 small farmers, 50 per cent of whom will be women.</t>
  </si>
  <si>
    <t>Agriculture, farmers empowerment</t>
  </si>
  <si>
    <t>Project Goal: Growing prosperity of Indonesian smallholder farming families.
Outcomes: (1) Improved household incomes and livelihoods are enabled through improved productivity and profitability of farm and non-farm activities and better management of household finances and nutrition, (2) Critical services and input markets in programme districts are sustainably improved in terms of quality, relevance, availability and accessibility to serve the needs to programme communities</t>
  </si>
  <si>
    <t>Integrated Cooperation of Agricultural Research, Development, and Empowerment (ICARE)</t>
  </si>
  <si>
    <t>Integrated Corporation of Agricultural Resources Empowerment (ICARE) is a major activity that is a synergy between the Ministry of Agriculture of the Republic of Indonesia and the World Bank. This activity, which focuses on empowering farmers with various development sectors, cannot be handled by just two parties. However, it requires the participation of various sectors to jointly develop the ICARE project from upstream to downstream. Moreover, the time remaining is less than 5 years, making the implementation of the activity must be carried out immediately.</t>
  </si>
  <si>
    <t>Ministry of Agriculture </t>
  </si>
  <si>
    <t>AFOLU, Social resilience</t>
  </si>
  <si>
    <t>Manure management, Development of community capacity and participation in local planning processes, to secure access to key natural resources</t>
  </si>
  <si>
    <t>The ICARE program supports government efforts to strengthen national food security and increase the added value of agricultural commodities. The ICARE program is implemented in 9 provinces.</t>
  </si>
  <si>
    <t>The objective of the Strategic Irrigation Modernization and Urgent Rehabilitation Project for Indonesia is to improve irrigation services and strengthen accountability of irrigation schemes management in selected areas. There are three components to the project, (1) being urgent rehabilitation of irrigation and drainage system, (2) the strategic modernization of irrigation and drainage system, (3) support agricultural services under JIS, and (4) the project management.</t>
  </si>
  <si>
    <t>AFOLU, natural resources and rural development </t>
  </si>
  <si>
    <t xml:space="preserve">Agriculture, Land Rehabilitation </t>
  </si>
  <si>
    <t>The Project Development Objective is to improve irrigation services and strengthen accountability of irrigation schemes management in selected areas.</t>
  </si>
  <si>
    <t>Horticulture Development of dryland areas project</t>
  </si>
  <si>
    <t>The project will help the Ministry of Agriculure to optimize underutilized agriculture dry land towards modern agriculture, increased farming profitability, and climate change resilience. The project is expected to contribute to COVID-19 recovery by stimulating rural economy and supporting smallholder's entrepreneurship.</t>
  </si>
  <si>
    <t>2023-2029</t>
  </si>
  <si>
    <t>Agricultural production,  Irrigation, Land-based natural resources management</t>
  </si>
  <si>
    <t>The proposed project will deliver an integrated investment (from land preparation to market) through a cluster approach to address the core problem of low agriculture productivity and profitability in dry land. The project will address the following key issues (i) limited value addition in agriculture; (ii) limited uptake of modern farming practices and innovations; (iii) unreliable irrigation and inadequate agricultural services; (iv) low added value of agriculture produces and limited access to market; and (v) underutilization of dry land. The project will promote climate smart agriculture (CSA) and will explore options to bring high-level technology to stimulate use of information and communication technology platforms to provide farmers with greater access to information.</t>
  </si>
  <si>
    <t>Catalyzing Optimum Management of Natural Heritage for Sustainability of Ecosystem. Resources and Viability of Endangered Wildlife Species (CONSERVE) </t>
  </si>
  <si>
    <t>This program is implemented by the Ministry of Environment and Forestry with financial support from the Global Environment Facility (GEF) and facilitation by the United Nations Development Programme (UNDP). The GEF grant allocated is worth USD 6.2 million for a period of 72 months. The Ministry of Environment and Forestry provides financial support in the form of in-kind donations.
The CONSERVE program is one of the innovative activities developed by the Ministry of Environment and Forestry together with partners in an effort to mainstream biodiversity conservation in cross-sectoral development. In addition, several target species of this program, especially elephants and tigers, have extensive roaming areas covering various statuses and functions of areas and land, so a landscape-based conservation approach is absolutely necessary.</t>
  </si>
  <si>
    <t>Directorate of Biodiversity and Genetic Resources Conservation, Ministry of Environment and Forestry</t>
  </si>
  <si>
    <t>management and protection of multiple use landscapes for the conservation of key threatened species, sustainable use of wildlife resources, increasing disaster resilience</t>
  </si>
  <si>
    <t>Strengthen management of multiple use landscapes to enhance biodiversity conservation, generate sustainable land-use and livelihood practices and address illegal wildlife trade.</t>
  </si>
  <si>
    <t>Technical Assistance to the 2060 Net Zero Emissions Energy Transition Task Force, The following activities are carried out:
- Consultation Meeting #1 – Data Collection from the Transportation Sector for the 2060 Net Zero Emissions Roadmap Task Force of the Ministry of Energy and Mineral Resources
- Consultation Meeting #2 – Carbon Pricing Input for the 2060 Net Zero Emissions Roadmap Task Force of the Ministry of Energy and Mineral Resources
- Workshop #1 – Data Collection and Consolidation of the 2060 Net Zero Emissions Roadmap of the Ministry of Energy and Mineral Resources for the Industrial Sector
- Draft Report: Energy Transition to 2060 Net Zero Emissions for the Transportation and Industrial Subsectors</t>
  </si>
  <si>
    <t>Part of USAID SINAR, USAID SINAR continues the long-term commitment and partnership between the US Government and the Government of Indonesia in low-carbon development in the energy sector.</t>
  </si>
  <si>
    <t>Directorate of Energy conservation, Ministry of Energy and Mineral Resource (MoEMR)</t>
  </si>
  <si>
    <t>The activities carried out are
- Revision of SKKNI Energy Management in the Energy Efficiency Sector and development of Energy Management syllabus and curriculum
- Revision of SKKNI Energy Management in the Energy Efficiency Sector and Development of Energy Management Competence</t>
  </si>
  <si>
    <t>2021 Activities carried out are:
- Workshop Series 1 “New Buildings and Building Materials” was held on November 4, 2021, Workshop Series 2 Existing Buildings, Building Operations &amp; Appliances was held on November 18, 2021, and Workshop Series 3 “Appliances in new and existing buildings” on November 30, 2021.
- Preparation of Energy Efficiency in Building Roadmap and NZEB Design Catalogue
- Workshop on benchmarking international airports that carry the concept of green airport and NZEB catalog design which will be a guide in planning, concept, active design and passive design in NZEB. Workshop on preparation of NZEB catalog design for airports in Indonesia on October 27, 2021 and Conference held in December 2021.
- Energy audit implementation was carried out in November 2021 in the power generation sector.
2022 Activities carried out are:
- Roadmap Energy Efficiency in Building Roadmap and NZEB Design Catalogue April 26, 2022
- On January 18-20, 2022, the Energy Manager Training and Certification for Building Managers at KESDM was carried out for 48 participants from 16 work units and continued with certification for 25 selected participants.
- The Energy Manager competency test was carried out in 3 batches, namely on January 25-26, February 13-14 and March 15, 2022. The test results stated that a total of 19 people were competent. The remaining 6 people were not yet competent or the data was incomplete at the verification stage, so they needed to be assisted and encouraged again.
- Workshop on the topic “Introduction to Voluntary Agreement Schemes for Energy Intensive Industrial Sectors” will be held in the range of 7-10 December 2022.
- Workshop for EE study in Lontar and Labuan Power Plant was held on 25 February 2022 as a final report workshop from the Improve Energy Efficiency in Power Plants in Indonesia activity. The final report has been finalized by the consultant.
- Training energy management in building and industry 15-26 August 2022 in Denmark</t>
  </si>
  <si>
    <t>Part of Denmark Energy Agency, The joint Indonesian-Danish Energy Partnership Programme (INDODEPP) is guided by a key objective to fulfill the Indonesian climate goals and reach net zero emissions by 2060</t>
  </si>
  <si>
    <t>- LED Lighting Market Survey
- Assistance for LED manufacturers' business transformation
- Assistance for Financial Services Institutions related to LED lighting efficiency projects
- LED lighting retrofit pilot projects
- LED lighting performance testing laboratory in high-capacity buildings
- Preparation of LED lighting energy performance standards
- Preparation of regulations for implementing LED lighting energy performance standards</t>
  </si>
  <si>
    <t>Energy effiency</t>
  </si>
  <si>
    <t>Advancing Indonesias Lighting Market to High Efficient Technologies Project (ADLIGHT) aims to strengthen the competitiveness of the Indonesia-produced EE Lighting (EEL)</t>
  </si>
  <si>
    <t>Integrated Solutions in Disaster Risk Management and Social Protection</t>
  </si>
  <si>
    <t xml:space="preserve">The objective of the project is: "Institutional and technical condition for implementing integrated solutions for disaster risk management and social protection have improved". </t>
  </si>
  <si>
    <t>BNPB</t>
  </si>
  <si>
    <t>Social resilience</t>
  </si>
  <si>
    <t>Enhancement of adaptive capacity, Ramping up disaster preparedness programs for natural disaster risk reduction</t>
  </si>
  <si>
    <t>The project addresses the institutional and technical capacities of stakeholders to operationalize the guidelines in a cross-sectoral and coordinated manner. The project is focusing on four areas of intervention following the overall logic of an Adaptive Social Protection System.</t>
  </si>
  <si>
    <t>Capacity Building Program for Jakarta LRT </t>
  </si>
  <si>
    <t>a. Preparation and considerations for operating the training centre.
b. Provision of O&amp;M training and education for independent LRT operation.</t>
  </si>
  <si>
    <t>2019-2022</t>
  </si>
  <si>
    <t>Ministry of Transportation, a. Directorate General of Railways, Ministry of Transportation
b. Local Government of DKI Jakarta </t>
  </si>
  <si>
    <t>Energy efficiency, Transportation</t>
  </si>
  <si>
    <t>1) Certified human resources that will ensure the sustainability of LRT’s operations and maintenance.
2) Increased capacity of public transport services for Jakarta Metropolitan Area.</t>
  </si>
  <si>
    <t>Project Preparation Grant for Global Environment Facility Indonesia Sustainable Cities Impact Project </t>
  </si>
  <si>
    <t>Preparation for GEF grant in DKI Jakarta, East Java, South Sulawesi, East Kalimantan, South Kalimantan, North Kalimantan, South Sumatera, and North Sulawesi Province (will be assesss into five short listed pilot project): a. Preparing Procurement Plan and the Project Procurement Strategy for Development (PPSD)
b. Consultant support for drafting procurement documents for implementation
c. Consultant support for safeguards assessment and documents
d. Preparation of Project Design Document (PPD) and Project Implementation Manual (PIM)
e. Project design and Local Government preparation capacity workshop
f. Supporting management</t>
  </si>
  <si>
    <t>Ministry of National Development Planning/ National Development Planning Agency </t>
  </si>
  <si>
    <t>Prepare the provinces to translate National Urban Policy and Low Carbon Development Policy in RPJMN 2020-2024 into regional development plans</t>
  </si>
  <si>
    <t>a. Output
1) Preparation of procurement documents for the implementation of the Sustainable Cities Impact Program (SCIP) grant
2) Project Design Document (PDD) and Project Implementation Manual (PIM)
3) Initial technical analysis of each city, such as risk analysis, and financing
4) Consultation and socialization of activities in each city with all stakeholders
b. Outcome
1) Accelerate the preparation of the SCIP grants activities
2) Raising awareness of stakeholders who will be involved in the SCIP, including the relevant ministries/ agencies and local governments from pilot candidates</t>
  </si>
  <si>
    <t>National Health Insurance (JKN) Reforms and Results Program </t>
  </si>
  <si>
    <t>a. Strengthening the capacity of the Program Secretariat to provide technical support to stakeholder agencies for the implementation of the Program
b. Providing support for the coordination of JKN stakeholders, including through regular communications and convening of a technical working group comprised of all relevant representatives
c. Strengthening the Program Secretariat’s monitoring and evaluation function
d. Providing support for generating knowledge and sharing lessons learned</t>
  </si>
  <si>
    <t>2023-2024</t>
  </si>
  <si>
    <t>Ministry of Finance </t>
  </si>
  <si>
    <t>Improvement of health protection services</t>
  </si>
  <si>
    <t>a. Output
1) Increased capacity in the implementation of cross-ministerial coordination in the implementation of the National Health Insurance
2) The implementation of the National Health Insurance (JKN) Reforms and Results Program in accordance with the agreement with the World Bank
3) Report on the achievement of the Disbursement Linked Result for the National health Insurance (JKN) Reforms and Results Program
4) Report on the program lesson learnt and best practice
b. Outcome
The realization of high-quality, sustainable, equitable and inclusive health insurance.</t>
  </si>
  <si>
    <t>Public Financial Management Multi-Donor Trust Fund Phase III: Enhancing BPK Performance Audit (PFM-MDTF III) </t>
  </si>
  <si>
    <t>a. Performance audit manual
b. Study of HR policy for performance auditor
c. Simplify and faster access to PA information system, including PA management and follow up monitoring system
d. Improving the quality of data and information to support the provision of appropriate recommendations in the implementation of performance audits
e. Number of PA training program/ certificate
f. Number of training program for manual development
g. Number of certified auditors through development SCFA application system
h. Establishment of simulation laboratory for performance audit
i. Number of workshop/ focus group discussion to support audit on SDGs
j. Number of workshop/ focus group discussion to support audit on gender equality issues
k. Number of media content on BPK’s role in SDGs and/ or SDGs audits
l. Number of media content on BPK’s role in gender equality and/ or audits on gender equality
m. Publication of review of VNR report
n. Special edition of TAKEN journal on SDGs and gender equality issues
o. BPK cooperation activities with regional and international partner
p. Number of training activities related to implementation of International Standards of Supreme Audit Institutions (ISSAIs)
q. Audited project financial statement</t>
  </si>
  <si>
    <t>Secretary General, the Audit Board of the Republic of Indonesia</t>
  </si>
  <si>
    <t>Economic resilience</t>
  </si>
  <si>
    <t>Strengthening public finance management</t>
  </si>
  <si>
    <t>The proposed development objective will to provide support to enhance the capacity of BPK to conduct performance audits, in accordance with ISSAIs through strengthening BPK’s IT systems and enhancing institutional capacity of BPK to deliver performance audit.
The above proposed development objective will be measured through the increase in the following indicators
1) The implementation of audit strategy
2) Percentage of follow up audit recommendation
3) The applicability of audit and non-audit methodologies
4) The fulfilment of application in relation to integrated business process
5) Big data analytics utilization rate
6) Percentage of graduates whose performance increased
7) The quality of MoU between BPK and stakeholders
8) The quality of the facilitation of internalization/ externalization BPK’s role towards stakeholders</t>
  </si>
  <si>
    <t>Sustainable Energy for Indonesia's Advancing Resilience (SINAR)</t>
  </si>
  <si>
    <t>Technical assistance is provided to the Regional Government or Business Entity appointed to build the MSW Power Plant. The technical assistance provided is adjusted to the needs of each beneficiary. Some of them are technical assistance in selecting the right technology to be applied in the MSW Power Plant, technical assistance in preparing the Feasibility Study, and Technical Assistance to prepare the Cooperation Agreement.</t>
  </si>
  <si>
    <t>2022 - present</t>
  </si>
  <si>
    <t xml:space="preserve">Dit. Bioenergi, KESDM
Dinas Lingkungan Hidup Kota Bekasi
Dinas Lingkungan Hidup Kota Makassar
Developer PLTSa DKI Jakarta
</t>
  </si>
  <si>
    <t>Renewable energy, Bioenergy Development</t>
  </si>
  <si>
    <t>Accelerate the development of MSW Power Plants and increase the knowledge of Regional Governments and related Stakeholders for the development of MSW Power Plants in Indonesia.</t>
  </si>
  <si>
    <t>USAID SINAR</t>
  </si>
  <si>
    <t>Review of the 1 MW Bodo Hula Gasification PLTBm in West Sumba, East Nusa Tenggara</t>
  </si>
  <si>
    <t xml:space="preserve">Dit. Bioenergi
Pemerintah Kabupaten Sumba Barat
</t>
  </si>
  <si>
    <t>input for operational sustainability of existing bioenergy power plants</t>
  </si>
  <si>
    <t>Strategic Exploration of Economic Mitigation Potentials through Renewables (ExploRE)</t>
  </si>
  <si>
    <t>Support for the preparation of legal due diligence for biogas project funding on the PT SMI pipeline</t>
  </si>
  <si>
    <t>Dit. Bioenergi</t>
  </si>
  <si>
    <t>Support for Biogas Development in Indonesia</t>
  </si>
  <si>
    <t>GIZ - ExploRE</t>
  </si>
  <si>
    <t>Launching of the Bioenergy Potential Database</t>
  </si>
  <si>
    <t>Develop a mapped Bioenergy Potential Database</t>
  </si>
  <si>
    <t>Study of BioCNG Utilization as Diesel Fuel Substitution in Diesel Power Plants (PLTD),</t>
  </si>
  <si>
    <t>A deeper understanding and identification of information related to the Utilization of BioCNG as a Substitute for Diesel Fuel in Diesel Power Plants (PLTD),</t>
  </si>
  <si>
    <t>⁠M-Biogas application trial with PTPN II</t>
  </si>
  <si>
    <t>⁠more systematic monitoring of biogas utilization</t>
  </si>
  <si>
    <t>Consultation on the results of the study on the Implementation Strategy for Biomethane Utilization in the Industrial and Commercial Sectors in Indonesia</t>
  </si>
  <si>
    <t>Deeper understanding of Biomethane Utilization Implementation Strategy in Industrial and Commercial Sectors in Indonesia</t>
  </si>
  <si>
    <t>⁠⁠Initiation of monitoring and evaluation mechanisms for the implementation of biogas utilization from palm oil industry waste</t>
  </si>
  <si>
    <t>Dit. Bioenergy</t>
  </si>
  <si>
    <t>Monitoring and evaluation of the use of biogas from palm oil industry waste in a more structured and systematic manner</t>
  </si>
  <si>
    <t>Investing in Human Capital for Disaster Management 2.0 (INVEST DM 2.0)</t>
  </si>
  <si>
    <t>According to the signed Grant Implementation Agreement, the INVEST DM 2.0 activities are carried out to support the strengthening of disaster systems, regulations, strategies, and governance, as well as the enhancement of disaster data, information, and literacy. Strengthening disaster systems, regulations, and governance is necessary to address future disaster threats, not only natural disaster threats but also non-natural disaster threats such as disease outbreaks/epidemics and technological failures. The enhancement of disaster data, information, and literacy is aimed at responding to the information needs required for disaster management and always utilizing advancements in science and technology.
In 2021, INVEST DM 2.0 supported BNPB's disaster resilience work program with outputs such as capacity building in the implementation of Minimum Service Standards (SPM) and disaster risk assessments, as well as support for Pusdalops in the form of human resource capacity building and NSPK. Additionally, INVEST DM 2.0 also focused on management support programs by promoting the availability of gender-responsive planning and budgeting services, a grant monitoring dashboard, program governance with secretariat support, human resource development for job competency at BNPB, employee performance management, increased collaboration in education and training with universities in Indonesia, and developing mechanisms for online training.</t>
  </si>
  <si>
    <t>Increasing disaster resilience</t>
  </si>
  <si>
    <t>Donor: USAID.
The main achievements of INVEST DM 2.0 are:
- 33 guidelines, procedures, and mechanisms for human resource capacity building and organizational procedures as standard operations at BNPB.
- 1,030 BNPB and BPBD staff, along with 57 students, participated in training facilitated by INVEST DM 2.0.
- The average knowledge retention score of participants who attended the training reached 57.14%</t>
  </si>
  <si>
    <t>ROADMAP BNPB 2023</t>
  </si>
  <si>
    <t>Indonesia-Australia Partnership for Disaster Preparedness/Ready to Prepare Program</t>
  </si>
  <si>
    <t>There is 2 programs: (1) The strengthening of government systems to improve the effectiveness of disaster management services, and (2) Improving strategies to strengthen the government and community in enhancing disaster resilience.</t>
  </si>
  <si>
    <t>Ecosystem resilience</t>
  </si>
  <si>
    <t>The main objective of SIAP SIAGA is to strengthen disaster preparedness in Indonesia. Based on the problem mapping process carried out with partners, SIAP SIAGA focuses on three main programs to achieve: (1) Strengthening the government system to improve the effectiveness of disaster management services, (2) Improving strategies to empower governments and communities to increase disaster resilience, and (3) Strengthening cooperation between Australia and Indonesia to improve disaster management in the Indo-Pacific region.</t>
  </si>
  <si>
    <t xml:space="preserve">ROADMAP BNPB 2023, Donor: DFAT Australian, </t>
  </si>
  <si>
    <t>JICA and BNPB Cooperation in Disaster Risk Reduction</t>
  </si>
  <si>
    <t>In 2021 – 2024, the scope of this grant activity is as follows:
(a) Exchange of information in the field of disaster risk reduction;
(b) Assistance including goods and services, training and capacity building in the field of disaster risk reduction;
(c) Development of risk communication for multi-hazard early warning systems;
(d) Disaster emergency response and recovery from natural disasters, if necessary.</t>
  </si>
  <si>
    <t>This programme is continuity from the previous program, namely Indonesia Japan Partnership for Disaster Risk Reduction/Disaster Management Advisor</t>
  </si>
  <si>
    <t>ROADMAP BNPB 2023, Donor: JICA</t>
  </si>
  <si>
    <t xml:space="preserve">Implementation of UNFPA – FUNDED Workplan Relating to the 2021-2025 UNFPA Country Programme </t>
  </si>
  <si>
    <t>The Government of lndonesia, hereinafter referred to as'the Government', and the the United Nations Population Fund, hereinafter referred to as 'UNFPA', being in mutual agreement to the content of the Country Programme Action Plan (CPAP) and to the outlined responsibilities in the implementation of the Country Programme. This CPAP is a five-year framework defining mutual cooperation between the Governm€nt and UNFPA covering the period of 2O2L-2O25. lt is prepared based on the development challenges identified during the United Nations Sustainable Development Cooperation Framework (UNSDCF) planning process and conforms to UNFPA's Strategic Plan (2018-2021). lt takes into account the Sustainable Development Goals (SDGs), and the relevant approach papers to the 2O2O-2O24 Mediu m-Term National Development Plans (RPJMN). This CPAP concluded hereunder constitutes the basis upon which Annual Work Plans (AWPs) shall be prepared and duly signed;</t>
  </si>
  <si>
    <t>The scope of the UNFPA Grant according to the IPA is as follows:
- Development of the Indonesian Disaster Data One Forum at the national level and in 3 provincial regions;
- Strengthening BNPB's capacity in collecting disaggregated data during emergency response and disaster preparedness;
- A study of the population exposed to natural disaster hazards using DUKCAPIL data;
- A study on the impact of the COVID-19 pandemic on the elderly (including elderly persons with disabilities);
- Ensuring the quality of activity implementation.</t>
  </si>
  <si>
    <t xml:space="preserve">ROADMAP BNPB 2023, Donor: UNFPA </t>
  </si>
  <si>
    <t>Sulawesi and Lombok Programme for Earthquake and Tsunami Infrastructure Reconstruction (PETRA)</t>
  </si>
  <si>
    <t>The PETRA Project has supported rehabilitation and reconstruction efforts following the earthquake, tsunami, and liquefaction disasters that occurred in the Provinces of West Nusa Tenggara and Central Sulawesi in 2018.
The target areas of the PETRA Project are:
• West Nusa Tenggara Province: North Lombok, East Lombok, West Lombok Regencies.
• Central Sulawesi Province: Palu City, Sigi Regency, Donggala, and Parigi Moutong Regency.</t>
  </si>
  <si>
    <t>The ultimate goal of PETRA is to contribute to the rehabilitation and reconstruction of key infrastructure to support the resilient recovery of disaster-affected communities in both provinces. It addresses the need to accelerate the restoration of critical public services (such as health and education). improve economic livelihood opportunities for affected communities (both men and women), while, at the same time, enhancing resilience to future shocks in both provinces.</t>
  </si>
  <si>
    <t>ROADMAP BNPB 2023, Donor: UNDP</t>
  </si>
  <si>
    <r>
      <rPr>
        <sz val="11"/>
        <color theme="1"/>
        <rFont val="Calibri"/>
        <family val="2"/>
        <scheme val="minor"/>
      </rPr>
      <t xml:space="preserve">Notation keys: NA = not applicable; UA = information not available at the time of reporting; NR = not reported (to indicate the voluntary character of the information).
</t>
    </r>
    <r>
      <rPr>
        <vertAlign val="superscript"/>
        <sz val="11"/>
        <rFont val="Calibri"/>
        <family val="2"/>
      </rPr>
      <t xml:space="preserve">a   </t>
    </r>
    <r>
      <rPr>
        <sz val="11"/>
        <color theme="1"/>
        <rFont val="Calibri"/>
        <family val="2"/>
        <scheme val="minor"/>
      </rPr>
      <t xml:space="preserve">Developing country Parties should provide, in common tabular format, information on capacity-building support received, to the extent possible, as available and as applicable.
</t>
    </r>
    <r>
      <rPr>
        <vertAlign val="superscript"/>
        <sz val="11"/>
        <rFont val="Calibri"/>
        <family val="2"/>
      </rPr>
      <t xml:space="preserve">b   </t>
    </r>
    <r>
      <rPr>
        <sz val="11"/>
        <color theme="1"/>
        <rFont val="Calibri"/>
        <family val="2"/>
        <scheme val="minor"/>
      </rPr>
      <t xml:space="preserve">Parties include information on support received, ongoing or planned since the previous BTR.
</t>
    </r>
    <r>
      <rPr>
        <vertAlign val="superscript"/>
        <sz val="11"/>
        <rFont val="Calibri"/>
        <family val="2"/>
      </rPr>
      <t xml:space="preserve">c   </t>
    </r>
    <r>
      <rPr>
        <sz val="11"/>
        <color theme="1"/>
        <rFont val="Calibri"/>
        <family val="2"/>
        <scheme val="minor"/>
      </rPr>
      <t xml:space="preserve">Parties provide the underlying assumptions, definitions and methodologies, as applicable, used to identify and/or report this reporting parameter in the respective section of the BTR.
</t>
    </r>
    <r>
      <rPr>
        <vertAlign val="superscript"/>
        <sz val="11"/>
        <rFont val="Calibri"/>
        <family val="2"/>
      </rPr>
      <t xml:space="preserve">d   </t>
    </r>
    <r>
      <rPr>
        <sz val="11"/>
        <color theme="1"/>
        <rFont val="Calibri"/>
        <family val="2"/>
        <scheme val="minor"/>
      </rPr>
      <t xml:space="preserve">If “other”, Parties should specify this information.
</t>
    </r>
    <r>
      <rPr>
        <vertAlign val="superscript"/>
        <sz val="11"/>
        <rFont val="Calibri"/>
        <family val="2"/>
      </rPr>
      <t xml:space="preserve">e   </t>
    </r>
    <r>
      <rPr>
        <sz val="11"/>
        <color theme="1"/>
        <rFont val="Calibri"/>
        <family val="2"/>
        <scheme val="minor"/>
      </rPr>
      <t xml:space="preserve">This refers to activities that have both mitigation and adaptation components
</t>
    </r>
    <r>
      <rPr>
        <vertAlign val="superscript"/>
        <sz val="11"/>
        <rFont val="Calibri"/>
        <family val="2"/>
      </rPr>
      <t xml:space="preserve">f   </t>
    </r>
    <r>
      <rPr>
        <sz val="11"/>
        <color theme="1"/>
        <rFont val="Calibri"/>
        <family val="2"/>
        <scheme val="minor"/>
      </rPr>
      <t xml:space="preserve">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
</t>
    </r>
  </si>
  <si>
    <r>
      <t xml:space="preserve">Table III.12 Information on </t>
    </r>
    <r>
      <rPr>
        <b/>
        <sz val="14"/>
        <color rgb="FF0070C0"/>
        <rFont val="Calibri"/>
        <family val="2"/>
        <scheme val="minor"/>
      </rPr>
      <t>support needed</t>
    </r>
    <r>
      <rPr>
        <b/>
        <sz val="14"/>
        <color theme="1"/>
        <rFont val="Calibri"/>
        <family val="2"/>
        <scheme val="minor"/>
      </rPr>
      <t xml:space="preserve"> by developing country Parties for the implementation of Article 13 of the Paris Agreement and </t>
    </r>
    <r>
      <rPr>
        <b/>
        <sz val="14"/>
        <color rgb="FF0070C0"/>
        <rFont val="Calibri"/>
        <family val="2"/>
        <scheme val="minor"/>
      </rPr>
      <t>transparency-related activities</t>
    </r>
    <r>
      <rPr>
        <b/>
        <sz val="14"/>
        <color theme="1"/>
        <rFont val="Calibri"/>
        <family val="2"/>
        <scheme val="minor"/>
      </rPr>
      <t>, including for transparency-related capacity-building</t>
    </r>
    <r>
      <rPr>
        <b/>
        <vertAlign val="superscript"/>
        <sz val="14"/>
        <color theme="1"/>
        <rFont val="Calibri"/>
        <family val="2"/>
        <scheme val="minor"/>
      </rPr>
      <t>a, b</t>
    </r>
  </si>
  <si>
    <r>
      <rPr>
        <b/>
        <sz val="11"/>
        <rFont val="Calibri"/>
        <family val="2"/>
        <scheme val="minor"/>
      </rPr>
      <t>Title of activity,
programme, project or other</t>
    </r>
    <r>
      <rPr>
        <b/>
        <vertAlign val="superscript"/>
        <sz val="11"/>
        <rFont val="Calibri"/>
        <family val="2"/>
        <scheme val="minor"/>
      </rPr>
      <t>c,</t>
    </r>
    <r>
      <rPr>
        <b/>
        <sz val="11"/>
        <rFont val="Calibri"/>
        <family val="2"/>
        <scheme val="minor"/>
      </rPr>
      <t xml:space="preserve"> </t>
    </r>
    <r>
      <rPr>
        <b/>
        <vertAlign val="superscript"/>
        <sz val="11"/>
        <rFont val="Calibri"/>
        <family val="2"/>
        <scheme val="minor"/>
      </rPr>
      <t>d</t>
    </r>
  </si>
  <si>
    <r>
      <rPr>
        <b/>
        <sz val="11"/>
        <rFont val="Calibri"/>
        <family val="2"/>
        <scheme val="minor"/>
      </rPr>
      <t>Objectives and description</t>
    </r>
    <r>
      <rPr>
        <b/>
        <vertAlign val="superscript"/>
        <sz val="11"/>
        <rFont val="Calibri"/>
        <family val="2"/>
        <scheme val="minor"/>
      </rPr>
      <t>c</t>
    </r>
  </si>
  <si>
    <r>
      <t>Recipient entity</t>
    </r>
    <r>
      <rPr>
        <b/>
        <vertAlign val="superscript"/>
        <sz val="11"/>
        <rFont val="Calibri"/>
        <family val="2"/>
        <scheme val="minor"/>
      </rPr>
      <t>c</t>
    </r>
  </si>
  <si>
    <r>
      <t>Amount</t>
    </r>
    <r>
      <rPr>
        <b/>
        <vertAlign val="superscript"/>
        <sz val="11"/>
        <rFont val="Calibri"/>
        <family val="2"/>
        <scheme val="minor"/>
      </rPr>
      <t>c</t>
    </r>
  </si>
  <si>
    <r>
      <t>Status of activity</t>
    </r>
    <r>
      <rPr>
        <b/>
        <vertAlign val="superscript"/>
        <sz val="11"/>
        <rFont val="Calibri"/>
        <family val="2"/>
        <scheme val="minor"/>
      </rPr>
      <t>c</t>
    </r>
  </si>
  <si>
    <r>
      <rPr>
        <b/>
        <sz val="11"/>
        <rFont val="Calibri"/>
        <family val="2"/>
        <scheme val="minor"/>
      </rPr>
      <t>Additional information</t>
    </r>
  </si>
  <si>
    <r>
      <rPr>
        <sz val="11"/>
        <rFont val="Calibri"/>
        <family val="2"/>
        <scheme val="minor"/>
      </rPr>
      <t>Multilateral Bilateral Regional
Other (specify)</t>
    </r>
    <r>
      <rPr>
        <vertAlign val="superscript"/>
        <sz val="11"/>
        <rFont val="Calibri"/>
        <family val="2"/>
        <scheme val="minor"/>
      </rPr>
      <t>d</t>
    </r>
  </si>
  <si>
    <t>Fourth National Communication and 4th Biennial Update Report to the United Nations Framework Convention on Climate Change (UNFCCC)</t>
  </si>
  <si>
    <t xml:space="preserve">Multilateral </t>
  </si>
  <si>
    <t>preparation for transparency-report activities</t>
  </si>
  <si>
    <t>Delivered to UNDP with MoEF as executing agency</t>
  </si>
  <si>
    <t>Strengthening the Capacity of Institutions in Indonesia to comply with the Transparency Requirements of the Paris Agreement (CBIT)</t>
  </si>
  <si>
    <t>for transparency-related capacity-building</t>
  </si>
  <si>
    <t>Institutional Mechanism for Climate Transparency</t>
  </si>
  <si>
    <t xml:space="preserve">Awareness rising High Level Management at ministerial and Parliamentary level and related agencies, </t>
  </si>
  <si>
    <t>Parliament and Central Government</t>
  </si>
  <si>
    <t>Planned</t>
  </si>
  <si>
    <t>High-level ministerial and parliamentary commitments and publications on climate change issues,</t>
  </si>
  <si>
    <t xml:space="preserve">Awareness raising for stakeholders outside the government (Non Party Stakeholder) taking into account youth &amp; gender, including private sector </t>
  </si>
  <si>
    <t>Local government (especially districts and cities) and private sector</t>
  </si>
  <si>
    <t>Non-party stakeholder commitments and publications related to climate change issues</t>
  </si>
  <si>
    <t>Awarness rising for academics for research development to provide support to the government in fulfilling NDC targets.</t>
  </si>
  <si>
    <t>Universitas dan research center</t>
  </si>
  <si>
    <t xml:space="preserve">Academics' commitment and publications on climate change issues </t>
  </si>
  <si>
    <t xml:space="preserve">Awareness rising for CSOs for mitigation and adaptation data development to provide support to the government in fulfilling NDC targets. </t>
  </si>
  <si>
    <t>CSOs and grass root level</t>
  </si>
  <si>
    <t xml:space="preserve">CSO commitments and publications on climate change issues </t>
  </si>
  <si>
    <t>Strengthening the commitment of Party and Non-Party Stakeholders</t>
  </si>
  <si>
    <t xml:space="preserve">Identify the roles and responsibilities of ministries, especially sub-sectors, in climate change issues. </t>
  </si>
  <si>
    <t>Relevant ministries/institutions</t>
  </si>
  <si>
    <t xml:space="preserve">Identification of roles and responsibilities of ministries/institutions, especially sub-sectors </t>
  </si>
  <si>
    <t>Identify roles and responsibilities of Non Party Stakeholder including Private Sector on climate change issues</t>
  </si>
  <si>
    <t xml:space="preserve">Non-party stakeholders, especially the private sector </t>
  </si>
  <si>
    <t xml:space="preserve">Identify the roles and responsibilities of NPS, especially the private sector. </t>
  </si>
  <si>
    <t>Identify the roles and responsibilities of academia and research centres on climate change issues.</t>
  </si>
  <si>
    <t>Non Party Stakeholders, especially academics and research centres</t>
  </si>
  <si>
    <t>Identified roles and responsibilities of Academia and research centres</t>
  </si>
  <si>
    <t>Identify the roles and responsibilities of CSOs on climate change issues</t>
  </si>
  <si>
    <t>NPS Non Party Stakeholders especially CSOs</t>
  </si>
  <si>
    <t xml:space="preserve">Identified roles and responsibilities of CSOs </t>
  </si>
  <si>
    <t>Institutions and Policies</t>
  </si>
  <si>
    <t>Establishment of climate change-related institutions and policies</t>
  </si>
  <si>
    <t>Non Party Stakeholder</t>
  </si>
  <si>
    <t>Existence of climate change-related institutions and policies</t>
  </si>
  <si>
    <t xml:space="preserve">Facilitate PS and NPS to implement the committed institutional and policy frameworks. </t>
  </si>
  <si>
    <t>Party and Non Party Stakeholder</t>
  </si>
  <si>
    <t>Documentation of institutional and policy implementation plans run by PS and NPS.</t>
  </si>
  <si>
    <t>Implementation of Transparency Framework in fulfilment of NDC progress tracking</t>
  </si>
  <si>
    <t>Strengthening the implementation of GHG Inventory (IGRK), mitigation, and MRV in the energy and transport sectors</t>
  </si>
  <si>
    <t>Documented transparency reporting (including CRT GHG inventories and CTF mitigation and MRV) in the energy and transport sectors</t>
  </si>
  <si>
    <t xml:space="preserve">confirmation with K/L </t>
  </si>
  <si>
    <t>Strengthening the implementation of GHG Inventory (IGRK), mitigation, and MRV in the Industrial sector</t>
  </si>
  <si>
    <t>Documented transparency reporting (including CRT GHG inventory and CTF mitigation and MRV) in the industrial sector</t>
  </si>
  <si>
    <t xml:space="preserve">Strengthening the implementation of GHG Inventory (IGRK), mitigation, and MRV in forestry and other land use sectors </t>
  </si>
  <si>
    <t>Documented transparency reporting (including GHG Inventory CRT and mitigation CTF and MRV) in Forestry and Other land use sectors</t>
  </si>
  <si>
    <t xml:space="preserve">Strengthening the implementation of Greenhouse Gas Inventory, mitigation, and MRV in the Agriculture sector  </t>
  </si>
  <si>
    <t>Documented transparency reporting (including CRT GHG inventory and CTF mitigation and MRV) in the Agriculture sector</t>
  </si>
  <si>
    <t>Strengthening the implementation of Greenhouse Gas Inventory (GHG), mitigation, and MRV in the Waste sector</t>
  </si>
  <si>
    <t>Documented transparency reporting (covering GHG Inventory CRT and mitigation CTF and MRV) in the Waste sector</t>
  </si>
  <si>
    <t xml:space="preserve">IImplementation of Transparency Framework in climate change adaptation </t>
  </si>
  <si>
    <t>Strengthening the implementation of the Food Security sector</t>
  </si>
  <si>
    <t>Availability of data to fulfil the adaptation reporting needs of the Food Security sector.</t>
  </si>
  <si>
    <t>Strengthening implementation of water security and watershed sector</t>
  </si>
  <si>
    <t>Availability of data to fulfil the adaptation reporting needs of the Water and Watershed Resilience sector</t>
  </si>
  <si>
    <t xml:space="preserve">Strengthening Health sector implementation </t>
  </si>
  <si>
    <t xml:space="preserve">Availability of data to fulfil the reporting needs of the Health sector adaptation  </t>
  </si>
  <si>
    <t xml:space="preserve">Strengthening Ecosystem Sector Implementation </t>
  </si>
  <si>
    <t xml:space="preserve">Availability of data to fulfil ecosystem sector adaptation reporting needs </t>
  </si>
  <si>
    <t>Strengthening Disaster Implementation</t>
  </si>
  <si>
    <t>Availability of data to fulfil the reporting needs of the Disaster adaptation sector</t>
  </si>
  <si>
    <t>The development
and establishment
of robust systems
for GHG inventory,
and to
Measurement,
Reporting and
Verification (MRV)
emissions in
compliance with
the Paris
Agreement</t>
  </si>
  <si>
    <t>Strengthening implementation of access to climate finance</t>
  </si>
  <si>
    <t xml:space="preserve">Availability of data to fulfil CTF Finance needs. </t>
  </si>
  <si>
    <t xml:space="preserve">Strengthening the implementation of technology transfer </t>
  </si>
  <si>
    <t>Availability of data to fulfil CTF needs Technology Transfer</t>
  </si>
  <si>
    <t>Strengthening implementation Capacity building</t>
  </si>
  <si>
    <t>Availability of data to fulfil CTF needs Capacity Building</t>
  </si>
  <si>
    <t>Lesson Learned and Sharring Experience for the Transparency Framework under article 13</t>
  </si>
  <si>
    <t>Monitoring and evaluation of the implementation of the transparency framework</t>
  </si>
  <si>
    <t>Availability of monitoring and evaluation results related to transparency implementation</t>
  </si>
  <si>
    <t>Participate in regional/global meetings/workshops/conferences.</t>
  </si>
  <si>
    <t>Learning from best practices and lessons learnt from other countries</t>
  </si>
  <si>
    <t>Data Collection Systems</t>
  </si>
  <si>
    <t>Funding support required fpr developing and automating data collection systems (including satellite)</t>
  </si>
  <si>
    <t xml:space="preserve">KLHK </t>
  </si>
  <si>
    <t>confirmation KLHK-IPSDH, Dit IGRK</t>
  </si>
  <si>
    <t>Developing local emission factor for key categories</t>
  </si>
  <si>
    <t xml:space="preserve">Expansion to Include Co-benefits: to expand its GHG inventory to capture additional co-benefits (air pollution, biodiversity, soil carbon, etc.): </t>
  </si>
  <si>
    <t>5 - 10 year</t>
  </si>
  <si>
    <t xml:space="preserve"> the estimate is that it could reach 10 million for a period of 5-10 years, and for maintenance between.</t>
  </si>
  <si>
    <t>Annual operation and maintenance of advanced MRV</t>
  </si>
  <si>
    <t>confirmation with K/L</t>
  </si>
  <si>
    <t>Expansion to Include Co-benefits</t>
  </si>
  <si>
    <t>to expand its GHG inventory to capture additional co-benefits (air pollution, biodiversity, soil carbon, etc.)</t>
  </si>
  <si>
    <r>
      <t xml:space="preserve">Notation keys: NA = not applicable; UA = information not available at the time of reporting; NR = not reported (to indicate the voluntary character of the information).
</t>
    </r>
    <r>
      <rPr>
        <vertAlign val="superscript"/>
        <sz val="11"/>
        <rFont val="Calibri"/>
        <family val="2"/>
        <scheme val="minor"/>
      </rPr>
      <t xml:space="preserve">a   </t>
    </r>
    <r>
      <rPr>
        <sz val="11"/>
        <rFont val="Calibri"/>
        <family val="2"/>
        <scheme val="minor"/>
      </rPr>
      <t xml:space="preserve">Developing country Parties should provide, in common tabular format, summary information on support needed for implementing Article 13 and transparency-related activities, including for transparency-related capacity-building, to the extent possible and as applicable.
</t>
    </r>
    <r>
      <rPr>
        <vertAlign val="superscript"/>
        <sz val="11"/>
        <rFont val="Calibri"/>
        <family val="2"/>
        <scheme val="minor"/>
      </rPr>
      <t xml:space="preserve">b   </t>
    </r>
    <r>
      <rPr>
        <sz val="11"/>
        <rFont val="Calibri"/>
        <family val="2"/>
        <scheme val="minor"/>
      </rPr>
      <t xml:space="preserve">Parties include information on support needed from the reporting year of the BTR.
</t>
    </r>
    <r>
      <rPr>
        <vertAlign val="superscript"/>
        <sz val="11"/>
        <rFont val="Calibri"/>
        <family val="2"/>
        <scheme val="minor"/>
      </rPr>
      <t xml:space="preserve">c   </t>
    </r>
    <r>
      <rPr>
        <sz val="11"/>
        <rFont val="Calibri"/>
        <family val="2"/>
        <scheme val="minor"/>
      </rPr>
      <t xml:space="preserve">Parties provide the underlying assumptions, definitions and methodologies, as applicable, used to identify and/or report this reporting parameter in the respective section of the BTR.
</t>
    </r>
    <r>
      <rPr>
        <vertAlign val="superscript"/>
        <sz val="11"/>
        <rFont val="Calibri"/>
        <family val="2"/>
        <scheme val="minor"/>
      </rPr>
      <t xml:space="preserve">d   </t>
    </r>
    <r>
      <rPr>
        <sz val="11"/>
        <rFont val="Calibri"/>
        <family val="2"/>
        <scheme val="minor"/>
      </rPr>
      <t>If “other”, Parties should specify this information.</t>
    </r>
  </si>
  <si>
    <r>
      <t xml:space="preserve">Table III.13 Information on </t>
    </r>
    <r>
      <rPr>
        <b/>
        <sz val="14"/>
        <color rgb="FF0070C0"/>
        <rFont val="Calibri"/>
        <family val="2"/>
        <scheme val="minor"/>
      </rPr>
      <t>support received</t>
    </r>
    <r>
      <rPr>
        <b/>
        <sz val="14"/>
        <color theme="1"/>
        <rFont val="Calibri"/>
        <family val="2"/>
        <scheme val="minor"/>
      </rPr>
      <t xml:space="preserve"> by developing country Parties for the implementation of Article 13 of the Paris Agreement and </t>
    </r>
    <r>
      <rPr>
        <b/>
        <sz val="14"/>
        <color rgb="FF0070C0"/>
        <rFont val="Calibri"/>
        <family val="2"/>
        <scheme val="minor"/>
      </rPr>
      <t>transparency-related activities</t>
    </r>
    <r>
      <rPr>
        <b/>
        <sz val="14"/>
        <color theme="1"/>
        <rFont val="Calibri"/>
        <family val="2"/>
        <scheme val="minor"/>
      </rPr>
      <t>, including for transparency-related capacity-building</t>
    </r>
    <r>
      <rPr>
        <b/>
        <vertAlign val="superscript"/>
        <sz val="14"/>
        <color theme="1"/>
        <rFont val="Calibri"/>
        <family val="2"/>
        <scheme val="minor"/>
      </rPr>
      <t>a, b</t>
    </r>
  </si>
  <si>
    <r>
      <rPr>
        <b/>
        <sz val="11"/>
        <rFont val="Calibri"/>
        <family val="2"/>
        <scheme val="minor"/>
      </rPr>
      <t>Time frame</t>
    </r>
    <r>
      <rPr>
        <b/>
        <vertAlign val="superscript"/>
        <sz val="11"/>
        <rFont val="Calibri"/>
        <family val="2"/>
        <scheme val="minor"/>
      </rPr>
      <t>c</t>
    </r>
  </si>
  <si>
    <r>
      <rPr>
        <b/>
        <sz val="11"/>
        <rFont val="Calibri"/>
        <family val="2"/>
        <scheme val="minor"/>
      </rPr>
      <t>Use, impact and
estimated results</t>
    </r>
    <r>
      <rPr>
        <b/>
        <vertAlign val="superscript"/>
        <sz val="11"/>
        <rFont val="Calibri"/>
        <family val="2"/>
        <scheme val="minor"/>
      </rPr>
      <t>c</t>
    </r>
  </si>
  <si>
    <r>
      <rPr>
        <sz val="11"/>
        <rFont val="Calibri"/>
        <family val="2"/>
        <scheme val="minor"/>
      </rPr>
      <t>Multilateral Bilateral 
Regional
Other (specify)</t>
    </r>
    <r>
      <rPr>
        <vertAlign val="superscript"/>
        <sz val="11"/>
        <rFont val="Calibri"/>
        <family val="2"/>
        <scheme val="minor"/>
      </rPr>
      <t>d</t>
    </r>
  </si>
  <si>
    <t>NR = Not Reported</t>
  </si>
  <si>
    <t>realisation CBIT reported in year 2023</t>
  </si>
  <si>
    <r>
      <rPr>
        <i/>
        <sz val="11"/>
        <rFont val="Calibri"/>
        <family val="2"/>
        <scheme val="minor"/>
      </rPr>
      <t>Notation keys</t>
    </r>
    <r>
      <rPr>
        <sz val="11"/>
        <rFont val="Calibri"/>
        <family val="2"/>
        <scheme val="minor"/>
      </rPr>
      <t xml:space="preserve">: NA = not applicable; UA = information not available at the time of reporting; NR = not reported (to indicate the voluntary character of the information).
</t>
    </r>
    <r>
      <rPr>
        <i/>
        <vertAlign val="superscript"/>
        <sz val="11"/>
        <rFont val="Calibri"/>
        <family val="2"/>
        <scheme val="minor"/>
      </rPr>
      <t xml:space="preserve">a   </t>
    </r>
    <r>
      <rPr>
        <sz val="11"/>
        <rFont val="Calibri"/>
        <family val="2"/>
        <scheme val="minor"/>
      </rPr>
      <t xml:space="preserve">Developing country Parties should provide, in common tabular format, summary information on support received for implementing Article 13 and transparency-related activities, including for transparency-related capacity-building, to the extent possible and as applicable.
</t>
    </r>
    <r>
      <rPr>
        <i/>
        <vertAlign val="superscript"/>
        <sz val="11"/>
        <rFont val="Calibri"/>
        <family val="2"/>
        <scheme val="minor"/>
      </rPr>
      <t xml:space="preserve">b   </t>
    </r>
    <r>
      <rPr>
        <sz val="11"/>
        <rFont val="Calibri"/>
        <family val="2"/>
        <scheme val="minor"/>
      </rPr>
      <t xml:space="preserve">Parties include information on support received, ongoing or planned since the previous BTR.
</t>
    </r>
    <r>
      <rPr>
        <i/>
        <vertAlign val="superscript"/>
        <sz val="11"/>
        <rFont val="Calibri"/>
        <family val="2"/>
        <scheme val="minor"/>
      </rPr>
      <t xml:space="preserve">c   </t>
    </r>
    <r>
      <rPr>
        <sz val="11"/>
        <rFont val="Calibri"/>
        <family val="2"/>
        <scheme val="minor"/>
      </rPr>
      <t xml:space="preserve">Parties provide the underlying assumptions, definitions and methodologies, as applicable, used to identify and/or report this reporting parameter in the respective section of the BTR
</t>
    </r>
    <r>
      <rPr>
        <i/>
        <vertAlign val="superscript"/>
        <sz val="11"/>
        <rFont val="Calibri"/>
        <family val="2"/>
        <scheme val="minor"/>
      </rPr>
      <t xml:space="preserve">d   </t>
    </r>
    <r>
      <rPr>
        <sz val="11"/>
        <rFont val="Calibri"/>
        <family val="2"/>
        <scheme val="minor"/>
      </rPr>
      <t>If “other”, Parties should specify this information.</t>
    </r>
  </si>
  <si>
    <t>IPPU, energy</t>
  </si>
  <si>
    <t>CCS in Irond and Steel Industry</t>
  </si>
  <si>
    <t>Post-combustion CCS on BF,  CCS on DRI process, CCS on smelting reduction process</t>
  </si>
  <si>
    <t>Adaptiation and Mitigation</t>
  </si>
  <si>
    <t>CCS Technology</t>
  </si>
  <si>
    <t>2030-2050</t>
  </si>
  <si>
    <t>EE in Irond and Steel Industry</t>
  </si>
  <si>
    <t>Improving thermal and electrical energy efficiency, smart energy management,Integrative design/system optimization, waste heat recovery,  the deployment of Advanced Process Control (APC) and idhitalizatuon within manufacturing facilities s to reduce energy consumption
by optimizing operational conditions and enhancing production yields.</t>
  </si>
  <si>
    <t>EE Impovement</t>
  </si>
  <si>
    <t>2020-2030</t>
  </si>
  <si>
    <t>energy intensity in the steelmaking processes improves by 1% per year, with the most significant improvement in the BF-BOF process. Energy
intensity levels in iron and steelmaking improve by 1.3% per year on average between 2020 and 2050, driven by improvements in the BF-BOF process</t>
  </si>
  <si>
    <t>IPPU</t>
  </si>
  <si>
    <t>Low Cabon Technology</t>
  </si>
  <si>
    <t>In addition to  traditional BF-BOF and scrap-based EAF, innovative iron and steelmaking technologies are becoming more mature and emerging. These include DRI, SRI, MOE, aqueous solution-based electrowinning, and molten salt-based electrowinning</t>
  </si>
  <si>
    <t xml:space="preserve">At , IEA data indicated that the 2020 levelized cost of green
hydrogen-based DRI-EAF technology was 39%–89% more expensive than a conventional BF-BOF process. Natural gas-based DRI-EAF was 11%–29% more expensive at the global level. However, the cost difference between BF-BOF and H2-DRI technologies is expected to decline (IEA 2023a). Specific cost analysis of the Indonesian iron and steel industry is needed to understand the cost differences and uncertainties across iron and steel production technologies. In addition to cost
sensitivity to energy prices, other barriers should also be considered in the iron and steel technology transition, such as technology manufacturing and engineering capacity (e.g., DRI technologies), access
to raw materials (e.g., iron ore and higher quality scrap), and feedstocks (e.g., green hydrogen), as well as engineering knowledge and capacity. In the mid to long term, from 2030 to 2060, low-carbon technologies (scrap-EAF and DRI-EAF)
supported by a decarbonized power sector are responsible for a total of 61% of total CO2 emissions reduction </t>
  </si>
  <si>
    <t>Switching to Low Carbon Fuel and Reducing Agent  in Iron and Steel Industry</t>
  </si>
  <si>
    <t>Several lower or zero-carbon fuels need to be explored to replace the use of coal or coke in ironmaking, such as hydrogen injection in blast furnaces, use of biomass (charcoal), and solid
wastes. Increased use of EAF,  renewables (biomass, RDF),  aAlternative reducing agent (hydrogen, biomass), Hydrogen DRI, Molten Oxide Electrolysis,  Electrowinning aqueous,  Electrowinning – molten salt. Implementation of solar panel.</t>
  </si>
  <si>
    <t>Low Carbon Fuel Technology</t>
  </si>
  <si>
    <t>2023-2030</t>
  </si>
  <si>
    <t>IPPU, Energy</t>
  </si>
  <si>
    <t>CCS in Ammonia industry</t>
  </si>
  <si>
    <t>Natural gas ammonia production with CCS (blue ammonia), which has a TRL level of 9 (commercial operation in relevant conditions). Many of the current operating and announced blue ammonia projects are capturing CO2 emissions from natural gas. These are used for (1) enhanced oil recovery (EOR) traditionally, and (2) now gradually with CO2 utilization and storage (see Appendix B for a list of blue ammonia projects).</t>
  </si>
  <si>
    <t xml:space="preserve">Assumed CCS adoption in unmitigated fossil-ammonia production would increase from 0% in 2020 to 12.5% by 2030 and reach 50% by 2050, while the share of unabated fossil-ammonia decreases significantly  CO2 capturing yields improve from 80% today to 80 % by 2050. </t>
  </si>
  <si>
    <t>EE in Ammonia Industry</t>
  </si>
  <si>
    <t xml:space="preserve">The process optimization approach involves several steps, including reducing excess O2 in the boiler unit to reduce fuel consumption, resetting the configuration of boiler feed water pump operation to reduce electricity consumption, and repairing steam trap leaks to reduce
steam consumption,  the deployment of Advanced Process Control (APC) and idhitalizatuon within manufacturing facilities s to reduce energy consumption
by optimizing operational conditions and enhancing production yields. </t>
  </si>
  <si>
    <t xml:space="preserve">EE </t>
  </si>
  <si>
    <t>Energy efficiency improvement contributes the second largest CO2 emission reduction (5 MtCO2/year in 2060), and such savings can be realized in the near term in Indonesia’s ammonia industry. In addition, phasing out coal and switching to other feedstocks will also bring near term CO2 reduction results.</t>
  </si>
  <si>
    <t>Switching to Low Carbon Fuel  in Ammonia Industry</t>
  </si>
  <si>
    <t>Implementation of solar panel and EV</t>
  </si>
  <si>
    <t xml:space="preserve">Innovative technologies: Green Ammonia </t>
  </si>
  <si>
    <t xml:space="preserve">Producing ammonia through a synthesis process (via Haber-Bosch) and producing ammonia directly,  three technologies, due to their relatively high TRL levels:
• Electrolytic ammonia production: Hydrogen is produced through electrolyzers. .
• Biomass gasification ammonia production: This is similar to coal-gasification for ammonia production, but it uses biomass as the feedstock. After air separation to produce oxygen, biomass is heated in the presence of oxygen and water to produce syngas.8 After cleaning the syngas, the production goes through water shift conversion, CO2 removal, methanation, and
ammonia synthesis.
• Methane pyrolysis: Hydrogen is obtained by employing electrical plasma to split hydrogen and carbon atoms in methane. This process does not emit CO2 emissions but produces solid carbon. </t>
  </si>
  <si>
    <t>Green Ammonia</t>
  </si>
  <si>
    <t xml:space="preserve">Specifically, electrolytic ammonia contributes the most CO2 reduction potential by 2050, assuming green hydrogen and clean electricity is used for the production process, or 46% of total emission reduction potential. Biomass gasification and methane pyrolysis contribute another 11% of the total emission reduction potential by 2050. In the near term, energy efficiency improvement and phasing out coal represent 16% and 11% of the total emission reductions by 2050, respectively. To reach near zero emissions by 2050, the adoption of natural gas-based ammonia production with CCS systems was increased in the Accelerated 2050 Scenario. By 2050, CCS contributes to 10% of total emission reductions. </t>
  </si>
  <si>
    <t>CCS technology for cement industry</t>
  </si>
  <si>
    <t>A major barrier to CCS implementation is high cost, e.g., costs required for site selection, capital cost of the system, and additional cost for CO2 compression, transportation, and storage. Postcombustion CO2 capturing technologies, Oxyfuel combustion CO2 capturing or calcium looping</t>
  </si>
  <si>
    <t>Adaptation and Mitigation</t>
  </si>
  <si>
    <t xml:space="preserve">CCS </t>
  </si>
  <si>
    <t>Ministry of Indusry</t>
  </si>
  <si>
    <t>Inrease use of low carbon fuel</t>
  </si>
  <si>
    <t xml:space="preserve">coal in rotary kilns is reduced significantly by increased use
of solid wastes from industrial waste and biomass include RDF in the near term (by 2030). After 2030, green hydrogen and renewable heat also are adopted. Specifically, the shares of AF was 9.1% in 2023 and will be increase in 23% in 2030. 
</t>
  </si>
  <si>
    <t>Increase Utilization of Low Carbon fuel</t>
  </si>
  <si>
    <t>Fuel switching (i.e., switching to use alternative fuels and zero-carbon fuels) and energy efficiency 40% in 2050
improvement also contribute 27% and 16%, respectively, of the total accumulative CO2 emissions
reductions by 2030</t>
  </si>
  <si>
    <t xml:space="preserve">Improving EE </t>
  </si>
  <si>
    <t>The deployment of Advanced Process Control (APC) and digitalisation within manufacturing facilities s to reduce energy consumption, expert optimizer by optimizing operational conditions and enhancing production yields. Optimize Specific Thermal Energy Consumption (STEC). 
Other renewable initiatives such as optimize use of existing waste heat recovery power generator (WHRPG) . Implementation of solar panel and EV</t>
  </si>
  <si>
    <t>Low Carbon Cement</t>
  </si>
  <si>
    <t>clinker in cement with fly ash &amp; bottom ash, Limestone, and other potential binder</t>
  </si>
  <si>
    <t>Capacity Building Process to develop DRAM for IPPU sector mitigation action activities</t>
  </si>
  <si>
    <t>This project aimed to develop the technical skills needed tduring developing DRAM for IPPU sector and to improve the capacity in implementing energy mitigation strategie</t>
  </si>
  <si>
    <t>Improving the stakeholder's capacity in developing DRAM for IPPU sector mitigation activities</t>
  </si>
  <si>
    <t>Validation and Verification Training on DRAM from IPPU sector mitigation actions</t>
  </si>
  <si>
    <t>This project provides specific training on how to validate and verify the data generated through the DRAM for IPPU sector, ensuring that all energy sector mitigation actions are correctly implemented and measured.</t>
  </si>
  <si>
    <t>Improving the stakeholder's capacity in validation and verification for IPPU sector mitigation activities</t>
  </si>
  <si>
    <t>Capacity Building for the Implementation of Carbon Trading in IPPU sector</t>
  </si>
  <si>
    <t>This project will provide specialized training for industry stakeholders on the implementation of carbon trading, specifically how industrial effort improvements can be leveraged for carbon credits. It will cover both theoretical and practical aspects, including policy compliance and market opportunities.</t>
  </si>
  <si>
    <t>Improving the stakeholder's capacity in implementation of carbon trading for IPPU sector mitigation activities</t>
  </si>
  <si>
    <t>This project aimed to build capacity of cement industry stakeholder in Decarbonization of the cement industry by exploring new supplemental cementitious materials, and piloting breakthrough technologies, i.e training how that calcined clay, especially calcined clay in combination with limestone (LC3
technology).e of SCM: calcined clay, endof-life binder, Use of SCM: other by products (e.g., silica fume, bauxite residue,
agricultural byproduct ashes) to decarbonize cement production</t>
  </si>
  <si>
    <t>This technology, with a technology readiness level (TRL)5 of 9 has been adopted in cement plants in a several countries, such as India, Cuba, Brazil, the United States, and European Countries (IEA 2023b). The cement industry in Indonesia needs to continue scale up the use of SCMs to reduce the clinker-tocement ratio. It is expected that the clinker-to-cement ratio in Indonesia will decrease from 0.71 in 2020 to 0.68 by 2030</t>
  </si>
  <si>
    <t>Low Carbon Fuel in Cement Industry</t>
  </si>
  <si>
    <t>Development of more environmentally
friendly energy sources from renewable
energy: biofuels, hydrogen</t>
  </si>
  <si>
    <t>In the decarbonization scenario, the adoption of alternative fuels and zero-carbon fuels is more
ambitious. The shares of solid wastes and biomass increase expected to 23% by 2030 and 40% by 2050.</t>
  </si>
  <si>
    <t>CCS in cement industry</t>
  </si>
  <si>
    <t xml:space="preserve">Capacity building, research and development (R&amp;D) and pilots on CCS, and mitigating risks associated with investment cost of CCS and verifiability of CCS systems (mid to long term). </t>
  </si>
  <si>
    <t>Material Efficiency in Iron and Steel Industry</t>
  </si>
  <si>
    <t>To achieve the untapped material efficiency potential, unprecedented efforts are needed to engage all stakeholders along the material and product supply chain to promote greater adoption of material efficiency measures. The Indonesian government can set up a regulatory framework and data collection system to set benchmarks and promote best practices (IEA 2019). Life cycle assessment (LCA) capacity will be required to assess product emissions, encompassing stages from design to end-of-life. Awareness campaigns and training workshops can be developed to promote the practices of material efficiency.</t>
  </si>
  <si>
    <t xml:space="preserve">Material efficiency strategies, i.e., practices and technologies that deliver the same amount of services with fewer materials, can play an important role in reducing CO2 emissions (Material Economics 2018; IEA 2019). MMaterial efficiency measures could reduce domestic steel production by 4% by 2030, 12% by 2050 a leading to significant potential in terms of material and energy savings, as well as CO2 emission reductions. </t>
  </si>
  <si>
    <t>CCS technologies, i.e: carbon to methanol, carbon to chemical; Post-combustion CCS on BF,  CCS on DRI process, CCS on smelting reduction process</t>
  </si>
  <si>
    <t>EE for steel industry</t>
  </si>
  <si>
    <t>Transitioning to scrap-electric arc furnace (EAF) (near term), followed by hydrogen (H2)-direct reduction of iron (DRI)-EAF (mid to long term), while at the same time pursuing energy efficiency and material efficiency</t>
  </si>
  <si>
    <t>2025-2031</t>
  </si>
  <si>
    <t>Several lower or zero-carbon fuels need to be explored to replace the use of coal or coke in ironmaking, such as hydrogen injection in blast furnaces, use of biomass (charcoal), and solid wastes. Increased use of EAF,  renewables (biomass, RDF),  Alternative reducing agent (hydrogen, biomass), Hydrogen DRI, Molten Oxide Electrolysis,  Electrowinning aqueous,  Electrowinning – molten salt.</t>
  </si>
  <si>
    <t>2025-2035</t>
  </si>
  <si>
    <t>Biomass injection into the blast furnace need to be tested. Studies showed that pulverized particles of charcoal from biomass can be injected through blast furnace or through hydrothermal carbonizatioand indicated that up to 15% of charcoal can be injected. However, the use of biomass in the ironmaking process is also constrained by limited access to resources, the need to reduce the lignin and cellulose in biomass, and the need to reduce alkali metal elements in biomass.  Studies suggest that up to 30% of coke could be replaced by solid wastes. Solid wastes have the advantages of lower sulfur and alkali contents, but the chlorine content in wastes may lead to dioxin formation, which requires efficient flue gas control . In the mid to long term, from 2030 to 2060, low-carbon technologies (scrap-EAF and DRI-EAF) supported by a decarbonized power sector are responsible up to 61% of total CO2 emissions reduction (IESR, 2023)</t>
  </si>
  <si>
    <t xml:space="preserve">Natural gas ammonia production with CCS (blue ammonia), which has a TRL level of 9 (commercial operation in relevant conditions). Many of the current operating and announced blue ammonia projects are capturing CO2 emissions from natural gas. These are used for (1) enhanced oil recovery (EOR) traditionally, and (2) now gradually with CO2 utilization and storage (see Appendix B for a list of blue ammonia projects).  To support the CCSimplementation, Indonesia needs to focus on infrastructure development as well as coordination across industries (e.g., oil and gas extraction, other chemical industries, and the ammonia industry) for developing, accessing, and utilizing the infrastructure (e.g., pipelines, storage capacity, etc.). </t>
  </si>
  <si>
    <t>2030 - 2050</t>
  </si>
  <si>
    <t>Low Carbon Fuel for Ammonia industry</t>
  </si>
  <si>
    <t>To support the decarbonization of the ammonia industry, the Indonesian government needs to develop a national strategy for the production, transportation, storage, and applications of green hydrogen. The national strategy on hydrogen should consider production sites, permitting processes, accessibility to renewable electricity, and prioritization of industry to use green hydrogen. Access to zero-carbon and low-cost electricity is important to incentivize the ammonia industry to transition to adopt electrolysis or other green ammonia production technologies. L</t>
  </si>
  <si>
    <t>EE for pulp and paper industry</t>
  </si>
  <si>
    <t xml:space="preserve"> Need capacity building for Improving energy efficiency, implementing material efficiency and recycling (near term), and switching from coal to other renewable sources in papermaking (mid term)</t>
  </si>
  <si>
    <t xml:space="preserve">coal in rotary kilns is reduced significantly by increased use
of solid wastes from industrial waste and biomass include RDF in the near term (by 2030). After 2030, green hydrogen and renewable heat also are adopted. Specifically, the shares of AF was 9.1% in 2023 and will be increase in 23% in 2030. </t>
  </si>
  <si>
    <t>Contribute to the decarbonization roadmap and target Net Zero 2050. Indonesian cement industry needs to capture and store about  40 MtCO2/year by 2050. For cement plants, it can capture CO2 emissions from both the fuel combustion and the
limestone calcination processes. The capturing yield can reach up to 95%.It is important to note there are energy requirements associated with carbon capture. For postcombustion amine-based carbon capture, thermal and electrical energy is required, at about 1.0 to3.5 GJ/t clinker and 50 to 90 kWh/t clinker, respectively, to heat and regenerate the sorbent (ECRA and CSI 2017; Plaza, Martínez, and Rubiera 2020). In our analysis, CCS adoption rate in Indonesia’s cement industry will increase from 0% to 2% of total production by 2030 and 50% by 2060 in the Near Zero 2060 Scenario. CCS adoption is more aggressive in the Accelerated 2050 Scenario, reaching to 5% by 2030 and 60% by 2050. The Near Zero 2060
Scenario indicates that the Indonesian cement industry needs to capture and store about 1 MtCO2/year by 2030, 10 MtCO2/year by 2040, and almost 30 MtCO2/year by 2060 (</t>
  </si>
  <si>
    <t>Low Carbon Technology</t>
  </si>
  <si>
    <t>In addition to  traditional BF-BOF and scrap-based EAF, innovative iron and steelmaking technologies are becoming more mature and emerging. These include DRI, SRI, MOE, aqueous solution-based electrowinning, and
molten salt-based electrowinning</t>
  </si>
  <si>
    <t xml:space="preserve">Energy efficiency improvement is driven by large-scale implementation of waste heat recovery and smart energy management systems in BF, BOF, EAF, and steel rolling processes, ,integrative design/system optimization, waste heat recovery. </t>
  </si>
  <si>
    <t>Several lower or zero-carbon fuels  need to be explored to replace the use of coal or coke in ironmaking, such as hydrogen injection in blast furnaces, use of biomass (charcoal), and solid wastes from MSW (RDF)</t>
  </si>
  <si>
    <t xml:space="preserve">Switching to Low Carbon Fuel </t>
  </si>
  <si>
    <t>Implementation of solar panel and EV, RDF</t>
  </si>
  <si>
    <t>Socialization and mentoring with gender-based mechanisms</t>
  </si>
  <si>
    <t>Strengthening local wisdom, customs, and beliefs, in the practice of climate change adaptation</t>
  </si>
  <si>
    <t>Integration of climate change adaptation in various fields</t>
  </si>
  <si>
    <t>Integration of EWS and information technology in capacity building activities at the site level</t>
  </si>
  <si>
    <t>Development of coastal ecosystem protection knowledge management</t>
  </si>
  <si>
    <t>Socialization, coaching and training as well as preparation of monitoring and review guidelines</t>
  </si>
  <si>
    <t>Multi-stakeholder platform mechanism in the 'no one left behind' approach (all involved) and watershed management</t>
  </si>
  <si>
    <t>Development of adaptive climate change technology in various fields</t>
  </si>
  <si>
    <t>Adaptive technology monitoring and review guidelines</t>
  </si>
  <si>
    <t>Adaptive technology that has mitigation co-benefits</t>
  </si>
  <si>
    <t>Domestic Liquid Waste</t>
  </si>
  <si>
    <t>Capacity Building in GHG estimate from domestic liquid waste</t>
  </si>
  <si>
    <t>Multi-stakeholders capacity building among: PUPR (builder), KLHK (regulator), and operators (local governments, etc) in estimating GHG emission and reduction from domestic liquid waste treatment</t>
  </si>
  <si>
    <t xml:space="preserve">Improved stakeholder's capacity in estimating as well as reporting level of GHG emission and reduction from domestic liquid waste treatment. </t>
  </si>
  <si>
    <t>Capacity Building in developing methodology for data collecting</t>
  </si>
  <si>
    <t>Multi-stakeholders capacity building among: PUPR (builder), KLHK (regulator), operators (local governments, community based, individual residence housing, etc), and surveyors in data collecting activity. Data needs include: local parameters related to domestic liquid waste treatment (BOD) and local emission factors.</t>
  </si>
  <si>
    <t>Availability of methodology for collecting local data: BOD and local emission factors from each of domestic wastewater treatment type.</t>
  </si>
  <si>
    <t>Capacity Building in implementing methodology for data collecting</t>
  </si>
  <si>
    <t>Multi-stakeholders capacity building among: operators (local governments, community based, individual residence housing, etc) and surveyors in data collecting activity. Data needs include: local parameters related to domestic liquid waste treatment (BOD) and local emission factors.</t>
  </si>
  <si>
    <t>Availability of local data: BOD and local emission factors from each of domestic wastewater treatment type.</t>
  </si>
  <si>
    <t>Industrial Waste (solid and liquid)</t>
  </si>
  <si>
    <t>Capacity Building in the form of technical assistance in order to succeeded the use of reporting systems related to GHG data in each ministry/institution</t>
  </si>
  <si>
    <t>Multi-stakeholders capacity building and technical assistance among: Indonesia Ministry of Industry and industries (association of industry, etc) to operate the reporting system and to continuously report</t>
  </si>
  <si>
    <t>Optimal use of reporting systems related to GHG data</t>
  </si>
  <si>
    <t>Establishment of GHG data collecting governance for industries</t>
  </si>
  <si>
    <t>Establishment of GHG data collecting governance for all related industries through participatory apporiach between government (Indonesian Ministry of Industry) and industries.</t>
  </si>
  <si>
    <t>Realiability of industrial data (available, complete, appropriate)</t>
  </si>
  <si>
    <t>Capacity Building in implementing adapted methodology for data collecting</t>
  </si>
  <si>
    <t>Multi-stakeholders capacity building among: PUPR (builder), KLHK (regulator), and operators (local governments, etc) in implementing adapted methodology for data collecting. Data needs include: local parameters related to domestic solid waste treatment (MSW composition, dry matter content, DOC for each of MSW component) and local emission factors (for landfill, for composting).</t>
  </si>
  <si>
    <t>Availability of local data: MSW composition, dry matter content, DOC for each of MSW component, and local emission factors from each of domestic wastewater treatment type.</t>
  </si>
  <si>
    <r>
      <t>Sector</t>
    </r>
    <r>
      <rPr>
        <b/>
        <vertAlign val="superscript"/>
        <sz val="10"/>
        <rFont val="Calibri"/>
        <family val="2"/>
      </rPr>
      <t>c,</t>
    </r>
    <r>
      <rPr>
        <b/>
        <sz val="10"/>
        <rFont val="Calibri"/>
        <family val="2"/>
      </rPr>
      <t xml:space="preserve"> </t>
    </r>
    <r>
      <rPr>
        <b/>
        <vertAlign val="superscript"/>
        <sz val="10"/>
        <rFont val="Calibri"/>
        <family val="2"/>
      </rPr>
      <t>d</t>
    </r>
  </si>
  <si>
    <r>
      <t>Subsector</t>
    </r>
    <r>
      <rPr>
        <b/>
        <vertAlign val="superscript"/>
        <sz val="10"/>
        <rFont val="Calibri"/>
        <family val="2"/>
      </rPr>
      <t>c</t>
    </r>
  </si>
  <si>
    <r>
      <rPr>
        <b/>
        <sz val="10"/>
        <rFont val="Calibri"/>
        <family val="2"/>
      </rPr>
      <t>Title of activity, programme, project or other</t>
    </r>
    <r>
      <rPr>
        <b/>
        <vertAlign val="superscript"/>
        <sz val="10"/>
        <rFont val="Calibri"/>
        <family val="2"/>
      </rPr>
      <t>c,</t>
    </r>
    <r>
      <rPr>
        <b/>
        <sz val="10"/>
        <rFont val="Calibri"/>
        <family val="2"/>
      </rPr>
      <t xml:space="preserve"> </t>
    </r>
    <r>
      <rPr>
        <b/>
        <vertAlign val="superscript"/>
        <sz val="10"/>
        <rFont val="Calibri"/>
        <family val="2"/>
      </rPr>
      <t>d</t>
    </r>
  </si>
  <si>
    <r>
      <rPr>
        <b/>
        <sz val="10"/>
        <rFont val="Calibri"/>
        <family val="2"/>
      </rPr>
      <t>Programme/project description</t>
    </r>
    <r>
      <rPr>
        <b/>
        <vertAlign val="superscript"/>
        <sz val="10"/>
        <rFont val="Calibri"/>
        <family val="2"/>
      </rPr>
      <t>c</t>
    </r>
  </si>
  <si>
    <r>
      <t>Type of support</t>
    </r>
    <r>
      <rPr>
        <b/>
        <vertAlign val="superscript"/>
        <sz val="10"/>
        <rFont val="Calibri"/>
        <family val="2"/>
      </rPr>
      <t>c</t>
    </r>
  </si>
  <si>
    <r>
      <t>Expected time frame</t>
    </r>
    <r>
      <rPr>
        <b/>
        <vertAlign val="superscript"/>
        <sz val="10"/>
        <rFont val="Calibri"/>
        <family val="2"/>
      </rPr>
      <t>b</t>
    </r>
  </si>
  <si>
    <r>
      <rPr>
        <b/>
        <sz val="10"/>
        <rFont val="Calibri"/>
        <family val="2"/>
      </rPr>
      <t>Expected use, impact and estimated results</t>
    </r>
    <r>
      <rPr>
        <b/>
        <vertAlign val="superscript"/>
        <sz val="10"/>
        <rFont val="Calibri"/>
        <family val="2"/>
      </rPr>
      <t>b</t>
    </r>
  </si>
  <si>
    <r>
      <t>Additional information</t>
    </r>
    <r>
      <rPr>
        <b/>
        <vertAlign val="superscript"/>
        <sz val="10"/>
        <rFont val="Calibri"/>
        <family val="2"/>
      </rPr>
      <t>f</t>
    </r>
  </si>
  <si>
    <r>
      <t>Energy 
Transport 
Industry 
Agriculture 
Forestry
Water and sanitation
Cross-cutting 
Other (specify)</t>
    </r>
    <r>
      <rPr>
        <vertAlign val="superscript"/>
        <sz val="10"/>
        <color rgb="FF000000"/>
        <rFont val="Calibri"/>
        <family val="2"/>
      </rPr>
      <t>d</t>
    </r>
  </si>
  <si>
    <r>
      <rPr>
        <sz val="10"/>
        <color theme="1"/>
        <rFont val="Calibri"/>
        <family val="2"/>
        <scheme val="minor"/>
      </rPr>
      <t>Adaptation Mitigation 
Cross-cutting</t>
    </r>
    <r>
      <rPr>
        <vertAlign val="superscript"/>
        <sz val="10"/>
        <rFont val="Calibri"/>
        <family val="2"/>
      </rPr>
      <t>e</t>
    </r>
  </si>
  <si>
    <t>Energy Efficiency Technology</t>
  </si>
  <si>
    <t>reduction of energy consumption and emissions</t>
  </si>
  <si>
    <t>Selection, design and development of technologies including geothermal, solar energy, hydro, wind and biofuels</t>
  </si>
  <si>
    <t>Carbon emission reduction</t>
  </si>
  <si>
    <t>IPPU/Industry</t>
  </si>
  <si>
    <t xml:space="preserve">Capacity Building in determining emission sources in the IPPU sector, including understanding the chemical reactions that occur in industrial processess  </t>
  </si>
  <si>
    <t>This project focuses on developing an understanding of the sources of emissions and the chemical reactions that occur in the IPPU sector</t>
  </si>
  <si>
    <t>Improving the capacity of human resources and organizations of sources emissions in the IPPU sector</t>
  </si>
  <si>
    <t>MoI, industry association</t>
  </si>
  <si>
    <t xml:space="preserve">Capacity Building for the improvement of technology for industrial process  </t>
  </si>
  <si>
    <t xml:space="preserve">This project focuses on improvement of  technology with more efficient technology in use of fossil fuels (for raw materials and fuel) </t>
  </si>
  <si>
    <t xml:space="preserve">Improving the capacity of human resources and organizations of technology woith  ore efficient in use of fossil fuels (for raw materials and fuel) </t>
  </si>
  <si>
    <t>Efficient technology selection</t>
  </si>
  <si>
    <t>Green Hybrid Minigrid for Remote Areas in Indonesia</t>
  </si>
  <si>
    <t>Mitigatition</t>
  </si>
  <si>
    <t>PT SMI Renewable Energy Financing Facility</t>
  </si>
  <si>
    <t>Cross Cutting</t>
  </si>
  <si>
    <t>Advancing Adaptation Finance Facility (AFF) to Highly Vulnerable Communities in Central and Eastern Indonesia</t>
  </si>
  <si>
    <t>Economic resilience; Social and Livelihood resilience; Ecosystem and landscape resilience</t>
  </si>
  <si>
    <t xml:space="preserve">Adaptation  </t>
  </si>
  <si>
    <t>Local Food Diversification Program for Climate Change Adaptation in East Nusa Tenggara, Indonesia</t>
  </si>
  <si>
    <t>Economic resilience; Ecosystem and landscape resilience</t>
  </si>
  <si>
    <t>GCF Country Program</t>
  </si>
  <si>
    <t>Community- based adaptation approach fostering resilient landscape management in Kerinci Seblat, Sumatra</t>
  </si>
  <si>
    <t>Forestry and Landuse; Ecosystem and landscape resilience</t>
  </si>
  <si>
    <t>Reducing Emissions Through Strategic Agriculture Zone in Gorontalo District: Transforming Food Crops, Coconut and Livestock Industries</t>
  </si>
  <si>
    <t>Energy; Forestry and land use; Economic resilience; Ecosystem and landscape resilience</t>
  </si>
  <si>
    <t>Climate Adaptive Livelihood for Ecosystem and Socio-Economic Resilience (CALEER)</t>
  </si>
  <si>
    <t>Mitigating Green House Gas Emissions in Indonesia through Sustainable Forest and Landscape Management</t>
  </si>
  <si>
    <t>Forestry and Land-use</t>
  </si>
  <si>
    <t>Land-based mitigation and adaptation through a Jurisdictional Approach in West Kalimantan</t>
  </si>
  <si>
    <t>Forestry and Land-use; Ecosystem and landscape resilience</t>
  </si>
  <si>
    <t>Berbak Peatlands: Catalyzing 0 Financing and Investment for Sustaining Carbon in Peat Ecosystems in Indonesia</t>
  </si>
  <si>
    <t xml:space="preserve"> Collaborative R&amp;DB Programme for Promoting the Innovation of Climate Technopreneurship, Multicountries Program</t>
  </si>
  <si>
    <t xml:space="preserve">All </t>
  </si>
  <si>
    <t>Developing Climate Resilience in Smallscale Farming Systems in NTT</t>
  </si>
  <si>
    <t>Economic resilience; Social and Livelihood resilience</t>
  </si>
  <si>
    <t>Managing Indonesia Watersheds and Riparian Ecosystems for Water Resource Resilience</t>
  </si>
  <si>
    <t>Economic resilience, Social and Livelihood resilience, Ecosystem and landscape resilience</t>
  </si>
  <si>
    <t>Renewstable Sumba Power Plant</t>
  </si>
  <si>
    <t>Forestry and Land use; Economic Resilience</t>
  </si>
  <si>
    <t>Green Peatland Economy Program</t>
  </si>
  <si>
    <t>Coral Reefs Resiliency Program</t>
  </si>
  <si>
    <t>Economic resilience, Social and Livelihood
resilience, Ecosystem and landscape resilience</t>
  </si>
  <si>
    <t>Strengthening Climate Resilience of the Indonesia Health System</t>
  </si>
  <si>
    <t>Catalysing the development of the seaweed value chain in Indonesia for climate action</t>
  </si>
  <si>
    <t>In discussion</t>
  </si>
  <si>
    <r>
      <t>Whether the activity is anchored in a national strategy and/or an NDC</t>
    </r>
    <r>
      <rPr>
        <b/>
        <vertAlign val="superscript"/>
        <sz val="11"/>
        <rFont val="Calibri"/>
        <family val="2"/>
        <scheme val="minor"/>
      </rPr>
      <t>c</t>
    </r>
  </si>
  <si>
    <t>Provision of basic services, and climate resilient infrastructure development.</t>
  </si>
  <si>
    <t>Disaster Resilience</t>
  </si>
  <si>
    <t>The Improvement of Resilience and Economic Welfare of Indigenous Peoples and Local Communities programme aims to protect and preserve forests and ecosystems while improving the welfare of indigenous peoples/local communities.</t>
  </si>
  <si>
    <t>Livelihood, Reduction of deforestation and forest degradation</t>
  </si>
  <si>
    <t>Sustainable Forest Management</t>
  </si>
  <si>
    <t>Ecosystem conservation and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</si>
</sst>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000"/>
    <numFmt numFmtId="167" formatCode="_-* #,##0.000_-;\-* #,##0.000_-;_-* &quot;-&quot;??_-;_-@_-"/>
  </numFmts>
  <fonts count="47">
    <font>
      <sz val="11"/>
      <color theme="1"/>
      <name val="Calibri"/>
      <family val="2"/>
      <scheme val="minor"/>
    </font>
    <font>
      <b/>
      <sz val="11"/>
      <color theme="1"/>
      <name val="Calibri"/>
      <family val="2"/>
      <scheme val="minor"/>
    </font>
    <font>
      <sz val="12"/>
      <color theme="1"/>
      <name val="Calibri"/>
      <family val="2"/>
      <scheme val="minor"/>
    </font>
    <font>
      <b/>
      <sz val="22"/>
      <color theme="1"/>
      <name val="Calibri"/>
      <family val="2"/>
      <scheme val="minor"/>
    </font>
    <font>
      <sz val="8"/>
      <name val="Calibri"/>
      <family val="2"/>
      <scheme val="minor"/>
    </font>
    <font>
      <u/>
      <sz val="11"/>
      <color theme="10"/>
      <name val="Calibri"/>
      <family val="2"/>
      <scheme val="minor"/>
    </font>
    <font>
      <u/>
      <sz val="12"/>
      <color theme="10"/>
      <name val="Calibri"/>
      <family val="2"/>
      <scheme val="minor"/>
    </font>
    <font>
      <vertAlign val="superscript"/>
      <sz val="11"/>
      <color theme="1"/>
      <name val="Calibri"/>
      <family val="2"/>
      <scheme val="minor"/>
    </font>
    <font>
      <b/>
      <vertAlign val="superscript"/>
      <sz val="11"/>
      <color theme="1"/>
      <name val="Calibri"/>
      <family val="2"/>
      <scheme val="minor"/>
    </font>
    <font>
      <b/>
      <sz val="14"/>
      <color theme="1"/>
      <name val="Calibri"/>
      <family val="2"/>
      <scheme val="minor"/>
    </font>
    <font>
      <b/>
      <vertAlign val="superscript"/>
      <sz val="14"/>
      <color theme="1"/>
      <name val="Calibri"/>
      <family val="2"/>
      <scheme val="minor"/>
    </font>
    <font>
      <i/>
      <sz val="11"/>
      <name val="Calibri"/>
      <family val="2"/>
      <scheme val="minor"/>
    </font>
    <font>
      <i/>
      <vertAlign val="superscript"/>
      <sz val="11"/>
      <name val="Calibri"/>
      <family val="2"/>
      <scheme val="minor"/>
    </font>
    <font>
      <sz val="11"/>
      <name val="Calibri"/>
      <family val="2"/>
      <scheme val="minor"/>
    </font>
    <font>
      <vertAlign val="superscript"/>
      <sz val="11"/>
      <name val="Calibri"/>
      <family val="2"/>
      <scheme val="minor"/>
    </font>
    <font>
      <b/>
      <sz val="11"/>
      <name val="Calibri"/>
      <family val="2"/>
      <scheme val="minor"/>
    </font>
    <font>
      <b/>
      <vertAlign val="superscript"/>
      <sz val="11"/>
      <name val="Calibri"/>
      <family val="2"/>
      <scheme val="minor"/>
    </font>
    <font>
      <b/>
      <i/>
      <vertAlign val="superscript"/>
      <sz val="11"/>
      <name val="Calibri"/>
      <family val="2"/>
      <scheme val="minor"/>
    </font>
    <font>
      <b/>
      <sz val="14"/>
      <color rgb="FF0070C0"/>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sz val="11"/>
      <color theme="1"/>
      <name val="Calibri  "/>
    </font>
    <font>
      <sz val="11"/>
      <color theme="1"/>
      <name val="Times New Roman"/>
      <family val="1"/>
    </font>
    <font>
      <sz val="11"/>
      <name val="Calibri"/>
      <family val="2"/>
    </font>
    <font>
      <b/>
      <sz val="14"/>
      <color rgb="FF000000"/>
      <name val="Calibri"/>
      <family val="2"/>
    </font>
    <font>
      <b/>
      <sz val="14"/>
      <color rgb="FF0070C0"/>
      <name val="Calibri"/>
      <family val="2"/>
    </font>
    <font>
      <b/>
      <vertAlign val="superscript"/>
      <sz val="14"/>
      <color rgb="FF000000"/>
      <name val="Calibri"/>
      <family val="2"/>
    </font>
    <font>
      <sz val="11"/>
      <color rgb="FF000000"/>
      <name val="Calibri"/>
      <family val="2"/>
    </font>
    <font>
      <b/>
      <sz val="11"/>
      <name val="Calibri"/>
      <family val="2"/>
    </font>
    <font>
      <b/>
      <vertAlign val="superscript"/>
      <sz val="11"/>
      <name val="Calibri"/>
      <family val="2"/>
    </font>
    <font>
      <b/>
      <sz val="11"/>
      <color rgb="FF000000"/>
      <name val="Calibri"/>
      <family val="2"/>
    </font>
    <font>
      <vertAlign val="superscript"/>
      <sz val="11"/>
      <color rgb="FF000000"/>
      <name val="Calibri"/>
      <family val="2"/>
    </font>
    <font>
      <vertAlign val="superscript"/>
      <sz val="11"/>
      <name val="Calibri"/>
      <family val="2"/>
    </font>
    <font>
      <sz val="10"/>
      <color rgb="FF000000"/>
      <name val="Calibri"/>
      <family val="2"/>
    </font>
    <font>
      <sz val="10"/>
      <name val="Calibri"/>
      <family val="2"/>
    </font>
    <font>
      <u/>
      <sz val="11"/>
      <color rgb="FF0463C1"/>
      <name val="Calibri"/>
      <family val="2"/>
    </font>
    <font>
      <sz val="9"/>
      <color theme="1"/>
      <name val="Calibri  "/>
    </font>
    <font>
      <sz val="9"/>
      <color rgb="FF4F4F4F"/>
      <name val="Arial"/>
      <family val="2"/>
    </font>
    <font>
      <b/>
      <sz val="10"/>
      <name val="Calibri"/>
      <family val="2"/>
    </font>
    <font>
      <b/>
      <vertAlign val="superscript"/>
      <sz val="10"/>
      <name val="Calibri"/>
      <family val="2"/>
    </font>
    <font>
      <b/>
      <sz val="10"/>
      <color rgb="FF000000"/>
      <name val="Calibri"/>
      <family val="2"/>
    </font>
    <font>
      <vertAlign val="superscript"/>
      <sz val="10"/>
      <color rgb="FF000000"/>
      <name val="Calibri"/>
      <family val="2"/>
    </font>
    <font>
      <vertAlign val="superscript"/>
      <sz val="10"/>
      <name val="Calibri"/>
      <family val="2"/>
    </font>
    <font>
      <sz val="1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BE4D5"/>
        <bgColor rgb="FFFBE4D5"/>
      </patternFill>
    </fill>
    <fill>
      <patternFill patternType="solid">
        <fgColor theme="9" tint="0.79998168889431442"/>
        <bgColor indexed="64"/>
      </patternFill>
    </fill>
    <fill>
      <patternFill patternType="solid">
        <fgColor rgb="FFFFFFFF"/>
        <bgColor indexed="64"/>
      </patternFill>
    </fill>
    <fill>
      <patternFill patternType="solid">
        <fgColor rgb="FFFFF2CB"/>
        <bgColor indexed="64"/>
      </patternFill>
    </fill>
    <fill>
      <patternFill patternType="solid">
        <fgColor rgb="FFDEEAF6"/>
        <bgColor indexed="64"/>
      </patternFill>
    </fill>
    <fill>
      <patternFill patternType="solid">
        <fgColor rgb="FFFBE4D5"/>
        <bgColor indexed="64"/>
      </patternFill>
    </fill>
    <fill>
      <patternFill patternType="solid">
        <fgColor rgb="FFFBE4D5"/>
        <bgColor rgb="FFD8D8D8"/>
      </patternFill>
    </fill>
    <fill>
      <patternFill patternType="solid">
        <fgColor theme="5" tint="0.79998168889431442"/>
        <bgColor rgb="FFDEEAF6"/>
      </patternFill>
    </fill>
    <fill>
      <patternFill patternType="solid">
        <fgColor rgb="FFD8D8D8"/>
        <bgColor indexed="64"/>
      </patternFill>
    </fill>
  </fills>
  <borders count="11">
    <border>
      <left/>
      <right/>
      <top/>
      <bottom/>
      <diagonal/>
    </border>
    <border>
      <left/>
      <right/>
      <top style="thin">
        <color rgb="FF000000"/>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
    <xf numFmtId="0" fontId="0" fillId="0" borderId="0"/>
    <xf numFmtId="0" fontId="5" fillId="0" borderId="0" applyNumberFormat="0" applyFill="0" applyBorder="0" applyAlignment="0" applyProtection="0"/>
    <xf numFmtId="0" fontId="21" fillId="0" borderId="0"/>
    <xf numFmtId="164" fontId="22" fillId="0" borderId="0" applyFont="0" applyFill="0" applyBorder="0" applyAlignment="0" applyProtection="0"/>
    <xf numFmtId="164" fontId="22" fillId="0" borderId="0" applyFont="0" applyFill="0" applyBorder="0" applyAlignment="0" applyProtection="0"/>
    <xf numFmtId="164" fontId="21" fillId="0" borderId="0" applyFont="0" applyFill="0" applyBorder="0" applyAlignment="0" applyProtection="0"/>
    <xf numFmtId="0" fontId="26" fillId="0" borderId="0" applyBorder="0">
      <alignment vertical="center"/>
    </xf>
    <xf numFmtId="0" fontId="38" fillId="0" borderId="0" applyBorder="0">
      <alignment vertical="top"/>
      <protection locked="0"/>
    </xf>
  </cellStyleXfs>
  <cellXfs count="235">
    <xf numFmtId="0" fontId="0" fillId="0" borderId="0" xfId="0"/>
    <xf numFmtId="0" fontId="0" fillId="2" borderId="0" xfId="0" applyFill="1"/>
    <xf numFmtId="0" fontId="3" fillId="2" borderId="0" xfId="0" applyFont="1" applyFill="1"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wrapText="1"/>
    </xf>
    <xf numFmtId="0" fontId="0" fillId="2" borderId="0" xfId="0" applyFill="1" applyAlignment="1">
      <alignment horizontal="center" vertical="center"/>
    </xf>
    <xf numFmtId="0" fontId="2" fillId="2" borderId="0" xfId="0" applyFont="1" applyFill="1" applyAlignment="1">
      <alignment vertical="center"/>
    </xf>
    <xf numFmtId="0" fontId="0" fillId="2" borderId="4" xfId="0" applyFill="1" applyBorder="1"/>
    <xf numFmtId="0" fontId="1" fillId="2" borderId="0" xfId="0" applyFont="1" applyFill="1" applyAlignment="1">
      <alignment wrapText="1"/>
    </xf>
    <xf numFmtId="0" fontId="1" fillId="2" borderId="0" xfId="0" applyFont="1" applyFill="1" applyAlignment="1">
      <alignment horizontal="center" vertical="center"/>
    </xf>
    <xf numFmtId="0" fontId="0" fillId="2" borderId="0" xfId="0" applyFill="1" applyAlignment="1">
      <alignment horizontal="left" vertical="top" wrapText="1" indent="4"/>
    </xf>
    <xf numFmtId="0" fontId="6" fillId="2" borderId="0" xfId="1" applyFont="1" applyFill="1" applyAlignment="1">
      <alignment horizontal="center" vertical="center"/>
    </xf>
    <xf numFmtId="0" fontId="0" fillId="3" borderId="0" xfId="0" applyFill="1" applyAlignment="1">
      <alignment horizontal="center" vertical="center" wrapText="1"/>
    </xf>
    <xf numFmtId="0" fontId="1" fillId="4" borderId="2" xfId="0" applyFont="1" applyFill="1" applyBorder="1" applyAlignment="1">
      <alignment horizontal="center" vertical="center" wrapText="1"/>
    </xf>
    <xf numFmtId="0" fontId="0" fillId="5" borderId="0" xfId="0" applyFill="1" applyAlignment="1">
      <alignment horizontal="center" vertical="center" wrapText="1"/>
    </xf>
    <xf numFmtId="0" fontId="0" fillId="5" borderId="0" xfId="0" applyFill="1" applyAlignment="1">
      <alignment horizontal="center" vertical="top" wrapText="1"/>
    </xf>
    <xf numFmtId="0" fontId="13" fillId="5" borderId="0" xfId="0" applyFont="1" applyFill="1" applyAlignment="1">
      <alignment horizontal="center" vertical="top" wrapText="1"/>
    </xf>
    <xf numFmtId="0" fontId="1" fillId="4" borderId="2" xfId="0" applyFont="1" applyFill="1" applyBorder="1" applyAlignment="1">
      <alignment horizontal="center" vertical="center"/>
    </xf>
    <xf numFmtId="0" fontId="15"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0" fillId="5" borderId="0" xfId="0" applyFill="1"/>
    <xf numFmtId="0" fontId="13" fillId="5" borderId="1" xfId="0" applyFont="1" applyFill="1" applyBorder="1" applyAlignment="1">
      <alignment horizontal="center" vertical="top" wrapText="1"/>
    </xf>
    <xf numFmtId="0" fontId="13" fillId="5" borderId="1" xfId="0" applyFont="1" applyFill="1" applyBorder="1" applyAlignment="1">
      <alignment horizontal="center" vertical="center" wrapText="1"/>
    </xf>
    <xf numFmtId="0" fontId="0" fillId="5" borderId="0" xfId="0" applyFill="1" applyAlignment="1">
      <alignment vertical="top" wrapText="1"/>
    </xf>
    <xf numFmtId="0" fontId="0" fillId="5" borderId="0" xfId="0" applyFill="1" applyAlignment="1">
      <alignment horizontal="center" vertical="top"/>
    </xf>
    <xf numFmtId="0" fontId="0" fillId="5" borderId="1" xfId="0" applyFill="1" applyBorder="1" applyAlignment="1">
      <alignment horizontal="center" vertical="top" wrapText="1"/>
    </xf>
    <xf numFmtId="0" fontId="0" fillId="3" borderId="0" xfId="0" applyFill="1"/>
    <xf numFmtId="0" fontId="0" fillId="3" borderId="4" xfId="0" applyFill="1" applyBorder="1"/>
    <xf numFmtId="0" fontId="19" fillId="6" borderId="0" xfId="0" applyFont="1" applyFill="1" applyAlignment="1">
      <alignment horizontal="center" vertical="center"/>
    </xf>
    <xf numFmtId="0" fontId="19" fillId="6" borderId="0" xfId="0" applyFont="1" applyFill="1" applyAlignment="1">
      <alignment wrapText="1"/>
    </xf>
    <xf numFmtId="0" fontId="19" fillId="6" borderId="0" xfId="0" applyFont="1" applyFill="1" applyAlignment="1">
      <alignment vertical="top" wrapText="1"/>
    </xf>
    <xf numFmtId="0" fontId="19" fillId="6" borderId="0" xfId="0" applyFont="1" applyFill="1" applyAlignment="1">
      <alignment vertical="top"/>
    </xf>
    <xf numFmtId="0" fontId="19" fillId="2" borderId="0" xfId="0" applyFont="1" applyFill="1"/>
    <xf numFmtId="0" fontId="9" fillId="2" borderId="0" xfId="0" applyFont="1" applyFill="1" applyAlignment="1">
      <alignment horizontal="left" vertical="center" wrapText="1"/>
    </xf>
    <xf numFmtId="0" fontId="0" fillId="2" borderId="0" xfId="0" applyFill="1" applyAlignment="1">
      <alignment vertical="top" wrapText="1"/>
    </xf>
    <xf numFmtId="0" fontId="0" fillId="2" borderId="0" xfId="0" applyFill="1" applyAlignment="1">
      <alignment vertical="center" wrapText="1"/>
    </xf>
    <xf numFmtId="0" fontId="2" fillId="2" borderId="0" xfId="0" applyFont="1" applyFill="1" applyAlignment="1">
      <alignment vertical="center" wrapText="1"/>
    </xf>
    <xf numFmtId="0" fontId="0" fillId="3" borderId="0" xfId="0" applyFill="1" applyAlignment="1">
      <alignment vertical="center" wrapText="1"/>
    </xf>
    <xf numFmtId="0" fontId="0" fillId="0" borderId="0" xfId="0" applyAlignment="1">
      <alignment vertical="center" wrapText="1"/>
    </xf>
    <xf numFmtId="0" fontId="0" fillId="2" borderId="4" xfId="0" applyFill="1" applyBorder="1" applyAlignment="1">
      <alignment vertical="center" wrapText="1"/>
    </xf>
    <xf numFmtId="0" fontId="0" fillId="2" borderId="0" xfId="0" applyFill="1" applyAlignment="1">
      <alignment horizontal="center" vertical="top" wrapText="1"/>
    </xf>
    <xf numFmtId="0" fontId="0" fillId="3" borderId="0" xfId="0" applyFill="1" applyAlignment="1">
      <alignment horizontal="center" vertical="top" wrapText="1"/>
    </xf>
    <xf numFmtId="0" fontId="0" fillId="3" borderId="0" xfId="0" applyFill="1" applyAlignment="1">
      <alignment vertical="top" wrapText="1"/>
    </xf>
    <xf numFmtId="0" fontId="0" fillId="6" borderId="0" xfId="0" applyFill="1" applyAlignment="1">
      <alignment horizontal="left" vertical="top" wrapText="1"/>
    </xf>
    <xf numFmtId="3" fontId="0" fillId="6" borderId="0" xfId="0" applyNumberFormat="1" applyFill="1" applyAlignment="1">
      <alignment horizontal="center" vertical="top" wrapText="1"/>
    </xf>
    <xf numFmtId="0" fontId="0" fillId="6" borderId="0" xfId="0" applyFill="1" applyAlignment="1">
      <alignment horizontal="center" vertical="top" wrapText="1"/>
    </xf>
    <xf numFmtId="165" fontId="0" fillId="6" borderId="0" xfId="4" applyNumberFormat="1" applyFont="1" applyFill="1" applyAlignment="1">
      <alignment horizontal="center" vertical="top" wrapText="1"/>
    </xf>
    <xf numFmtId="165" fontId="0" fillId="6" borderId="0" xfId="0" applyNumberFormat="1" applyFill="1" applyAlignment="1">
      <alignment horizontal="center" vertical="top" wrapText="1"/>
    </xf>
    <xf numFmtId="0" fontId="0" fillId="2" borderId="0" xfId="0" applyFill="1" applyAlignment="1">
      <alignment wrapText="1"/>
    </xf>
    <xf numFmtId="0" fontId="0" fillId="5" borderId="0" xfId="0" applyFill="1" applyAlignment="1">
      <alignment wrapText="1"/>
    </xf>
    <xf numFmtId="0" fontId="0" fillId="3" borderId="0" xfId="0" applyFill="1" applyAlignment="1">
      <alignment wrapText="1"/>
    </xf>
    <xf numFmtId="165" fontId="0" fillId="3" borderId="0" xfId="3" applyNumberFormat="1" applyFont="1" applyFill="1" applyAlignment="1">
      <alignment vertical="top" wrapText="1"/>
    </xf>
    <xf numFmtId="165" fontId="0" fillId="3" borderId="0" xfId="0" applyNumberFormat="1" applyFill="1" applyAlignment="1">
      <alignment vertical="top" wrapText="1"/>
    </xf>
    <xf numFmtId="165" fontId="0" fillId="2" borderId="0" xfId="3" applyNumberFormat="1" applyFont="1" applyFill="1" applyAlignment="1">
      <alignment vertical="top" wrapText="1"/>
    </xf>
    <xf numFmtId="0" fontId="0" fillId="4" borderId="0" xfId="0" applyFill="1" applyAlignment="1">
      <alignment vertical="top" wrapText="1"/>
    </xf>
    <xf numFmtId="0" fontId="0" fillId="8" borderId="0" xfId="0" applyFill="1" applyAlignment="1">
      <alignment vertical="top" wrapText="1"/>
    </xf>
    <xf numFmtId="164" fontId="0" fillId="8" borderId="0" xfId="3" applyFont="1" applyFill="1" applyAlignment="1">
      <alignment vertical="top" wrapText="1"/>
    </xf>
    <xf numFmtId="166" fontId="0" fillId="2" borderId="0" xfId="0" applyNumberFormat="1" applyFill="1" applyAlignment="1">
      <alignment vertical="top" wrapText="1"/>
    </xf>
    <xf numFmtId="0" fontId="0" fillId="0" borderId="0" xfId="0" applyAlignment="1">
      <alignment horizontal="center" vertical="center"/>
    </xf>
    <xf numFmtId="0" fontId="0" fillId="0" borderId="7" xfId="0" applyBorder="1" applyAlignment="1">
      <alignment vertical="center" wrapText="1"/>
    </xf>
    <xf numFmtId="0" fontId="23" fillId="0" borderId="7" xfId="0" applyFont="1" applyBorder="1" applyAlignment="1">
      <alignment vertical="center" wrapText="1"/>
    </xf>
    <xf numFmtId="0" fontId="0" fillId="3" borderId="7" xfId="0" applyFill="1" applyBorder="1" applyAlignment="1">
      <alignment vertical="center" wrapText="1"/>
    </xf>
    <xf numFmtId="0" fontId="1" fillId="4" borderId="3"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0" fillId="6" borderId="7" xfId="0" applyFill="1" applyBorder="1" applyAlignment="1">
      <alignment vertical="center" wrapText="1"/>
    </xf>
    <xf numFmtId="164" fontId="0" fillId="3" borderId="0" xfId="0" applyNumberFormat="1" applyFill="1" applyAlignment="1">
      <alignment wrapText="1"/>
    </xf>
    <xf numFmtId="0" fontId="2" fillId="2" borderId="0" xfId="0" applyFont="1" applyFill="1" applyAlignment="1">
      <alignment horizontal="center" vertical="center"/>
    </xf>
    <xf numFmtId="0" fontId="0" fillId="5" borderId="0" xfId="0" applyFill="1" applyAlignment="1">
      <alignment horizontal="center"/>
    </xf>
    <xf numFmtId="0" fontId="0" fillId="3" borderId="7" xfId="0" applyFill="1" applyBorder="1" applyAlignment="1">
      <alignment horizontal="center" vertical="center" wrapText="1"/>
    </xf>
    <xf numFmtId="0" fontId="0" fillId="2" borderId="0" xfId="0" applyFill="1" applyAlignment="1">
      <alignment horizontal="center"/>
    </xf>
    <xf numFmtId="2" fontId="0" fillId="3" borderId="7" xfId="0" applyNumberFormat="1" applyFill="1" applyBorder="1" applyAlignment="1">
      <alignment horizontal="center" vertical="center" wrapText="1"/>
    </xf>
    <xf numFmtId="2" fontId="0" fillId="2" borderId="0" xfId="0" applyNumberFormat="1" applyFill="1" applyAlignment="1">
      <alignment horizontal="center" vertical="center"/>
    </xf>
    <xf numFmtId="2" fontId="15" fillId="4" borderId="5" xfId="0" applyNumberFormat="1" applyFont="1" applyFill="1" applyBorder="1" applyAlignment="1">
      <alignment horizontal="center" vertical="center" wrapText="1"/>
    </xf>
    <xf numFmtId="2" fontId="0" fillId="5" borderId="0" xfId="0" applyNumberFormat="1" applyFill="1" applyAlignment="1">
      <alignment horizontal="center" vertical="center"/>
    </xf>
    <xf numFmtId="2" fontId="0" fillId="6" borderId="7" xfId="0" applyNumberFormat="1" applyFill="1" applyBorder="1" applyAlignment="1">
      <alignment horizontal="center" vertical="center" wrapText="1"/>
    </xf>
    <xf numFmtId="2" fontId="0" fillId="6" borderId="7" xfId="3" applyNumberFormat="1" applyFont="1" applyFill="1" applyBorder="1" applyAlignment="1">
      <alignment horizontal="center" vertical="center" wrapText="1"/>
    </xf>
    <xf numFmtId="2" fontId="0" fillId="2" borderId="0" xfId="3" applyNumberFormat="1" applyFont="1" applyFill="1" applyAlignment="1">
      <alignment horizontal="center" vertical="center"/>
    </xf>
    <xf numFmtId="0" fontId="13" fillId="3" borderId="0" xfId="0" applyFont="1" applyFill="1" applyAlignment="1">
      <alignment horizontal="center" vertical="top"/>
    </xf>
    <xf numFmtId="165" fontId="1" fillId="3" borderId="0" xfId="0" applyNumberFormat="1" applyFont="1" applyFill="1"/>
    <xf numFmtId="0" fontId="0" fillId="3" borderId="0" xfId="0" applyFill="1" applyAlignment="1">
      <alignment horizontal="left" vertical="top"/>
    </xf>
    <xf numFmtId="0" fontId="1" fillId="3" borderId="0" xfId="0" applyFont="1" applyFill="1"/>
    <xf numFmtId="0" fontId="30" fillId="9" borderId="0" xfId="6" applyFont="1" applyFill="1" applyAlignment="1"/>
    <xf numFmtId="0" fontId="31" fillId="10" borderId="6" xfId="6" applyFont="1" applyFill="1" applyBorder="1" applyAlignment="1">
      <alignment horizontal="center" vertical="center" wrapText="1"/>
    </xf>
    <xf numFmtId="0" fontId="31" fillId="10" borderId="6" xfId="6" applyFont="1" applyFill="1" applyBorder="1" applyAlignment="1">
      <alignment horizontal="left" vertical="center" wrapText="1" indent="1"/>
    </xf>
    <xf numFmtId="0" fontId="33" fillId="10" borderId="6" xfId="6" applyFont="1" applyFill="1" applyBorder="1" applyAlignment="1">
      <alignment horizontal="center" vertical="top" wrapText="1"/>
    </xf>
    <xf numFmtId="0" fontId="33" fillId="10" borderId="6" xfId="6" applyFont="1" applyFill="1" applyBorder="1" applyAlignment="1">
      <alignment horizontal="left" vertical="center" wrapText="1" indent="1"/>
    </xf>
    <xf numFmtId="0" fontId="33" fillId="10" borderId="6" xfId="6" applyFont="1" applyFill="1" applyBorder="1" applyAlignment="1">
      <alignment horizontal="left" vertical="center" wrapText="1" indent="2"/>
    </xf>
    <xf numFmtId="0" fontId="30" fillId="11" borderId="0" xfId="6" applyFont="1" applyFill="1" applyAlignment="1">
      <alignment horizontal="center" vertical="top" wrapText="1"/>
    </xf>
    <xf numFmtId="0" fontId="30" fillId="11" borderId="0" xfId="6" applyFont="1" applyFill="1" applyAlignment="1"/>
    <xf numFmtId="0" fontId="26" fillId="11" borderId="0" xfId="6" applyFill="1" applyAlignment="1">
      <alignment horizontal="center" vertical="top" wrapText="1"/>
    </xf>
    <xf numFmtId="0" fontId="36" fillId="12" borderId="0" xfId="6" applyFont="1" applyFill="1" applyAlignment="1">
      <alignment horizontal="center" vertical="top"/>
    </xf>
    <xf numFmtId="0" fontId="36" fillId="12" borderId="0" xfId="6" applyFont="1" applyFill="1" applyAlignment="1">
      <alignment horizontal="left" vertical="top" wrapText="1"/>
    </xf>
    <xf numFmtId="0" fontId="36" fillId="13" borderId="0" xfId="6" applyFont="1" applyFill="1" applyAlignment="1">
      <alignment horizontal="left" vertical="top" wrapText="1"/>
    </xf>
    <xf numFmtId="0" fontId="36" fillId="7" borderId="0" xfId="6" applyFont="1" applyFill="1" applyAlignment="1">
      <alignment horizontal="left" vertical="top" wrapText="1"/>
    </xf>
    <xf numFmtId="0" fontId="30" fillId="14" borderId="0" xfId="6" applyFont="1" applyFill="1" applyAlignment="1">
      <alignment horizontal="center" vertical="top" wrapText="1"/>
    </xf>
    <xf numFmtId="0" fontId="30" fillId="14" borderId="0" xfId="6" applyFont="1" applyFill="1" applyAlignment="1">
      <alignment horizontal="left" vertical="top" wrapText="1"/>
    </xf>
    <xf numFmtId="0" fontId="26" fillId="14" borderId="0" xfId="6" applyFill="1" applyAlignment="1">
      <alignment horizontal="left" vertical="top" wrapText="1"/>
    </xf>
    <xf numFmtId="0" fontId="36" fillId="15" borderId="4" xfId="6" applyFont="1" applyFill="1" applyBorder="1" applyAlignment="1">
      <alignment horizontal="center" vertical="top"/>
    </xf>
    <xf numFmtId="0" fontId="36" fillId="15" borderId="4" xfId="6" applyFont="1" applyFill="1" applyBorder="1" applyAlignment="1">
      <alignment vertical="top"/>
    </xf>
    <xf numFmtId="0" fontId="36" fillId="15" borderId="4" xfId="6" applyFont="1" applyFill="1" applyBorder="1" applyAlignment="1">
      <alignment vertical="top" wrapText="1"/>
    </xf>
    <xf numFmtId="0" fontId="37" fillId="15" borderId="4" xfId="6" applyFont="1" applyFill="1" applyBorder="1" applyAlignment="1">
      <alignment vertical="top" wrapText="1"/>
    </xf>
    <xf numFmtId="0" fontId="36" fillId="15" borderId="4" xfId="6" applyFont="1" applyFill="1" applyBorder="1" applyAlignment="1"/>
    <xf numFmtId="0" fontId="36" fillId="15" borderId="4" xfId="6" applyFont="1" applyFill="1" applyBorder="1" applyAlignment="1">
      <alignment horizontal="left" vertical="top" wrapText="1"/>
    </xf>
    <xf numFmtId="0" fontId="26" fillId="0" borderId="0" xfId="6">
      <alignment vertical="center"/>
    </xf>
    <xf numFmtId="0" fontId="33" fillId="10" borderId="6" xfId="6" applyFont="1" applyFill="1" applyBorder="1" applyAlignment="1">
      <alignment horizontal="center" vertical="center" wrapText="1"/>
    </xf>
    <xf numFmtId="0" fontId="36" fillId="12" borderId="0" xfId="6" applyFont="1" applyFill="1" applyAlignment="1">
      <alignment horizontal="left" vertical="top"/>
    </xf>
    <xf numFmtId="0" fontId="36" fillId="12" borderId="0" xfId="6" applyFont="1" applyFill="1" applyAlignment="1">
      <alignment horizontal="center" vertical="top" wrapText="1"/>
    </xf>
    <xf numFmtId="0" fontId="36" fillId="13" borderId="0" xfId="6" applyFont="1" applyFill="1" applyAlignment="1">
      <alignment horizontal="center" vertical="top" wrapText="1"/>
    </xf>
    <xf numFmtId="0" fontId="30" fillId="15" borderId="4" xfId="6" applyFont="1" applyFill="1" applyBorder="1" applyAlignment="1"/>
    <xf numFmtId="0" fontId="36" fillId="15" borderId="0" xfId="6" applyFont="1" applyFill="1" applyAlignment="1">
      <alignment horizontal="left" vertical="top" wrapText="1"/>
    </xf>
    <xf numFmtId="0" fontId="30" fillId="9" borderId="0" xfId="6" applyFont="1" applyFill="1" applyAlignment="1">
      <alignment vertical="top"/>
    </xf>
    <xf numFmtId="0" fontId="30" fillId="9" borderId="0" xfId="6" applyFont="1" applyFill="1" applyAlignment="1">
      <alignment horizontal="center" vertical="top"/>
    </xf>
    <xf numFmtId="0" fontId="30" fillId="9" borderId="0" xfId="6" applyFont="1" applyFill="1" applyAlignment="1">
      <alignment horizontal="center" vertical="center"/>
    </xf>
    <xf numFmtId="0" fontId="38" fillId="9" borderId="0" xfId="7" applyFill="1" applyProtection="1">
      <alignment vertical="top"/>
    </xf>
    <xf numFmtId="0" fontId="30" fillId="15" borderId="0" xfId="6" applyFont="1" applyFill="1" applyAlignment="1"/>
    <xf numFmtId="0" fontId="1" fillId="4" borderId="0" xfId="0" applyFont="1" applyFill="1" applyAlignment="1">
      <alignment horizontal="center" vertical="center"/>
    </xf>
    <xf numFmtId="0" fontId="0" fillId="0" borderId="0" xfId="0" applyAlignment="1">
      <alignment horizontal="center" vertical="top" wrapText="1"/>
    </xf>
    <xf numFmtId="164" fontId="0" fillId="0" borderId="0" xfId="5" applyFont="1" applyFill="1"/>
    <xf numFmtId="0" fontId="13" fillId="0" borderId="0" xfId="0" applyFont="1" applyAlignment="1">
      <alignment horizontal="center" vertical="center" wrapText="1"/>
    </xf>
    <xf numFmtId="0" fontId="0" fillId="3" borderId="0" xfId="0" applyFill="1" applyAlignment="1">
      <alignment horizontal="center"/>
    </xf>
    <xf numFmtId="0" fontId="0" fillId="3" borderId="4" xfId="0" applyFill="1" applyBorder="1" applyAlignment="1">
      <alignment horizontal="center"/>
    </xf>
    <xf numFmtId="164" fontId="0" fillId="0" borderId="0" xfId="3" applyFont="1" applyFill="1"/>
    <xf numFmtId="165" fontId="0" fillId="2" borderId="0" xfId="3" applyNumberFormat="1" applyFont="1" applyFill="1" applyAlignment="1">
      <alignment horizontal="center" vertical="center"/>
    </xf>
    <xf numFmtId="165" fontId="0" fillId="4" borderId="0" xfId="0" applyNumberFormat="1" applyFill="1" applyAlignment="1">
      <alignment vertical="top" wrapText="1"/>
    </xf>
    <xf numFmtId="0" fontId="30" fillId="12" borderId="0" xfId="6" applyFont="1" applyFill="1" applyAlignment="1">
      <alignment horizontal="center" vertical="top"/>
    </xf>
    <xf numFmtId="0" fontId="30" fillId="12" borderId="0" xfId="6" applyFont="1" applyFill="1" applyAlignment="1">
      <alignment vertical="top"/>
    </xf>
    <xf numFmtId="0" fontId="30" fillId="12" borderId="0" xfId="6" applyFont="1" applyFill="1" applyAlignment="1">
      <alignment vertical="top" wrapText="1"/>
    </xf>
    <xf numFmtId="0" fontId="30" fillId="12" borderId="0" xfId="6" applyFont="1" applyFill="1" applyAlignment="1">
      <alignment horizontal="left" vertical="top" wrapText="1"/>
    </xf>
    <xf numFmtId="0" fontId="30" fillId="13" borderId="0" xfId="6" applyFont="1" applyFill="1" applyAlignment="1">
      <alignment horizontal="center" vertical="top"/>
    </xf>
    <xf numFmtId="0" fontId="30" fillId="13" borderId="0" xfId="6" applyFont="1" applyFill="1" applyAlignment="1">
      <alignment horizontal="left" vertical="top"/>
    </xf>
    <xf numFmtId="0" fontId="30" fillId="13" borderId="0" xfId="6" applyFont="1" applyFill="1" applyAlignment="1">
      <alignment horizontal="left" vertical="top" wrapText="1"/>
    </xf>
    <xf numFmtId="0" fontId="30" fillId="7" borderId="0" xfId="6" quotePrefix="1" applyFont="1" applyFill="1" applyAlignment="1">
      <alignment horizontal="left" vertical="top" wrapText="1"/>
    </xf>
    <xf numFmtId="0" fontId="30" fillId="7" borderId="0" xfId="6" applyFont="1" applyFill="1" applyAlignment="1">
      <alignment horizontal="left" vertical="top" wrapText="1"/>
    </xf>
    <xf numFmtId="0" fontId="30" fillId="7" borderId="0" xfId="6" applyFont="1" applyFill="1" applyAlignment="1">
      <alignment horizontal="center" vertical="top" wrapText="1"/>
    </xf>
    <xf numFmtId="0" fontId="21" fillId="14" borderId="0" xfId="6" applyFont="1" applyFill="1" applyAlignment="1">
      <alignment horizontal="left" vertical="top" wrapText="1"/>
    </xf>
    <xf numFmtId="0" fontId="0" fillId="8" borderId="0" xfId="0" applyFill="1" applyAlignment="1">
      <alignment horizontal="left" vertical="top" wrapText="1"/>
    </xf>
    <xf numFmtId="165" fontId="0" fillId="2" borderId="0" xfId="3" applyNumberFormat="1" applyFont="1" applyFill="1" applyBorder="1" applyAlignment="1">
      <alignment vertical="top" wrapText="1"/>
    </xf>
    <xf numFmtId="0" fontId="0" fillId="2" borderId="0" xfId="0" applyFill="1" applyAlignment="1">
      <alignment vertical="top"/>
    </xf>
    <xf numFmtId="0" fontId="40" fillId="8" borderId="0" xfId="0" applyFont="1" applyFill="1" applyAlignment="1">
      <alignment vertical="top" wrapText="1"/>
    </xf>
    <xf numFmtId="0" fontId="5" fillId="8" borderId="0" xfId="1" applyFill="1" applyAlignment="1">
      <alignment wrapText="1"/>
    </xf>
    <xf numFmtId="0" fontId="13" fillId="8" borderId="0" xfId="1" applyFont="1" applyFill="1" applyAlignment="1">
      <alignment vertical="top" wrapText="1"/>
    </xf>
    <xf numFmtId="164" fontId="0" fillId="4" borderId="0" xfId="5" applyFont="1" applyFill="1" applyAlignment="1">
      <alignment vertical="top" wrapText="1"/>
    </xf>
    <xf numFmtId="165" fontId="0" fillId="2" borderId="0" xfId="5" applyNumberFormat="1" applyFont="1" applyFill="1" applyAlignment="1">
      <alignment vertical="top" wrapText="1"/>
    </xf>
    <xf numFmtId="0" fontId="41" fillId="10" borderId="6" xfId="6" applyFont="1" applyFill="1" applyBorder="1" applyAlignment="1">
      <alignment horizontal="center" vertical="center" wrapText="1"/>
    </xf>
    <xf numFmtId="0" fontId="43" fillId="10" borderId="6" xfId="6" applyFont="1" applyFill="1" applyBorder="1" applyAlignment="1">
      <alignment horizontal="center" vertical="center" wrapText="1"/>
    </xf>
    <xf numFmtId="0" fontId="36" fillId="11" borderId="0" xfId="6" applyFont="1" applyFill="1" applyAlignment="1">
      <alignment horizontal="center" vertical="top" wrapText="1"/>
    </xf>
    <xf numFmtId="0" fontId="36" fillId="11" borderId="0" xfId="6" applyFont="1" applyFill="1" applyAlignment="1"/>
    <xf numFmtId="0" fontId="37" fillId="11" borderId="0" xfId="6" applyFont="1" applyFill="1" applyAlignment="1">
      <alignment horizontal="center" vertical="top" wrapText="1"/>
    </xf>
    <xf numFmtId="0" fontId="46" fillId="12" borderId="0" xfId="6" applyFont="1" applyFill="1" applyAlignment="1">
      <alignment horizontal="left" vertical="top" wrapText="1"/>
    </xf>
    <xf numFmtId="0" fontId="37" fillId="12" borderId="0" xfId="6" applyFont="1" applyFill="1" applyAlignment="1">
      <alignment horizontal="left" vertical="top" wrapText="1"/>
    </xf>
    <xf numFmtId="165" fontId="0" fillId="0" borderId="0" xfId="0" applyNumberForma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vertical="top"/>
    </xf>
    <xf numFmtId="49" fontId="0" fillId="0" borderId="0" xfId="0" applyNumberFormat="1" applyAlignment="1">
      <alignment horizontal="left" vertical="top"/>
    </xf>
    <xf numFmtId="0" fontId="13" fillId="0" borderId="0" xfId="0" applyFont="1" applyAlignment="1">
      <alignment horizontal="left" vertical="top"/>
    </xf>
    <xf numFmtId="14" fontId="13" fillId="0" borderId="0" xfId="0" applyNumberFormat="1" applyFont="1" applyAlignment="1">
      <alignment horizontal="left" vertical="top"/>
    </xf>
    <xf numFmtId="165" fontId="13" fillId="0" borderId="0" xfId="0" applyNumberFormat="1" applyFont="1" applyAlignment="1">
      <alignment horizontal="left" vertical="top"/>
    </xf>
    <xf numFmtId="164" fontId="13" fillId="0" borderId="0" xfId="0" applyNumberFormat="1" applyFont="1" applyAlignment="1">
      <alignment horizontal="left" vertical="top"/>
    </xf>
    <xf numFmtId="0" fontId="13" fillId="0" borderId="0" xfId="0" applyFont="1" applyAlignment="1">
      <alignment horizontal="center" vertical="top"/>
    </xf>
    <xf numFmtId="167" fontId="0" fillId="0" borderId="0" xfId="0" applyNumberFormat="1" applyAlignment="1">
      <alignment horizontal="left" vertical="top"/>
    </xf>
    <xf numFmtId="3" fontId="0" fillId="0" borderId="0" xfId="0" applyNumberFormat="1"/>
    <xf numFmtId="165" fontId="0" fillId="0" borderId="0" xfId="5" applyNumberFormat="1" applyFont="1" applyFill="1"/>
    <xf numFmtId="165" fontId="0" fillId="0" borderId="0" xfId="5" applyNumberFormat="1" applyFont="1" applyFill="1" applyAlignment="1">
      <alignment horizontal="left" vertical="top"/>
    </xf>
    <xf numFmtId="0" fontId="39" fillId="0" borderId="0" xfId="0" applyFont="1" applyAlignment="1">
      <alignment horizontal="left" vertical="center"/>
    </xf>
    <xf numFmtId="0" fontId="25" fillId="0" borderId="0" xfId="0" applyFont="1" applyAlignment="1">
      <alignment horizontal="left" vertical="top"/>
    </xf>
    <xf numFmtId="164" fontId="0" fillId="2" borderId="0" xfId="3" applyFont="1" applyFill="1"/>
    <xf numFmtId="164" fontId="1" fillId="4" borderId="5" xfId="3" applyFont="1" applyFill="1" applyBorder="1" applyAlignment="1">
      <alignment horizontal="center" vertical="center" wrapText="1"/>
    </xf>
    <xf numFmtId="164" fontId="1" fillId="3" borderId="0" xfId="3" applyFont="1" applyFill="1"/>
    <xf numFmtId="164" fontId="0" fillId="3" borderId="0" xfId="3" applyFont="1" applyFill="1"/>
    <xf numFmtId="164" fontId="0" fillId="3" borderId="4" xfId="3" applyFont="1" applyFill="1" applyBorder="1"/>
    <xf numFmtId="164" fontId="0" fillId="2" borderId="0" xfId="3" applyFont="1" applyFill="1" applyAlignment="1">
      <alignment wrapText="1"/>
    </xf>
    <xf numFmtId="164" fontId="1" fillId="4" borderId="3" xfId="3" applyFont="1" applyFill="1" applyBorder="1" applyAlignment="1">
      <alignment horizontal="center" vertical="center" wrapText="1"/>
    </xf>
    <xf numFmtId="164" fontId="1" fillId="2" borderId="0" xfId="3" applyFont="1" applyFill="1"/>
    <xf numFmtId="164" fontId="0" fillId="0" borderId="0" xfId="5" applyFont="1" applyFill="1" applyAlignment="1">
      <alignment horizontal="left" vertical="top"/>
    </xf>
    <xf numFmtId="0" fontId="0" fillId="0" borderId="0" xfId="5" applyNumberFormat="1" applyFont="1" applyFill="1" applyAlignment="1">
      <alignment horizontal="left" vertical="top"/>
    </xf>
    <xf numFmtId="0" fontId="2" fillId="2" borderId="0" xfId="0" applyFont="1" applyFill="1" applyAlignment="1">
      <alignment horizontal="left"/>
    </xf>
    <xf numFmtId="0" fontId="2" fillId="2" borderId="0" xfId="0" applyFont="1" applyFill="1" applyAlignment="1">
      <alignment horizontal="left" wrapText="1"/>
    </xf>
    <xf numFmtId="0" fontId="3" fillId="2" borderId="0" xfId="0" applyFont="1" applyFill="1" applyAlignment="1">
      <alignment horizontal="center" vertical="center" wrapText="1"/>
    </xf>
    <xf numFmtId="0" fontId="0" fillId="2" borderId="0" xfId="0" applyFill="1" applyAlignment="1">
      <alignment horizontal="left" vertical="center" wrapText="1"/>
    </xf>
    <xf numFmtId="0" fontId="1" fillId="4" borderId="3"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4" xfId="0" applyFont="1" applyFill="1" applyBorder="1" applyAlignment="1">
      <alignment horizontal="center" vertical="center" wrapText="1"/>
    </xf>
    <xf numFmtId="0" fontId="9" fillId="0" borderId="0" xfId="0" applyFont="1" applyAlignment="1">
      <alignment horizontal="left" vertical="center" wrapText="1"/>
    </xf>
    <xf numFmtId="0" fontId="1" fillId="4" borderId="2" xfId="0" applyFont="1" applyFill="1" applyBorder="1" applyAlignment="1">
      <alignment horizontal="center" vertical="center" wrapText="1"/>
    </xf>
    <xf numFmtId="0" fontId="1" fillId="4" borderId="2" xfId="0" applyFont="1" applyFill="1" applyBorder="1" applyAlignment="1">
      <alignment horizontal="center"/>
    </xf>
    <xf numFmtId="0" fontId="1" fillId="4" borderId="3" xfId="0" applyFont="1" applyFill="1" applyBorder="1" applyAlignment="1">
      <alignment horizontal="center" vertical="center"/>
    </xf>
    <xf numFmtId="0" fontId="1" fillId="4" borderId="0" xfId="0" applyFont="1" applyFill="1" applyAlignment="1">
      <alignment horizontal="center" vertical="center"/>
    </xf>
    <xf numFmtId="0" fontId="1" fillId="4" borderId="4" xfId="0" applyFont="1" applyFill="1" applyBorder="1" applyAlignment="1">
      <alignment horizontal="center" vertical="center"/>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1" fillId="4" borderId="3" xfId="0" applyFont="1" applyFill="1" applyBorder="1" applyAlignment="1">
      <alignment horizontal="center" vertical="top" wrapText="1"/>
    </xf>
    <xf numFmtId="0" fontId="1" fillId="4" borderId="4" xfId="0" applyFont="1" applyFill="1" applyBorder="1" applyAlignment="1">
      <alignment horizontal="center" vertical="top" wrapText="1"/>
    </xf>
    <xf numFmtId="0" fontId="0" fillId="2" borderId="0" xfId="0" applyFill="1" applyAlignment="1">
      <alignment horizontal="left" vertical="center"/>
    </xf>
    <xf numFmtId="0" fontId="9" fillId="2" borderId="0" xfId="0" applyFont="1" applyFill="1" applyAlignment="1">
      <alignment horizontal="left" vertical="center"/>
    </xf>
    <xf numFmtId="0" fontId="13" fillId="0" borderId="0" xfId="0" applyFont="1" applyAlignment="1">
      <alignment horizontal="left" vertical="top" wrapText="1"/>
    </xf>
    <xf numFmtId="0" fontId="0" fillId="0" borderId="0" xfId="0" applyAlignment="1">
      <alignment horizontal="left" vertical="top" wrapText="1"/>
    </xf>
    <xf numFmtId="0" fontId="1" fillId="4" borderId="5" xfId="0" applyFont="1" applyFill="1" applyBorder="1" applyAlignment="1">
      <alignment horizontal="center" vertical="center"/>
    </xf>
    <xf numFmtId="0" fontId="0" fillId="2" borderId="0" xfId="0" applyFill="1" applyAlignment="1">
      <alignment vertical="top" wrapText="1"/>
    </xf>
    <xf numFmtId="0" fontId="9" fillId="2" borderId="0" xfId="0" applyFont="1" applyFill="1" applyAlignment="1">
      <alignment horizontal="left" wrapText="1"/>
    </xf>
    <xf numFmtId="0" fontId="15" fillId="4" borderId="3"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27" fillId="9" borderId="0" xfId="6" applyFont="1" applyFill="1" applyAlignment="1">
      <alignment horizontal="left"/>
    </xf>
    <xf numFmtId="0" fontId="26" fillId="0" borderId="0" xfId="6" applyAlignment="1">
      <alignment horizontal="left" vertical="top" wrapText="1"/>
    </xf>
    <xf numFmtId="0" fontId="27" fillId="9" borderId="0" xfId="6" applyFont="1" applyFill="1" applyAlignment="1">
      <alignment horizontal="left" vertical="center"/>
    </xf>
    <xf numFmtId="0" fontId="30" fillId="0" borderId="0" xfId="6" applyFont="1" applyAlignment="1">
      <alignment horizontal="left" vertical="top" wrapText="1"/>
    </xf>
    <xf numFmtId="0" fontId="27" fillId="9" borderId="0" xfId="6" applyFont="1" applyFill="1" applyAlignment="1">
      <alignment horizontal="left"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 fillId="0" borderId="7" xfId="0" applyFont="1" applyBorder="1" applyAlignment="1">
      <alignment horizontal="center" vertical="center" wrapText="1"/>
    </xf>
    <xf numFmtId="0" fontId="24" fillId="0" borderId="7" xfId="0" applyFont="1" applyBorder="1" applyAlignment="1">
      <alignment horizontal="center" vertical="center" wrapText="1"/>
    </xf>
    <xf numFmtId="0" fontId="0" fillId="0" borderId="9" xfId="0"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2" fontId="0" fillId="6" borderId="8" xfId="3" applyNumberFormat="1" applyFont="1" applyFill="1" applyBorder="1" applyAlignment="1">
      <alignment vertical="center" wrapText="1"/>
    </xf>
    <xf numFmtId="2" fontId="0" fillId="6" borderId="9" xfId="3" applyNumberFormat="1" applyFont="1" applyFill="1" applyBorder="1" applyAlignment="1">
      <alignment vertical="center" wrapText="1"/>
    </xf>
    <xf numFmtId="2" fontId="0" fillId="6" borderId="10" xfId="3" applyNumberFormat="1" applyFont="1" applyFill="1" applyBorder="1" applyAlignment="1">
      <alignment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0" xfId="0" applyFill="1" applyBorder="1" applyAlignment="1">
      <alignment horizontal="center" vertical="center" wrapText="1"/>
    </xf>
    <xf numFmtId="2" fontId="0" fillId="0" borderId="8" xfId="0" applyNumberFormat="1" applyBorder="1" applyAlignment="1">
      <alignment horizontal="center" vertical="center" wrapText="1"/>
    </xf>
    <xf numFmtId="2" fontId="0" fillId="0" borderId="9" xfId="0" applyNumberFormat="1" applyBorder="1" applyAlignment="1">
      <alignment horizontal="center" vertical="center" wrapText="1"/>
    </xf>
    <xf numFmtId="2" fontId="0" fillId="0" borderId="10" xfId="0" applyNumberFormat="1" applyBorder="1" applyAlignment="1">
      <alignment horizontal="center" vertical="center" wrapText="1"/>
    </xf>
    <xf numFmtId="0" fontId="1"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cellXfs>
  <cellStyles count="8">
    <cellStyle name="Comma" xfId="3" builtinId="3"/>
    <cellStyle name="Comma 2" xfId="4" xr:uid="{C45A299C-AE44-4439-8EC3-AA82613F1D5D}"/>
    <cellStyle name="Comma 3" xfId="5" xr:uid="{41D87A3D-9D2D-48F7-AFBE-65862E094725}"/>
    <cellStyle name="Hyperlink" xfId="1" builtinId="8"/>
    <cellStyle name="Hyperlink 2" xfId="7" xr:uid="{495E10D7-C39D-4D70-A0F8-79142BCAD082}"/>
    <cellStyle name="Normal" xfId="0" builtinId="0"/>
    <cellStyle name="Normal 2" xfId="2" xr:uid="{9A1BE0ED-0787-4393-AC2E-571DFE16B267}"/>
    <cellStyle name="Normal 3" xfId="6" xr:uid="{7E58CEAD-F7FD-4A7C-AD68-50EC03BB66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147637</xdr:colOff>
      <xdr:row>0</xdr:row>
      <xdr:rowOff>38100</xdr:rowOff>
    </xdr:from>
    <xdr:to>
      <xdr:col>17</xdr:col>
      <xdr:colOff>491173</xdr:colOff>
      <xdr:row>4</xdr:row>
      <xdr:rowOff>38100</xdr:rowOff>
    </xdr:to>
    <xdr:grpSp>
      <xdr:nvGrpSpPr>
        <xdr:cNvPr id="5" name="Group 4">
          <a:extLst>
            <a:ext uri="{FF2B5EF4-FFF2-40B4-BE49-F238E27FC236}">
              <a16:creationId xmlns:a16="http://schemas.microsoft.com/office/drawing/2014/main" id="{7BDDF04B-F94E-570D-304D-340A781C9FBD}"/>
            </a:ext>
          </a:extLst>
        </xdr:cNvPr>
        <xdr:cNvGrpSpPr/>
      </xdr:nvGrpSpPr>
      <xdr:grpSpPr>
        <a:xfrm>
          <a:off x="147637" y="38100"/>
          <a:ext cx="12649836" cy="863600"/>
          <a:chOff x="147637" y="38100"/>
          <a:chExt cx="11354436" cy="670560"/>
        </a:xfrm>
      </xdr:grpSpPr>
      <xdr:pic>
        <xdr:nvPicPr>
          <xdr:cNvPr id="2" name="Picture 1" descr="Logotipo&#10;&#10;Descripción generada automáticamente con confianza media">
            <a:extLst>
              <a:ext uri="{FF2B5EF4-FFF2-40B4-BE49-F238E27FC236}">
                <a16:creationId xmlns:a16="http://schemas.microsoft.com/office/drawing/2014/main" id="{6A848DE1-1ECE-9668-5211-B14B35740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37" y="138113"/>
            <a:ext cx="1927860" cy="508635"/>
          </a:xfrm>
          <a:prstGeom prst="rect">
            <a:avLst/>
          </a:prstGeom>
        </xdr:spPr>
      </xdr:pic>
      <xdr:pic>
        <xdr:nvPicPr>
          <xdr:cNvPr id="3" name="Picture 2" descr="Logo&#10;&#10;Description automatically generated">
            <a:extLst>
              <a:ext uri="{FF2B5EF4-FFF2-40B4-BE49-F238E27FC236}">
                <a16:creationId xmlns:a16="http://schemas.microsoft.com/office/drawing/2014/main" id="{BEFF749B-F9C5-2517-946D-9E13DD39E58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112" r="22610"/>
          <a:stretch/>
        </xdr:blipFill>
        <xdr:spPr bwMode="auto">
          <a:xfrm>
            <a:off x="5691188" y="38100"/>
            <a:ext cx="518795" cy="670560"/>
          </a:xfrm>
          <a:prstGeom prst="rect">
            <a:avLst/>
          </a:prstGeom>
          <a:ln>
            <a:noFill/>
          </a:ln>
          <a:extLst>
            <a:ext uri="{53640926-AAD7-44D8-BBD7-CCE9431645EC}">
              <a14:shadowObscured xmlns:a14="http://schemas.microsoft.com/office/drawing/2010/main"/>
            </a:ext>
          </a:extLst>
        </xdr:spPr>
      </xdr:pic>
      <xdr:pic>
        <xdr:nvPicPr>
          <xdr:cNvPr id="4" name="Picture 3" descr="A picture containing application&#10;&#10;Description automatically generated">
            <a:extLst>
              <a:ext uri="{FF2B5EF4-FFF2-40B4-BE49-F238E27FC236}">
                <a16:creationId xmlns:a16="http://schemas.microsoft.com/office/drawing/2014/main" id="{34414FA3-C4F3-AC5B-05C3-DD815D537B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96488" y="119063"/>
            <a:ext cx="1505585" cy="517525"/>
          </a:xfrm>
          <a:prstGeom prst="rect">
            <a:avLst/>
          </a:prstGeom>
          <a:noFill/>
          <a:ln>
            <a:noFill/>
          </a:ln>
        </xdr:spPr>
      </xdr:pic>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hyperlink" Target="https://www.df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7DC26-56BD-4E62-8F19-4CE11B3D721C}">
  <dimension ref="A4:R26"/>
  <sheetViews>
    <sheetView topLeftCell="L8" workbookViewId="0">
      <selection activeCell="B16" sqref="B16:R16"/>
    </sheetView>
  </sheetViews>
  <sheetFormatPr baseColWidth="10" defaultColWidth="9.5" defaultRowHeight="15"/>
  <cols>
    <col min="1" max="1" width="9.5" style="5"/>
    <col min="2" max="16384" width="9.5" style="1"/>
  </cols>
  <sheetData>
    <row r="4" spans="1:18" ht="23.25" customHeight="1"/>
    <row r="5" spans="1:18" ht="14.25" customHeight="1">
      <c r="A5" s="182" t="s">
        <v>0</v>
      </c>
      <c r="B5" s="182"/>
      <c r="C5" s="182"/>
      <c r="D5" s="182"/>
      <c r="E5" s="182"/>
      <c r="F5" s="182"/>
      <c r="G5" s="182"/>
      <c r="H5" s="182"/>
      <c r="I5" s="182"/>
      <c r="J5" s="182"/>
      <c r="K5" s="182"/>
      <c r="L5" s="182"/>
      <c r="M5" s="182"/>
      <c r="N5" s="182"/>
      <c r="O5" s="182"/>
      <c r="P5" s="182"/>
      <c r="Q5" s="182"/>
      <c r="R5" s="182"/>
    </row>
    <row r="6" spans="1:18" ht="14.25" customHeight="1">
      <c r="A6" s="182"/>
      <c r="B6" s="182"/>
      <c r="C6" s="182"/>
      <c r="D6" s="182"/>
      <c r="E6" s="182"/>
      <c r="F6" s="182"/>
      <c r="G6" s="182"/>
      <c r="H6" s="182"/>
      <c r="I6" s="182"/>
      <c r="J6" s="182"/>
      <c r="K6" s="182"/>
      <c r="L6" s="182"/>
      <c r="M6" s="182"/>
      <c r="N6" s="182"/>
      <c r="O6" s="182"/>
      <c r="P6" s="182"/>
      <c r="Q6" s="182"/>
      <c r="R6" s="182"/>
    </row>
    <row r="7" spans="1:18" ht="14.25" customHeight="1">
      <c r="A7" s="182"/>
      <c r="B7" s="182"/>
      <c r="C7" s="182"/>
      <c r="D7" s="182"/>
      <c r="E7" s="182"/>
      <c r="F7" s="182"/>
      <c r="G7" s="182"/>
      <c r="H7" s="182"/>
      <c r="I7" s="182"/>
      <c r="J7" s="182"/>
      <c r="K7" s="182"/>
      <c r="L7" s="182"/>
      <c r="M7" s="182"/>
      <c r="N7" s="182"/>
      <c r="O7" s="182"/>
      <c r="P7" s="182"/>
      <c r="Q7" s="182"/>
      <c r="R7" s="182"/>
    </row>
    <row r="8" spans="1:18" ht="14.25" customHeight="1">
      <c r="A8" s="182"/>
      <c r="B8" s="182"/>
      <c r="C8" s="182"/>
      <c r="D8" s="182"/>
      <c r="E8" s="182"/>
      <c r="F8" s="182"/>
      <c r="G8" s="182"/>
      <c r="H8" s="182"/>
      <c r="I8" s="182"/>
      <c r="J8" s="182"/>
      <c r="K8" s="182"/>
      <c r="L8" s="182"/>
      <c r="M8" s="182"/>
      <c r="N8" s="182"/>
      <c r="O8" s="182"/>
      <c r="P8" s="182"/>
      <c r="Q8" s="182"/>
      <c r="R8" s="182"/>
    </row>
    <row r="9" spans="1:18" ht="14.25" customHeight="1">
      <c r="A9" s="182"/>
      <c r="B9" s="182"/>
      <c r="C9" s="182"/>
      <c r="D9" s="182"/>
      <c r="E9" s="182"/>
      <c r="F9" s="182"/>
      <c r="G9" s="182"/>
      <c r="H9" s="182"/>
      <c r="I9" s="182"/>
      <c r="J9" s="182"/>
      <c r="K9" s="182"/>
      <c r="L9" s="182"/>
      <c r="M9" s="182"/>
      <c r="N9" s="182"/>
      <c r="O9" s="182"/>
      <c r="P9" s="182"/>
      <c r="Q9" s="182"/>
      <c r="R9" s="182"/>
    </row>
    <row r="10" spans="1:18" ht="14.25" customHeight="1">
      <c r="A10" s="182"/>
      <c r="B10" s="182"/>
      <c r="C10" s="182"/>
      <c r="D10" s="182"/>
      <c r="E10" s="182"/>
      <c r="F10" s="182"/>
      <c r="G10" s="182"/>
      <c r="H10" s="182"/>
      <c r="I10" s="182"/>
      <c r="J10" s="182"/>
      <c r="K10" s="182"/>
      <c r="L10" s="182"/>
      <c r="M10" s="182"/>
      <c r="N10" s="182"/>
      <c r="O10" s="182"/>
      <c r="P10" s="182"/>
      <c r="Q10" s="182"/>
      <c r="R10" s="182"/>
    </row>
    <row r="11" spans="1:18" ht="14.25" customHeight="1">
      <c r="A11" s="182"/>
      <c r="B11" s="182"/>
      <c r="C11" s="182"/>
      <c r="D11" s="182"/>
      <c r="E11" s="182"/>
      <c r="F11" s="182"/>
      <c r="G11" s="182"/>
      <c r="H11" s="182"/>
      <c r="I11" s="182"/>
      <c r="J11" s="182"/>
      <c r="K11" s="182"/>
      <c r="L11" s="182"/>
      <c r="M11" s="182"/>
      <c r="N11" s="182"/>
      <c r="O11" s="182"/>
      <c r="P11" s="182"/>
      <c r="Q11" s="182"/>
      <c r="R11" s="182"/>
    </row>
    <row r="12" spans="1:18">
      <c r="A12" s="182"/>
      <c r="B12" s="182"/>
      <c r="C12" s="182"/>
      <c r="D12" s="182"/>
      <c r="E12" s="182"/>
      <c r="F12" s="182"/>
      <c r="G12" s="182"/>
      <c r="H12" s="182"/>
      <c r="I12" s="182"/>
      <c r="J12" s="182"/>
      <c r="K12" s="182"/>
      <c r="L12" s="182"/>
      <c r="M12" s="182"/>
      <c r="N12" s="182"/>
      <c r="O12" s="182"/>
      <c r="P12" s="182"/>
      <c r="Q12" s="182"/>
      <c r="R12" s="182"/>
    </row>
    <row r="13" spans="1:18" ht="29">
      <c r="A13" s="2"/>
      <c r="B13" s="2"/>
      <c r="C13" s="2"/>
      <c r="D13" s="2"/>
      <c r="E13" s="2"/>
      <c r="F13" s="2"/>
      <c r="G13" s="2"/>
      <c r="H13" s="2"/>
      <c r="I13" s="2"/>
      <c r="J13" s="2"/>
      <c r="K13" s="2"/>
      <c r="L13" s="2"/>
      <c r="M13" s="2"/>
      <c r="N13" s="2"/>
      <c r="O13" s="2"/>
      <c r="P13" s="2"/>
      <c r="Q13" s="2"/>
      <c r="R13" s="2"/>
    </row>
    <row r="14" spans="1:18" ht="16">
      <c r="A14" s="11" t="s">
        <v>1</v>
      </c>
      <c r="B14" s="180" t="s">
        <v>2</v>
      </c>
      <c r="C14" s="180"/>
      <c r="D14" s="180"/>
      <c r="E14" s="180"/>
      <c r="F14" s="180"/>
      <c r="G14" s="180"/>
      <c r="H14" s="180"/>
      <c r="I14" s="180"/>
      <c r="J14" s="180"/>
      <c r="K14" s="180"/>
      <c r="L14" s="180"/>
      <c r="M14" s="180"/>
      <c r="N14" s="180"/>
      <c r="O14" s="180"/>
      <c r="P14" s="180"/>
      <c r="Q14" s="180"/>
      <c r="R14" s="180"/>
    </row>
    <row r="15" spans="1:18" ht="16">
      <c r="A15" s="11" t="s">
        <v>3</v>
      </c>
      <c r="B15" s="180" t="s">
        <v>4</v>
      </c>
      <c r="C15" s="180"/>
      <c r="D15" s="180"/>
      <c r="E15" s="180"/>
      <c r="F15" s="180"/>
      <c r="G15" s="180"/>
      <c r="H15" s="180"/>
      <c r="I15" s="180"/>
      <c r="J15" s="180"/>
      <c r="K15" s="180"/>
      <c r="L15" s="180"/>
      <c r="M15" s="180"/>
      <c r="N15" s="180"/>
      <c r="O15" s="180"/>
      <c r="P15" s="180"/>
      <c r="Q15" s="180"/>
      <c r="R15" s="180"/>
    </row>
    <row r="16" spans="1:18" ht="16">
      <c r="A16" s="11" t="s">
        <v>5</v>
      </c>
      <c r="B16" s="180" t="s">
        <v>6</v>
      </c>
      <c r="C16" s="180"/>
      <c r="D16" s="180"/>
      <c r="E16" s="180"/>
      <c r="F16" s="180"/>
      <c r="G16" s="180"/>
      <c r="H16" s="180"/>
      <c r="I16" s="180"/>
      <c r="J16" s="180"/>
      <c r="K16" s="180"/>
      <c r="L16" s="180"/>
      <c r="M16" s="180"/>
      <c r="N16" s="180"/>
      <c r="O16" s="180"/>
      <c r="P16" s="180"/>
      <c r="Q16" s="180"/>
      <c r="R16" s="180"/>
    </row>
    <row r="17" spans="1:18" ht="16">
      <c r="A17" s="11" t="s">
        <v>7</v>
      </c>
      <c r="B17" s="180" t="s">
        <v>8</v>
      </c>
      <c r="C17" s="180"/>
      <c r="D17" s="180"/>
      <c r="E17" s="180"/>
      <c r="F17" s="180"/>
      <c r="G17" s="180"/>
      <c r="H17" s="180"/>
      <c r="I17" s="180"/>
      <c r="J17" s="180"/>
      <c r="K17" s="180"/>
      <c r="L17" s="180"/>
      <c r="M17" s="180"/>
      <c r="N17" s="180"/>
      <c r="O17" s="180"/>
      <c r="P17" s="180"/>
      <c r="Q17" s="180"/>
      <c r="R17" s="180"/>
    </row>
    <row r="18" spans="1:18" ht="16">
      <c r="A18" s="11" t="s">
        <v>9</v>
      </c>
      <c r="B18" s="180" t="s">
        <v>10</v>
      </c>
      <c r="C18" s="180"/>
      <c r="D18" s="180"/>
      <c r="E18" s="180"/>
      <c r="F18" s="180"/>
      <c r="G18" s="180"/>
      <c r="H18" s="180"/>
      <c r="I18" s="180"/>
      <c r="J18" s="180"/>
      <c r="K18" s="180"/>
      <c r="L18" s="180"/>
      <c r="M18" s="180"/>
      <c r="N18" s="180"/>
      <c r="O18" s="180"/>
      <c r="P18" s="180"/>
      <c r="Q18" s="180"/>
      <c r="R18" s="180"/>
    </row>
    <row r="19" spans="1:18" ht="16">
      <c r="A19" s="11" t="s">
        <v>11</v>
      </c>
      <c r="B19" s="180" t="s">
        <v>12</v>
      </c>
      <c r="C19" s="180"/>
      <c r="D19" s="180"/>
      <c r="E19" s="180"/>
      <c r="F19" s="180"/>
      <c r="G19" s="180"/>
      <c r="H19" s="180"/>
      <c r="I19" s="180"/>
      <c r="J19" s="180"/>
      <c r="K19" s="180"/>
      <c r="L19" s="180"/>
      <c r="M19" s="180"/>
      <c r="N19" s="180"/>
      <c r="O19" s="180"/>
      <c r="P19" s="180"/>
      <c r="Q19" s="180"/>
      <c r="R19" s="180"/>
    </row>
    <row r="20" spans="1:18" ht="16">
      <c r="A20" s="11" t="s">
        <v>13</v>
      </c>
      <c r="B20" s="180" t="s">
        <v>14</v>
      </c>
      <c r="C20" s="180"/>
      <c r="D20" s="180"/>
      <c r="E20" s="180"/>
      <c r="F20" s="180"/>
      <c r="G20" s="180"/>
      <c r="H20" s="180"/>
      <c r="I20" s="180"/>
      <c r="J20" s="180"/>
      <c r="K20" s="180"/>
      <c r="L20" s="180"/>
      <c r="M20" s="180"/>
      <c r="N20" s="180"/>
      <c r="O20" s="180"/>
      <c r="P20" s="180"/>
      <c r="Q20" s="180"/>
      <c r="R20" s="180"/>
    </row>
    <row r="21" spans="1:18" ht="16">
      <c r="A21" s="11" t="s">
        <v>15</v>
      </c>
      <c r="B21" s="180" t="s">
        <v>16</v>
      </c>
      <c r="C21" s="180"/>
      <c r="D21" s="180"/>
      <c r="E21" s="180"/>
      <c r="F21" s="180"/>
      <c r="G21" s="180"/>
      <c r="H21" s="180"/>
      <c r="I21" s="180"/>
      <c r="J21" s="180"/>
      <c r="K21" s="180"/>
      <c r="L21" s="180"/>
      <c r="M21" s="180"/>
      <c r="N21" s="180"/>
      <c r="O21" s="180"/>
      <c r="P21" s="180"/>
      <c r="Q21" s="180"/>
      <c r="R21" s="180"/>
    </row>
    <row r="22" spans="1:18" ht="16">
      <c r="A22" s="11" t="s">
        <v>17</v>
      </c>
      <c r="B22" s="180" t="s">
        <v>18</v>
      </c>
      <c r="C22" s="180"/>
      <c r="D22" s="180"/>
      <c r="E22" s="180"/>
      <c r="F22" s="180"/>
      <c r="G22" s="180"/>
      <c r="H22" s="180"/>
      <c r="I22" s="180"/>
      <c r="J22" s="180"/>
      <c r="K22" s="180"/>
      <c r="L22" s="180"/>
      <c r="M22" s="180"/>
      <c r="N22" s="180"/>
      <c r="O22" s="180"/>
      <c r="P22" s="180"/>
      <c r="Q22" s="180"/>
      <c r="R22" s="180"/>
    </row>
    <row r="23" spans="1:18" ht="16">
      <c r="A23" s="11" t="s">
        <v>19</v>
      </c>
      <c r="B23" s="180" t="s">
        <v>20</v>
      </c>
      <c r="C23" s="180"/>
      <c r="D23" s="180"/>
      <c r="E23" s="180"/>
      <c r="F23" s="180"/>
      <c r="G23" s="180"/>
      <c r="H23" s="180"/>
      <c r="I23" s="180"/>
      <c r="J23" s="180"/>
      <c r="K23" s="180"/>
      <c r="L23" s="180"/>
      <c r="M23" s="180"/>
      <c r="N23" s="180"/>
      <c r="O23" s="180"/>
      <c r="P23" s="180"/>
      <c r="Q23" s="180"/>
      <c r="R23" s="180"/>
    </row>
    <row r="24" spans="1:18" ht="16">
      <c r="A24" s="11" t="s">
        <v>21</v>
      </c>
      <c r="B24" s="180" t="s">
        <v>22</v>
      </c>
      <c r="C24" s="180"/>
      <c r="D24" s="180"/>
      <c r="E24" s="180"/>
      <c r="F24" s="180"/>
      <c r="G24" s="180"/>
      <c r="H24" s="180"/>
      <c r="I24" s="180"/>
      <c r="J24" s="180"/>
      <c r="K24" s="180"/>
      <c r="L24" s="180"/>
      <c r="M24" s="180"/>
      <c r="N24" s="180"/>
      <c r="O24" s="180"/>
      <c r="P24" s="180"/>
      <c r="Q24" s="180"/>
      <c r="R24" s="180"/>
    </row>
    <row r="25" spans="1:18" ht="33" customHeight="1">
      <c r="A25" s="11" t="s">
        <v>23</v>
      </c>
      <c r="B25" s="181" t="s">
        <v>24</v>
      </c>
      <c r="C25" s="181"/>
      <c r="D25" s="181"/>
      <c r="E25" s="181"/>
      <c r="F25" s="181"/>
      <c r="G25" s="181"/>
      <c r="H25" s="181"/>
      <c r="I25" s="181"/>
      <c r="J25" s="181"/>
      <c r="K25" s="181"/>
      <c r="L25" s="181"/>
      <c r="M25" s="181"/>
      <c r="N25" s="181"/>
      <c r="O25" s="181"/>
      <c r="P25" s="181"/>
      <c r="Q25" s="181"/>
      <c r="R25" s="181"/>
    </row>
    <row r="26" spans="1:18" ht="32.25" customHeight="1">
      <c r="A26" s="11" t="s">
        <v>25</v>
      </c>
      <c r="B26" s="181" t="s">
        <v>26</v>
      </c>
      <c r="C26" s="181"/>
      <c r="D26" s="181"/>
      <c r="E26" s="181"/>
      <c r="F26" s="181"/>
      <c r="G26" s="181"/>
      <c r="H26" s="181"/>
      <c r="I26" s="181"/>
      <c r="J26" s="181"/>
      <c r="K26" s="181"/>
      <c r="L26" s="181"/>
      <c r="M26" s="181"/>
      <c r="N26" s="181"/>
      <c r="O26" s="181"/>
      <c r="P26" s="181"/>
      <c r="Q26" s="181"/>
      <c r="R26" s="181"/>
    </row>
  </sheetData>
  <sheetProtection algorithmName="SHA-512" hashValue="g9fclJ9FF0ZQ7w7eSY8hJF5jEVdMqQbMRDHAMGXiAJtKHOKfc80oMCgAerQ1A7YdJR7ej2MzjHwn5hcxxwNrug==" saltValue="UXp5QNHIL+dMLWdLn6OzNQ==" spinCount="100000" sheet="1" formatCells="0" formatColumns="0" formatRows="0" insertColumns="0" insertRows="0" insertHyperlinks="0" deleteColumns="0" deleteRows="0" sort="0" autoFilter="0" pivotTables="0"/>
  <mergeCells count="14">
    <mergeCell ref="B24:R24"/>
    <mergeCell ref="B25:R25"/>
    <mergeCell ref="B26:R26"/>
    <mergeCell ref="A5:R12"/>
    <mergeCell ref="B18:R18"/>
    <mergeCell ref="B19:R19"/>
    <mergeCell ref="B20:R20"/>
    <mergeCell ref="B21:R21"/>
    <mergeCell ref="B22:R22"/>
    <mergeCell ref="B23:R23"/>
    <mergeCell ref="B14:R14"/>
    <mergeCell ref="B15:R15"/>
    <mergeCell ref="B16:R16"/>
    <mergeCell ref="B17:R17"/>
  </mergeCells>
  <phoneticPr fontId="4" type="noConversion"/>
  <hyperlinks>
    <hyperlink ref="A14" location="'Table 1'!A1" display="Table 1" xr:uid="{8FA9284C-2E10-4FBF-A0EF-A3F9B58398FB}"/>
    <hyperlink ref="A15" location="'Table 2'!A1" display="Table 2" xr:uid="{BAF1B970-50D8-4418-9DD9-239742C0E3DE}"/>
    <hyperlink ref="A16" location="'Table 3'!A1" display="Table 3" xr:uid="{F082C3FA-BCB5-4DA0-8EEB-D60A898B63AF}"/>
    <hyperlink ref="A17" location="'Table 4'!A1" display="Table 4" xr:uid="{8F5320B8-DD63-4A8A-A614-F5D2D13A496D}"/>
    <hyperlink ref="A18" location="'Table 5'!A1" display="Table 5" xr:uid="{473BF397-922D-402F-9459-9B6CEE309900}"/>
    <hyperlink ref="A19" location="'Table 6'!A1" display="Table 6" xr:uid="{5941942B-46E8-42F7-AE04-F804D4E4ED74}"/>
    <hyperlink ref="A20" location="'Table 7'!A1" display="Table 7" xr:uid="{BA551195-76A6-45BD-83B0-1B8ACACC7681}"/>
    <hyperlink ref="A21" location="'Table 8'!A1" display="Table 8" xr:uid="{705E213E-748D-4FAB-8224-1A193F1C1020}"/>
    <hyperlink ref="A22" location="'Table 9'!A1" display="Table 9" xr:uid="{7DCC7B1C-28C6-40CA-8B4B-EA716E73CA6E}"/>
    <hyperlink ref="A23" location="'Table 10'!A1" display="Table 10" xr:uid="{89083D85-EABA-4320-A04A-AE1ECA0F8FCF}"/>
    <hyperlink ref="A24" location="'Table 11'!A1" display="Table 11" xr:uid="{9B803CD5-49CD-421F-8C70-B2BCFDCBAD2E}"/>
    <hyperlink ref="A25" location="'Table 12'!A1" display="Table 12" xr:uid="{8443959F-BB80-4FCA-BD9D-9B999E5E9A9D}"/>
    <hyperlink ref="A26" location="'Table 13'!A1" display="Table 13" xr:uid="{DB73F6C0-8235-4BE6-A9FA-BEB8B154615F}"/>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9BF5-7572-4D01-BE0C-C7DB82EE805D}">
  <sheetPr>
    <tabColor rgb="FF00B050"/>
  </sheetPr>
  <dimension ref="A1:P23"/>
  <sheetViews>
    <sheetView tabSelected="1" zoomScale="87" zoomScaleNormal="112" workbookViewId="0">
      <selection activeCell="B17" sqref="B17"/>
    </sheetView>
  </sheetViews>
  <sheetFormatPr baseColWidth="10" defaultColWidth="9.5" defaultRowHeight="15"/>
  <cols>
    <col min="1" max="1" width="32" style="36" customWidth="1"/>
    <col min="2" max="2" width="56.5" style="36" customWidth="1"/>
    <col min="3" max="3" width="13.5" style="36" customWidth="1"/>
    <col min="4" max="4" width="10.5" style="36" customWidth="1"/>
    <col min="5" max="5" width="14.5" style="36" bestFit="1" customWidth="1"/>
    <col min="6" max="7" width="10" style="36" bestFit="1" customWidth="1"/>
    <col min="8" max="8" width="14" style="36" bestFit="1" customWidth="1"/>
    <col min="9" max="9" width="10" style="36" bestFit="1" customWidth="1"/>
    <col min="10" max="10" width="15.5" style="36" customWidth="1"/>
    <col min="11" max="11" width="12.5" style="36" customWidth="1"/>
    <col min="12" max="12" width="18.5" style="36" bestFit="1" customWidth="1"/>
    <col min="13" max="13" width="10.5" style="36" bestFit="1" customWidth="1"/>
    <col min="14" max="14" width="13.5" style="36" bestFit="1" customWidth="1"/>
    <col min="15" max="15" width="17.5" style="36" bestFit="1" customWidth="1"/>
    <col min="16" max="16" width="13.5" style="36" customWidth="1"/>
    <col min="17" max="16384" width="9.5" style="36"/>
  </cols>
  <sheetData>
    <row r="1" spans="1:16" ht="19">
      <c r="A1" s="187" t="s">
        <v>27</v>
      </c>
      <c r="B1" s="187"/>
      <c r="C1" s="187"/>
      <c r="D1" s="187"/>
      <c r="E1" s="187"/>
      <c r="F1" s="187"/>
      <c r="G1" s="187"/>
      <c r="H1" s="187"/>
      <c r="I1" s="187"/>
      <c r="J1" s="187"/>
      <c r="K1" s="187"/>
      <c r="L1" s="187"/>
      <c r="M1" s="187"/>
      <c r="N1" s="187"/>
      <c r="O1" s="187"/>
      <c r="P1" s="187"/>
    </row>
    <row r="2" spans="1:16" ht="17">
      <c r="A2" s="37" t="s">
        <v>28</v>
      </c>
    </row>
    <row r="4" spans="1:16" s="4" customFormat="1">
      <c r="A4" s="184" t="s">
        <v>29</v>
      </c>
      <c r="B4" s="184" t="s">
        <v>30</v>
      </c>
      <c r="C4" s="188" t="s">
        <v>31</v>
      </c>
      <c r="D4" s="188"/>
      <c r="E4" s="188"/>
      <c r="F4" s="188"/>
      <c r="G4" s="184" t="s">
        <v>32</v>
      </c>
      <c r="H4" s="184" t="s">
        <v>33</v>
      </c>
      <c r="I4" s="184" t="s">
        <v>34</v>
      </c>
      <c r="J4" s="184" t="s">
        <v>35</v>
      </c>
      <c r="K4" s="184" t="s">
        <v>36</v>
      </c>
      <c r="L4" s="184" t="s">
        <v>37</v>
      </c>
      <c r="M4" s="184" t="s">
        <v>38</v>
      </c>
      <c r="N4" s="184" t="s">
        <v>39</v>
      </c>
      <c r="O4" s="184" t="s">
        <v>40</v>
      </c>
      <c r="P4" s="184" t="s">
        <v>41</v>
      </c>
    </row>
    <row r="5" spans="1:16" s="4" customFormat="1">
      <c r="A5" s="185"/>
      <c r="B5" s="185"/>
      <c r="C5" s="188" t="s">
        <v>42</v>
      </c>
      <c r="D5" s="188"/>
      <c r="E5" s="188" t="s">
        <v>43</v>
      </c>
      <c r="F5" s="188"/>
      <c r="G5" s="185"/>
      <c r="H5" s="185"/>
      <c r="I5" s="185"/>
      <c r="J5" s="185"/>
      <c r="K5" s="185"/>
      <c r="L5" s="185"/>
      <c r="M5" s="185"/>
      <c r="N5" s="185"/>
      <c r="O5" s="185"/>
      <c r="P5" s="185"/>
    </row>
    <row r="6" spans="1:16" s="4" customFormat="1" ht="32">
      <c r="A6" s="186"/>
      <c r="B6" s="186"/>
      <c r="C6" s="13" t="s">
        <v>44</v>
      </c>
      <c r="D6" s="13" t="s">
        <v>45</v>
      </c>
      <c r="E6" s="13" t="s">
        <v>44</v>
      </c>
      <c r="F6" s="13" t="s">
        <v>45</v>
      </c>
      <c r="G6" s="186"/>
      <c r="H6" s="186"/>
      <c r="I6" s="186"/>
      <c r="J6" s="186"/>
      <c r="K6" s="186"/>
      <c r="L6" s="186"/>
      <c r="M6" s="186"/>
      <c r="N6" s="186"/>
      <c r="O6" s="186"/>
      <c r="P6" s="186"/>
    </row>
    <row r="7" spans="1:16" s="4" customFormat="1" ht="146">
      <c r="A7" s="14" t="s">
        <v>46</v>
      </c>
      <c r="B7" s="14"/>
      <c r="C7" s="14"/>
      <c r="D7" s="14"/>
      <c r="E7" s="14"/>
      <c r="F7" s="14"/>
      <c r="G7" s="14" t="s">
        <v>47</v>
      </c>
      <c r="H7" s="14" t="s">
        <v>48</v>
      </c>
      <c r="I7" s="14" t="s">
        <v>49</v>
      </c>
      <c r="J7" s="15" t="s">
        <v>50</v>
      </c>
      <c r="K7" s="16" t="s">
        <v>51</v>
      </c>
      <c r="L7" s="15" t="s">
        <v>52</v>
      </c>
      <c r="M7" s="14"/>
      <c r="N7" s="14" t="s">
        <v>53</v>
      </c>
      <c r="O7" s="14" t="s">
        <v>53</v>
      </c>
      <c r="P7" s="14"/>
    </row>
    <row r="8" spans="1:16" s="41" customFormat="1" ht="32">
      <c r="A8" s="44" t="s">
        <v>54</v>
      </c>
      <c r="B8" s="44" t="s">
        <v>55</v>
      </c>
      <c r="C8" s="45"/>
      <c r="D8" s="46"/>
      <c r="E8" s="47">
        <v>2190000000</v>
      </c>
      <c r="F8" s="48">
        <v>153480</v>
      </c>
      <c r="G8" s="44" t="s">
        <v>56</v>
      </c>
      <c r="H8" s="44" t="s">
        <v>57</v>
      </c>
      <c r="I8" s="44" t="s">
        <v>58</v>
      </c>
      <c r="J8" s="44" t="s">
        <v>59</v>
      </c>
      <c r="K8" s="44" t="s">
        <v>60</v>
      </c>
      <c r="L8" s="44" t="s">
        <v>61</v>
      </c>
      <c r="M8" s="44"/>
      <c r="N8" s="44">
        <v>0</v>
      </c>
      <c r="O8" s="44">
        <v>0</v>
      </c>
      <c r="P8" s="44">
        <v>2021</v>
      </c>
    </row>
    <row r="9" spans="1:16" s="41" customFormat="1" ht="32">
      <c r="A9" s="44" t="s">
        <v>62</v>
      </c>
      <c r="B9" s="44" t="s">
        <v>63</v>
      </c>
      <c r="C9" s="45"/>
      <c r="D9" s="46"/>
      <c r="E9" s="47">
        <v>1274696800</v>
      </c>
      <c r="F9" s="48">
        <v>89333</v>
      </c>
      <c r="G9" s="44" t="s">
        <v>56</v>
      </c>
      <c r="H9" s="44" t="s">
        <v>57</v>
      </c>
      <c r="I9" s="44" t="s">
        <v>58</v>
      </c>
      <c r="J9" s="44" t="s">
        <v>59</v>
      </c>
      <c r="K9" s="44" t="s">
        <v>60</v>
      </c>
      <c r="L9" s="44" t="s">
        <v>64</v>
      </c>
      <c r="M9" s="44"/>
      <c r="N9" s="44">
        <v>0</v>
      </c>
      <c r="O9" s="44">
        <v>0</v>
      </c>
      <c r="P9" s="44">
        <v>2021</v>
      </c>
    </row>
    <row r="10" spans="1:16" s="41" customFormat="1" ht="32">
      <c r="A10" s="44" t="s">
        <v>65</v>
      </c>
      <c r="B10" s="44" t="s">
        <v>66</v>
      </c>
      <c r="C10" s="45"/>
      <c r="D10" s="46"/>
      <c r="E10" s="47">
        <v>2235000000</v>
      </c>
      <c r="F10" s="48">
        <v>156633</v>
      </c>
      <c r="G10" s="44" t="s">
        <v>56</v>
      </c>
      <c r="H10" s="44" t="s">
        <v>57</v>
      </c>
      <c r="I10" s="44" t="s">
        <v>58</v>
      </c>
      <c r="J10" s="44" t="s">
        <v>59</v>
      </c>
      <c r="K10" s="44" t="s">
        <v>60</v>
      </c>
      <c r="L10" s="44" t="s">
        <v>64</v>
      </c>
      <c r="M10" s="44"/>
      <c r="N10" s="44">
        <v>0</v>
      </c>
      <c r="O10" s="44">
        <v>0</v>
      </c>
      <c r="P10" s="44">
        <v>2021</v>
      </c>
    </row>
    <row r="11" spans="1:16" s="41" customFormat="1" ht="32">
      <c r="A11" s="44" t="s">
        <v>67</v>
      </c>
      <c r="B11" s="44" t="s">
        <v>68</v>
      </c>
      <c r="C11" s="45"/>
      <c r="D11" s="46"/>
      <c r="E11" s="47">
        <v>2160000000</v>
      </c>
      <c r="F11" s="48">
        <v>151377</v>
      </c>
      <c r="G11" s="44" t="s">
        <v>56</v>
      </c>
      <c r="H11" s="44" t="s">
        <v>57</v>
      </c>
      <c r="I11" s="44" t="s">
        <v>58</v>
      </c>
      <c r="J11" s="44" t="s">
        <v>59</v>
      </c>
      <c r="K11" s="44" t="s">
        <v>60</v>
      </c>
      <c r="L11" s="44" t="s">
        <v>69</v>
      </c>
      <c r="M11" s="44"/>
      <c r="N11" s="44">
        <v>0</v>
      </c>
      <c r="O11" s="44">
        <v>0</v>
      </c>
      <c r="P11" s="44">
        <v>2021</v>
      </c>
    </row>
    <row r="12" spans="1:16" s="41" customFormat="1" ht="32">
      <c r="A12" s="44" t="s">
        <v>70</v>
      </c>
      <c r="B12" s="44" t="s">
        <v>71</v>
      </c>
      <c r="C12" s="45"/>
      <c r="D12" s="46"/>
      <c r="E12" s="47">
        <v>7263629666</v>
      </c>
      <c r="F12" s="48">
        <v>509050</v>
      </c>
      <c r="G12" s="44" t="s">
        <v>56</v>
      </c>
      <c r="H12" s="44" t="s">
        <v>57</v>
      </c>
      <c r="I12" s="44" t="s">
        <v>58</v>
      </c>
      <c r="J12" s="44" t="s">
        <v>59</v>
      </c>
      <c r="K12" s="44" t="s">
        <v>60</v>
      </c>
      <c r="L12" s="44" t="s">
        <v>69</v>
      </c>
      <c r="M12" s="44"/>
      <c r="N12" s="44">
        <v>0</v>
      </c>
      <c r="O12" s="44">
        <v>0</v>
      </c>
      <c r="P12" s="44">
        <v>2021</v>
      </c>
    </row>
    <row r="13" spans="1:16" s="41" customFormat="1" ht="32">
      <c r="A13" s="44" t="s">
        <v>72</v>
      </c>
      <c r="B13" s="44" t="s">
        <v>68</v>
      </c>
      <c r="C13" s="45"/>
      <c r="D13" s="46"/>
      <c r="E13" s="47">
        <v>2160000000</v>
      </c>
      <c r="F13" s="48">
        <v>151377</v>
      </c>
      <c r="G13" s="44" t="s">
        <v>56</v>
      </c>
      <c r="H13" s="44" t="s">
        <v>57</v>
      </c>
      <c r="I13" s="44" t="s">
        <v>58</v>
      </c>
      <c r="J13" s="44" t="s">
        <v>59</v>
      </c>
      <c r="K13" s="44" t="s">
        <v>60</v>
      </c>
      <c r="L13" s="44" t="s">
        <v>69</v>
      </c>
      <c r="M13" s="44"/>
      <c r="N13" s="44">
        <v>0</v>
      </c>
      <c r="O13" s="44">
        <v>0</v>
      </c>
      <c r="P13" s="44">
        <v>2021</v>
      </c>
    </row>
    <row r="14" spans="1:16" s="41" customFormat="1" ht="32">
      <c r="A14" s="44" t="s">
        <v>73</v>
      </c>
      <c r="B14" s="44" t="s">
        <v>74</v>
      </c>
      <c r="C14" s="45"/>
      <c r="D14" s="46"/>
      <c r="E14" s="47">
        <v>14350000000</v>
      </c>
      <c r="F14" s="48">
        <v>1005677</v>
      </c>
      <c r="G14" s="44" t="s">
        <v>56</v>
      </c>
      <c r="H14" s="44" t="s">
        <v>57</v>
      </c>
      <c r="I14" s="44" t="s">
        <v>58</v>
      </c>
      <c r="J14" s="44" t="s">
        <v>59</v>
      </c>
      <c r="K14" s="44" t="s">
        <v>60</v>
      </c>
      <c r="L14" s="44" t="s">
        <v>69</v>
      </c>
      <c r="M14" s="44"/>
      <c r="N14" s="44">
        <v>0</v>
      </c>
      <c r="O14" s="44">
        <v>0</v>
      </c>
      <c r="P14" s="44">
        <v>2021</v>
      </c>
    </row>
    <row r="15" spans="1:16" s="41" customFormat="1" ht="48">
      <c r="A15" s="44" t="s">
        <v>75</v>
      </c>
      <c r="B15" s="44" t="s">
        <v>76</v>
      </c>
      <c r="C15" s="45"/>
      <c r="D15" s="46"/>
      <c r="E15" s="47">
        <v>1563563870</v>
      </c>
      <c r="F15" s="48">
        <v>99394</v>
      </c>
      <c r="G15" s="44" t="s">
        <v>56</v>
      </c>
      <c r="H15" s="44" t="s">
        <v>57</v>
      </c>
      <c r="I15" s="44" t="s">
        <v>58</v>
      </c>
      <c r="J15" s="44" t="s">
        <v>59</v>
      </c>
      <c r="K15" s="44" t="s">
        <v>60</v>
      </c>
      <c r="L15" s="44" t="s">
        <v>77</v>
      </c>
      <c r="M15" s="44"/>
      <c r="N15" s="44">
        <v>1</v>
      </c>
      <c r="O15" s="44">
        <v>0</v>
      </c>
      <c r="P15" s="44">
        <v>2022</v>
      </c>
    </row>
    <row r="16" spans="1:16" s="41" customFormat="1" ht="32">
      <c r="A16" s="44" t="s">
        <v>73</v>
      </c>
      <c r="B16" s="44" t="s">
        <v>74</v>
      </c>
      <c r="C16" s="45"/>
      <c r="D16" s="46"/>
      <c r="E16" s="47">
        <v>14350000000</v>
      </c>
      <c r="F16" s="48">
        <v>912212</v>
      </c>
      <c r="G16" s="44" t="s">
        <v>56</v>
      </c>
      <c r="H16" s="44" t="s">
        <v>57</v>
      </c>
      <c r="I16" s="44" t="s">
        <v>58</v>
      </c>
      <c r="J16" s="44" t="s">
        <v>59</v>
      </c>
      <c r="K16" s="44" t="s">
        <v>60</v>
      </c>
      <c r="L16" s="44" t="s">
        <v>64</v>
      </c>
      <c r="M16" s="44"/>
      <c r="N16" s="44">
        <v>0</v>
      </c>
      <c r="O16" s="44">
        <v>0</v>
      </c>
      <c r="P16" s="44">
        <v>2022</v>
      </c>
    </row>
    <row r="17" spans="1:16" s="4" customFormat="1">
      <c r="A17" s="12"/>
      <c r="B17" s="12"/>
      <c r="C17" s="12"/>
      <c r="D17" s="12"/>
      <c r="E17" s="12"/>
      <c r="F17" s="12"/>
      <c r="G17" s="12"/>
      <c r="H17" s="12"/>
      <c r="I17" s="12"/>
      <c r="J17" s="12"/>
      <c r="K17" s="12"/>
      <c r="L17" s="12"/>
      <c r="M17" s="12"/>
      <c r="N17" s="12"/>
      <c r="O17" s="12"/>
      <c r="P17" s="12"/>
    </row>
    <row r="18" spans="1:16">
      <c r="A18" s="38"/>
      <c r="B18" s="38"/>
      <c r="C18" s="38"/>
      <c r="D18" s="38"/>
      <c r="E18" s="38"/>
      <c r="F18" s="38"/>
      <c r="G18" s="38"/>
      <c r="H18" s="38"/>
      <c r="I18" s="38"/>
      <c r="J18" s="38"/>
      <c r="K18" s="38"/>
      <c r="L18" s="38"/>
      <c r="M18" s="38"/>
      <c r="N18" s="38"/>
      <c r="O18" s="38"/>
      <c r="P18" s="38"/>
    </row>
    <row r="19" spans="1:16">
      <c r="A19" s="38"/>
      <c r="B19" s="38"/>
      <c r="C19" s="38"/>
      <c r="D19" s="38"/>
      <c r="E19" s="38"/>
      <c r="F19" s="38"/>
      <c r="G19" s="38"/>
      <c r="H19" s="38"/>
      <c r="I19" s="38"/>
      <c r="J19" s="38"/>
      <c r="K19" s="38"/>
      <c r="L19" s="38"/>
      <c r="M19" s="38"/>
      <c r="N19" s="38"/>
      <c r="O19" s="38"/>
      <c r="P19" s="38"/>
    </row>
    <row r="20" spans="1:16" s="39" customFormat="1">
      <c r="A20" s="38"/>
      <c r="B20" s="38"/>
      <c r="C20" s="38"/>
      <c r="D20" s="38"/>
      <c r="E20" s="38"/>
      <c r="F20" s="38"/>
      <c r="G20" s="38"/>
      <c r="H20" s="38"/>
      <c r="I20" s="38"/>
      <c r="J20" s="38"/>
      <c r="K20" s="38"/>
      <c r="L20" s="38"/>
      <c r="M20" s="38"/>
      <c r="N20" s="38"/>
      <c r="O20" s="38"/>
      <c r="P20" s="38"/>
    </row>
    <row r="21" spans="1:16" s="39" customFormat="1">
      <c r="A21" s="40"/>
      <c r="B21" s="40"/>
      <c r="C21" s="40"/>
      <c r="D21" s="40"/>
      <c r="E21" s="40"/>
      <c r="F21" s="40"/>
      <c r="G21" s="40"/>
      <c r="H21" s="40"/>
      <c r="I21" s="40"/>
      <c r="J21" s="40"/>
      <c r="K21" s="40"/>
      <c r="L21" s="40"/>
      <c r="M21" s="40"/>
      <c r="N21" s="40"/>
      <c r="O21" s="40"/>
      <c r="P21" s="40"/>
    </row>
    <row r="23" spans="1:16" s="39" customFormat="1" ht="257.25" customHeight="1">
      <c r="A23" s="183" t="s">
        <v>78</v>
      </c>
      <c r="B23" s="183"/>
      <c r="C23" s="183"/>
      <c r="D23" s="183"/>
      <c r="E23" s="183"/>
      <c r="F23" s="183"/>
      <c r="G23" s="183"/>
      <c r="H23" s="183"/>
      <c r="I23" s="183"/>
      <c r="J23" s="183"/>
      <c r="K23" s="183"/>
      <c r="L23" s="183"/>
      <c r="M23" s="183"/>
      <c r="N23" s="183"/>
      <c r="O23" s="183"/>
      <c r="P23" s="183"/>
    </row>
  </sheetData>
  <mergeCells count="17">
    <mergeCell ref="A1:P1"/>
    <mergeCell ref="K4:K6"/>
    <mergeCell ref="L4:L6"/>
    <mergeCell ref="M4:M6"/>
    <mergeCell ref="N4:N6"/>
    <mergeCell ref="O4:O6"/>
    <mergeCell ref="P4:P6"/>
    <mergeCell ref="C4:F4"/>
    <mergeCell ref="C5:D5"/>
    <mergeCell ref="E5:F5"/>
    <mergeCell ref="A23:P23"/>
    <mergeCell ref="A4:A6"/>
    <mergeCell ref="B4:B6"/>
    <mergeCell ref="G4:G6"/>
    <mergeCell ref="H4:H6"/>
    <mergeCell ref="I4:I6"/>
    <mergeCell ref="J4: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E703-9C79-48AD-A682-B0B986027BF3}">
  <sheetPr>
    <tabColor rgb="FFFF0000"/>
  </sheetPr>
  <dimension ref="A1:AC16"/>
  <sheetViews>
    <sheetView topLeftCell="A2" zoomScaleNormal="100" workbookViewId="0">
      <selection activeCell="G12" sqref="G12"/>
    </sheetView>
  </sheetViews>
  <sheetFormatPr baseColWidth="10" defaultColWidth="9.5" defaultRowHeight="15"/>
  <cols>
    <col min="1" max="1" width="33.5" style="1" customWidth="1"/>
    <col min="2" max="13" width="9.5" style="1"/>
    <col min="14" max="14" width="11.5" style="1" customWidth="1"/>
    <col min="15" max="15" width="12.5" style="1" customWidth="1"/>
    <col min="16" max="17" width="10.5" style="1" customWidth="1"/>
    <col min="18" max="18" width="9.5" style="1"/>
    <col min="19" max="19" width="15" style="1" customWidth="1"/>
    <col min="20" max="20" width="9.5" style="1"/>
    <col min="21" max="21" width="12.5" style="1" customWidth="1"/>
    <col min="22" max="22" width="9.5" style="1"/>
    <col min="23" max="23" width="12.5" style="1" customWidth="1"/>
    <col min="24" max="24" width="14.5" style="1" customWidth="1"/>
    <col min="25" max="25" width="27.5" style="1" customWidth="1"/>
    <col min="26" max="16384" width="9.5" style="1"/>
  </cols>
  <sheetData>
    <row r="1" spans="1:29" ht="19">
      <c r="A1" s="193" t="s">
        <v>79</v>
      </c>
      <c r="B1" s="193"/>
      <c r="C1" s="193"/>
      <c r="D1" s="193"/>
      <c r="E1" s="193"/>
      <c r="F1" s="193"/>
      <c r="G1" s="193"/>
      <c r="H1" s="193"/>
      <c r="I1" s="193"/>
      <c r="J1" s="193"/>
      <c r="K1" s="193"/>
      <c r="L1" s="193"/>
      <c r="M1" s="193"/>
      <c r="N1" s="193"/>
      <c r="O1" s="193"/>
      <c r="P1" s="193"/>
      <c r="Q1" s="193"/>
      <c r="R1" s="193"/>
      <c r="S1" s="193"/>
      <c r="T1" s="193"/>
      <c r="U1" s="193"/>
      <c r="V1" s="193"/>
      <c r="W1" s="193"/>
      <c r="X1" s="193"/>
      <c r="Y1" s="193"/>
    </row>
    <row r="2" spans="1:29" ht="16">
      <c r="A2" s="6" t="s">
        <v>28</v>
      </c>
    </row>
    <row r="4" spans="1:29" ht="17">
      <c r="A4" s="190" t="s">
        <v>80</v>
      </c>
      <c r="B4" s="189" t="s">
        <v>81</v>
      </c>
      <c r="C4" s="189"/>
      <c r="D4" s="189"/>
      <c r="E4" s="189"/>
      <c r="F4" s="189"/>
      <c r="G4" s="189"/>
      <c r="H4" s="189"/>
      <c r="I4" s="189"/>
      <c r="J4" s="189"/>
      <c r="K4" s="189"/>
      <c r="L4" s="189"/>
      <c r="M4" s="189"/>
      <c r="N4" s="190" t="s">
        <v>82</v>
      </c>
      <c r="O4" s="184" t="s">
        <v>83</v>
      </c>
      <c r="P4" s="190" t="s">
        <v>32</v>
      </c>
      <c r="Q4" s="190" t="s">
        <v>33</v>
      </c>
      <c r="R4" s="184" t="s">
        <v>34</v>
      </c>
      <c r="S4" s="184" t="s">
        <v>84</v>
      </c>
      <c r="T4" s="184" t="s">
        <v>36</v>
      </c>
      <c r="U4" s="184" t="s">
        <v>85</v>
      </c>
      <c r="V4" s="184" t="s">
        <v>86</v>
      </c>
      <c r="W4" s="184" t="s">
        <v>87</v>
      </c>
      <c r="X4" s="184" t="s">
        <v>88</v>
      </c>
      <c r="Y4" s="184" t="s">
        <v>89</v>
      </c>
      <c r="Z4" s="3"/>
      <c r="AA4" s="3"/>
      <c r="AB4" s="3"/>
      <c r="AC4" s="3"/>
    </row>
    <row r="5" spans="1:29" ht="17">
      <c r="A5" s="191"/>
      <c r="B5" s="189" t="s">
        <v>90</v>
      </c>
      <c r="C5" s="189"/>
      <c r="D5" s="189"/>
      <c r="E5" s="189"/>
      <c r="F5" s="189"/>
      <c r="G5" s="189"/>
      <c r="H5" s="189"/>
      <c r="I5" s="189"/>
      <c r="J5" s="189" t="s">
        <v>91</v>
      </c>
      <c r="K5" s="189"/>
      <c r="L5" s="189"/>
      <c r="M5" s="189"/>
      <c r="N5" s="191"/>
      <c r="O5" s="185"/>
      <c r="P5" s="191"/>
      <c r="Q5" s="191"/>
      <c r="R5" s="185"/>
      <c r="S5" s="185"/>
      <c r="T5" s="185"/>
      <c r="U5" s="185"/>
      <c r="V5" s="185"/>
      <c r="W5" s="185"/>
      <c r="X5" s="185"/>
      <c r="Y5" s="185"/>
      <c r="Z5" s="3"/>
      <c r="AA5" s="3"/>
      <c r="AB5" s="3"/>
      <c r="AC5" s="3"/>
    </row>
    <row r="6" spans="1:29" ht="17">
      <c r="A6" s="191"/>
      <c r="B6" s="189" t="s">
        <v>92</v>
      </c>
      <c r="C6" s="189"/>
      <c r="D6" s="189"/>
      <c r="E6" s="189"/>
      <c r="F6" s="189" t="s">
        <v>93</v>
      </c>
      <c r="G6" s="189"/>
      <c r="H6" s="189"/>
      <c r="I6" s="189"/>
      <c r="J6" s="189" t="s">
        <v>93</v>
      </c>
      <c r="K6" s="189"/>
      <c r="L6" s="189"/>
      <c r="M6" s="189"/>
      <c r="N6" s="191"/>
      <c r="O6" s="185"/>
      <c r="P6" s="191"/>
      <c r="Q6" s="191"/>
      <c r="R6" s="185"/>
      <c r="S6" s="185"/>
      <c r="T6" s="185"/>
      <c r="U6" s="185"/>
      <c r="V6" s="185"/>
      <c r="W6" s="185"/>
      <c r="X6" s="185"/>
      <c r="Y6" s="185"/>
      <c r="Z6" s="3"/>
      <c r="AA6" s="3"/>
      <c r="AB6" s="3"/>
      <c r="AC6" s="3"/>
    </row>
    <row r="7" spans="1:29">
      <c r="A7" s="191"/>
      <c r="B7" s="189" t="s">
        <v>94</v>
      </c>
      <c r="C7" s="189"/>
      <c r="D7" s="189" t="s">
        <v>43</v>
      </c>
      <c r="E7" s="189"/>
      <c r="F7" s="189" t="s">
        <v>94</v>
      </c>
      <c r="G7" s="189"/>
      <c r="H7" s="189" t="s">
        <v>43</v>
      </c>
      <c r="I7" s="189"/>
      <c r="J7" s="189" t="s">
        <v>94</v>
      </c>
      <c r="K7" s="189"/>
      <c r="L7" s="189" t="s">
        <v>43</v>
      </c>
      <c r="M7" s="189"/>
      <c r="N7" s="191"/>
      <c r="O7" s="185"/>
      <c r="P7" s="191"/>
      <c r="Q7" s="191"/>
      <c r="R7" s="185"/>
      <c r="S7" s="185"/>
      <c r="T7" s="185"/>
      <c r="U7" s="185"/>
      <c r="V7" s="185"/>
      <c r="W7" s="185"/>
      <c r="X7" s="185"/>
      <c r="Y7" s="185"/>
      <c r="Z7" s="3"/>
      <c r="AA7" s="3"/>
      <c r="AB7" s="3"/>
      <c r="AC7" s="3"/>
    </row>
    <row r="8" spans="1:29" ht="32">
      <c r="A8" s="192"/>
      <c r="B8" s="13" t="s">
        <v>44</v>
      </c>
      <c r="C8" s="13" t="s">
        <v>45</v>
      </c>
      <c r="D8" s="13" t="s">
        <v>44</v>
      </c>
      <c r="E8" s="13" t="s">
        <v>45</v>
      </c>
      <c r="F8" s="13" t="s">
        <v>44</v>
      </c>
      <c r="G8" s="13" t="s">
        <v>45</v>
      </c>
      <c r="H8" s="13" t="s">
        <v>44</v>
      </c>
      <c r="I8" s="13" t="s">
        <v>45</v>
      </c>
      <c r="J8" s="13" t="s">
        <v>44</v>
      </c>
      <c r="K8" s="13" t="s">
        <v>45</v>
      </c>
      <c r="L8" s="13" t="s">
        <v>44</v>
      </c>
      <c r="M8" s="13" t="s">
        <v>45</v>
      </c>
      <c r="N8" s="192"/>
      <c r="O8" s="186"/>
      <c r="P8" s="192"/>
      <c r="Q8" s="192"/>
      <c r="R8" s="186"/>
      <c r="S8" s="186"/>
      <c r="T8" s="186"/>
      <c r="U8" s="186"/>
      <c r="V8" s="186"/>
      <c r="W8" s="186"/>
      <c r="X8" s="186"/>
      <c r="Y8" s="186"/>
      <c r="Z8" s="3"/>
      <c r="AA8" s="3"/>
      <c r="AB8" s="3"/>
      <c r="AC8" s="3"/>
    </row>
    <row r="9" spans="1:29" ht="322">
      <c r="A9" s="24" t="s">
        <v>95</v>
      </c>
      <c r="B9" s="21"/>
      <c r="C9" s="21"/>
      <c r="D9" s="21"/>
      <c r="E9" s="21"/>
      <c r="F9" s="21"/>
      <c r="G9" s="21"/>
      <c r="H9" s="21"/>
      <c r="I9" s="21"/>
      <c r="J9" s="21"/>
      <c r="K9" s="21"/>
      <c r="L9" s="21"/>
      <c r="M9" s="21"/>
      <c r="N9" s="15" t="s">
        <v>96</v>
      </c>
      <c r="O9" s="21"/>
      <c r="P9" s="15" t="s">
        <v>47</v>
      </c>
      <c r="Q9" s="24" t="s">
        <v>97</v>
      </c>
      <c r="R9" s="24" t="s">
        <v>98</v>
      </c>
      <c r="S9" s="24" t="s">
        <v>99</v>
      </c>
      <c r="T9" s="24" t="s">
        <v>100</v>
      </c>
      <c r="U9" s="24" t="s">
        <v>101</v>
      </c>
      <c r="V9" s="21"/>
      <c r="W9" s="24" t="s">
        <v>102</v>
      </c>
      <c r="X9" s="24" t="s">
        <v>102</v>
      </c>
      <c r="Y9" s="21"/>
    </row>
    <row r="10" spans="1:29">
      <c r="A10" s="29" t="s">
        <v>103</v>
      </c>
      <c r="B10" s="29" t="s">
        <v>103</v>
      </c>
      <c r="C10" s="29" t="s">
        <v>103</v>
      </c>
      <c r="D10" s="29" t="s">
        <v>103</v>
      </c>
      <c r="E10" s="29" t="s">
        <v>103</v>
      </c>
      <c r="F10" s="29" t="s">
        <v>103</v>
      </c>
      <c r="G10" s="29" t="s">
        <v>103</v>
      </c>
      <c r="H10" s="29" t="s">
        <v>103</v>
      </c>
      <c r="I10" s="29" t="s">
        <v>103</v>
      </c>
      <c r="J10" s="29" t="s">
        <v>103</v>
      </c>
      <c r="K10" s="29" t="s">
        <v>103</v>
      </c>
      <c r="L10" s="29" t="s">
        <v>103</v>
      </c>
      <c r="M10" s="29" t="s">
        <v>103</v>
      </c>
      <c r="N10" s="29" t="s">
        <v>103</v>
      </c>
      <c r="O10" s="29" t="s">
        <v>103</v>
      </c>
      <c r="P10" s="29" t="s">
        <v>103</v>
      </c>
      <c r="Q10" s="29" t="s">
        <v>103</v>
      </c>
      <c r="R10" s="29" t="s">
        <v>103</v>
      </c>
      <c r="S10" s="29" t="s">
        <v>103</v>
      </c>
      <c r="T10" s="29" t="s">
        <v>103</v>
      </c>
      <c r="U10" s="29" t="s">
        <v>103</v>
      </c>
      <c r="V10" s="29" t="s">
        <v>103</v>
      </c>
      <c r="W10" s="29" t="s">
        <v>103</v>
      </c>
      <c r="X10" s="29" t="s">
        <v>103</v>
      </c>
      <c r="Y10" s="31"/>
    </row>
    <row r="11" spans="1:29">
      <c r="A11" s="27"/>
      <c r="B11" s="27"/>
      <c r="C11" s="27"/>
      <c r="D11" s="27"/>
      <c r="E11" s="27"/>
      <c r="F11" s="27"/>
      <c r="G11" s="27"/>
      <c r="H11" s="27"/>
      <c r="I11" s="27"/>
      <c r="J11" s="27"/>
      <c r="K11" s="27"/>
      <c r="L11" s="27"/>
      <c r="M11" s="27"/>
      <c r="N11" s="27"/>
      <c r="O11" s="27"/>
      <c r="P11" s="27"/>
      <c r="Q11" s="27"/>
      <c r="R11" s="27"/>
      <c r="S11" s="27"/>
      <c r="T11" s="27"/>
      <c r="U11" s="27"/>
      <c r="V11" s="27"/>
      <c r="W11" s="27"/>
      <c r="X11" s="27"/>
      <c r="Y11" s="27"/>
    </row>
    <row r="12" spans="1:29">
      <c r="A12" s="27"/>
      <c r="B12" s="27"/>
      <c r="C12" s="27"/>
      <c r="D12" s="27"/>
      <c r="E12" s="27"/>
      <c r="F12" s="27"/>
      <c r="G12" s="82" t="s">
        <v>104</v>
      </c>
      <c r="H12" s="27"/>
      <c r="I12" s="27"/>
      <c r="J12" s="27"/>
      <c r="K12" s="27"/>
      <c r="L12" s="27"/>
      <c r="M12" s="27"/>
      <c r="N12" s="27"/>
      <c r="O12" s="27"/>
      <c r="P12" s="27"/>
      <c r="Q12" s="27"/>
      <c r="R12" s="27"/>
      <c r="S12" s="27"/>
      <c r="T12" s="27"/>
      <c r="U12" s="27"/>
      <c r="V12" s="27"/>
      <c r="W12" s="27"/>
      <c r="X12" s="27"/>
      <c r="Y12" s="27"/>
    </row>
    <row r="13" spans="1:29">
      <c r="A13" s="27"/>
      <c r="B13" s="27"/>
      <c r="C13" s="27"/>
      <c r="D13" s="27"/>
      <c r="E13" s="27"/>
      <c r="F13" s="27"/>
      <c r="G13" s="27"/>
      <c r="H13" s="27"/>
      <c r="I13" s="27"/>
      <c r="J13" s="27"/>
      <c r="K13" s="27"/>
      <c r="L13" s="27"/>
      <c r="M13" s="27"/>
      <c r="N13" s="27"/>
      <c r="O13" s="27"/>
      <c r="P13" s="27"/>
      <c r="Q13" s="27"/>
      <c r="R13" s="27"/>
      <c r="S13" s="27"/>
      <c r="T13" s="27"/>
      <c r="U13" s="27"/>
      <c r="V13" s="27"/>
      <c r="W13" s="27"/>
      <c r="X13" s="27"/>
      <c r="Y13" s="27"/>
    </row>
    <row r="14" spans="1:29">
      <c r="A14" s="7"/>
      <c r="B14" s="7"/>
      <c r="C14" s="7"/>
      <c r="D14" s="7"/>
      <c r="E14" s="7"/>
      <c r="F14" s="7"/>
      <c r="G14" s="7"/>
      <c r="H14" s="7"/>
      <c r="I14" s="7"/>
      <c r="J14" s="7"/>
      <c r="K14" s="7"/>
      <c r="L14" s="7"/>
      <c r="M14" s="7"/>
      <c r="N14" s="7"/>
      <c r="O14" s="7"/>
      <c r="P14" s="7"/>
      <c r="Q14" s="7"/>
      <c r="R14" s="7"/>
      <c r="S14" s="7"/>
      <c r="T14" s="7"/>
      <c r="U14" s="7"/>
      <c r="V14" s="7"/>
      <c r="W14" s="7"/>
      <c r="X14" s="7"/>
      <c r="Y14" s="7"/>
    </row>
    <row r="16" spans="1:29">
      <c r="A16" s="183" t="s">
        <v>105</v>
      </c>
      <c r="B16" s="183"/>
      <c r="C16" s="183"/>
      <c r="D16" s="183"/>
      <c r="E16" s="183"/>
      <c r="F16" s="183"/>
      <c r="G16" s="183"/>
      <c r="H16" s="183"/>
      <c r="I16" s="183"/>
      <c r="J16" s="183"/>
      <c r="K16" s="183"/>
      <c r="L16" s="183"/>
      <c r="M16" s="183"/>
      <c r="N16" s="183"/>
      <c r="O16" s="183"/>
      <c r="P16" s="183"/>
      <c r="Q16" s="183"/>
      <c r="R16" s="183"/>
    </row>
  </sheetData>
  <mergeCells count="27">
    <mergeCell ref="A1:Y1"/>
    <mergeCell ref="T4:T8"/>
    <mergeCell ref="U4:U8"/>
    <mergeCell ref="V4:V8"/>
    <mergeCell ref="W4:W8"/>
    <mergeCell ref="X4:X8"/>
    <mergeCell ref="Y4:Y8"/>
    <mergeCell ref="N4:N8"/>
    <mergeCell ref="O4:O8"/>
    <mergeCell ref="P4:P8"/>
    <mergeCell ref="Q4:Q8"/>
    <mergeCell ref="R4:R8"/>
    <mergeCell ref="S4:S8"/>
    <mergeCell ref="F6:I6"/>
    <mergeCell ref="J6:M6"/>
    <mergeCell ref="B5:I5"/>
    <mergeCell ref="J5:M5"/>
    <mergeCell ref="B4:M4"/>
    <mergeCell ref="A4:A8"/>
    <mergeCell ref="A16:R16"/>
    <mergeCell ref="B7:C7"/>
    <mergeCell ref="D7:E7"/>
    <mergeCell ref="F7:G7"/>
    <mergeCell ref="H7:I7"/>
    <mergeCell ref="J7:K7"/>
    <mergeCell ref="L7:M7"/>
    <mergeCell ref="B6: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E89F-1B9D-4DB1-917F-4976F224A9A1}">
  <sheetPr>
    <tabColor rgb="FF00B050"/>
  </sheetPr>
  <dimension ref="A1:Q35"/>
  <sheetViews>
    <sheetView topLeftCell="F4" zoomScale="115" zoomScaleNormal="115" workbookViewId="0">
      <selection activeCell="D7" sqref="D7"/>
    </sheetView>
  </sheetViews>
  <sheetFormatPr baseColWidth="10" defaultColWidth="9.5" defaultRowHeight="15"/>
  <cols>
    <col min="1" max="1" width="22" style="49" customWidth="1"/>
    <col min="2" max="2" width="34.5" style="49" customWidth="1"/>
    <col min="3" max="3" width="10" style="49" bestFit="1" customWidth="1"/>
    <col min="4" max="4" width="8.5" style="49" bestFit="1" customWidth="1"/>
    <col min="5" max="5" width="4.5" style="49" bestFit="1" customWidth="1"/>
    <col min="6" max="6" width="17.5" style="49" customWidth="1"/>
    <col min="7" max="7" width="4.5" style="49" bestFit="1" customWidth="1"/>
    <col min="8" max="8" width="17.5" style="49" customWidth="1"/>
    <col min="9" max="9" width="4.5" style="49" bestFit="1" customWidth="1"/>
    <col min="10" max="10" width="23.5" style="49" bestFit="1" customWidth="1"/>
    <col min="11" max="12" width="14.5" style="49" bestFit="1" customWidth="1"/>
    <col min="13" max="13" width="9.5" style="49" bestFit="1" customWidth="1"/>
    <col min="14" max="14" width="11.5" style="49" bestFit="1" customWidth="1"/>
    <col min="15" max="16384" width="9.5" style="49"/>
  </cols>
  <sheetData>
    <row r="1" spans="1:17" ht="19">
      <c r="A1" s="193" t="s">
        <v>106</v>
      </c>
      <c r="B1" s="193"/>
      <c r="C1" s="193"/>
      <c r="D1" s="193"/>
      <c r="E1" s="193"/>
      <c r="F1" s="193"/>
      <c r="G1" s="193"/>
      <c r="H1" s="193"/>
      <c r="I1" s="193"/>
      <c r="J1" s="193"/>
      <c r="K1" s="193"/>
      <c r="L1" s="193"/>
      <c r="M1" s="193"/>
      <c r="N1" s="193"/>
      <c r="O1" s="34"/>
      <c r="P1" s="34"/>
      <c r="Q1" s="34"/>
    </row>
    <row r="2" spans="1:17" ht="17">
      <c r="A2" s="37" t="s">
        <v>28</v>
      </c>
    </row>
    <row r="4" spans="1:17">
      <c r="A4" s="184" t="s">
        <v>107</v>
      </c>
      <c r="B4" s="184" t="s">
        <v>108</v>
      </c>
      <c r="C4" s="184" t="s">
        <v>109</v>
      </c>
      <c r="D4" s="195" t="s">
        <v>110</v>
      </c>
      <c r="E4" s="195"/>
      <c r="F4" s="195"/>
      <c r="G4" s="195"/>
      <c r="H4" s="195" t="s">
        <v>111</v>
      </c>
      <c r="I4" s="195"/>
      <c r="J4" s="184" t="s">
        <v>112</v>
      </c>
      <c r="K4" s="184" t="s">
        <v>113</v>
      </c>
      <c r="L4" s="184" t="s">
        <v>37</v>
      </c>
      <c r="M4" s="184" t="s">
        <v>114</v>
      </c>
      <c r="N4" s="184" t="s">
        <v>115</v>
      </c>
    </row>
    <row r="5" spans="1:17">
      <c r="A5" s="185"/>
      <c r="B5" s="185"/>
      <c r="C5" s="185"/>
      <c r="D5" s="188" t="s">
        <v>42</v>
      </c>
      <c r="E5" s="188"/>
      <c r="F5" s="188" t="s">
        <v>43</v>
      </c>
      <c r="G5" s="188"/>
      <c r="H5" s="196"/>
      <c r="I5" s="196"/>
      <c r="J5" s="185"/>
      <c r="K5" s="185"/>
      <c r="L5" s="185"/>
      <c r="M5" s="185"/>
      <c r="N5" s="185"/>
    </row>
    <row r="6" spans="1:17" ht="32">
      <c r="A6" s="186"/>
      <c r="B6" s="186"/>
      <c r="C6" s="186"/>
      <c r="D6" s="13" t="s">
        <v>44</v>
      </c>
      <c r="E6" s="13" t="s">
        <v>45</v>
      </c>
      <c r="F6" s="13" t="s">
        <v>44</v>
      </c>
      <c r="G6" s="13" t="s">
        <v>45</v>
      </c>
      <c r="H6" s="13" t="s">
        <v>44</v>
      </c>
      <c r="I6" s="13" t="s">
        <v>45</v>
      </c>
      <c r="J6" s="186"/>
      <c r="K6" s="186"/>
      <c r="L6" s="186"/>
      <c r="M6" s="186"/>
      <c r="N6" s="186"/>
    </row>
    <row r="7" spans="1:17" ht="194">
      <c r="A7" s="15" t="s">
        <v>116</v>
      </c>
      <c r="B7" s="15"/>
      <c r="C7" s="15" t="s">
        <v>117</v>
      </c>
      <c r="D7" s="15"/>
      <c r="E7" s="15"/>
      <c r="F7" s="15"/>
      <c r="G7" s="15"/>
      <c r="H7" s="15"/>
      <c r="I7" s="15"/>
      <c r="J7" s="14" t="s">
        <v>118</v>
      </c>
      <c r="K7" s="15" t="s">
        <v>119</v>
      </c>
      <c r="L7" s="15" t="s">
        <v>120</v>
      </c>
      <c r="M7" s="50"/>
      <c r="N7" s="50"/>
    </row>
    <row r="8" spans="1:17" s="35" customFormat="1" ht="80">
      <c r="A8" s="43" t="s">
        <v>121</v>
      </c>
      <c r="B8" s="43" t="s">
        <v>122</v>
      </c>
      <c r="C8" s="43" t="s">
        <v>123</v>
      </c>
      <c r="D8" s="43"/>
      <c r="E8" s="43"/>
      <c r="F8" s="52">
        <v>4666004508</v>
      </c>
      <c r="G8" s="43"/>
      <c r="H8" s="53">
        <f>F8</f>
        <v>4666004508</v>
      </c>
      <c r="I8" s="43"/>
      <c r="J8" s="42" t="s">
        <v>59</v>
      </c>
      <c r="K8" s="43" t="s">
        <v>124</v>
      </c>
      <c r="L8" s="43" t="s">
        <v>64</v>
      </c>
      <c r="M8" s="43"/>
      <c r="N8" s="43" t="s">
        <v>125</v>
      </c>
    </row>
    <row r="9" spans="1:17" s="35" customFormat="1" ht="48">
      <c r="A9" s="43" t="s">
        <v>126</v>
      </c>
      <c r="B9" s="43" t="s">
        <v>127</v>
      </c>
      <c r="C9" s="43" t="s">
        <v>123</v>
      </c>
      <c r="D9" s="43"/>
      <c r="E9" s="43"/>
      <c r="F9" s="52">
        <v>1568611946</v>
      </c>
      <c r="G9" s="43"/>
      <c r="H9" s="53">
        <f t="shared" ref="H9:H18" si="0">F9</f>
        <v>1568611946</v>
      </c>
      <c r="I9" s="43"/>
      <c r="J9" s="42" t="s">
        <v>59</v>
      </c>
      <c r="K9" s="43" t="s">
        <v>124</v>
      </c>
      <c r="L9" s="43" t="s">
        <v>77</v>
      </c>
      <c r="M9" s="43"/>
      <c r="N9" s="43" t="s">
        <v>125</v>
      </c>
    </row>
    <row r="10" spans="1:17" s="35" customFormat="1" ht="64">
      <c r="A10" s="43" t="s">
        <v>128</v>
      </c>
      <c r="B10" s="43" t="s">
        <v>129</v>
      </c>
      <c r="C10" s="43" t="s">
        <v>123</v>
      </c>
      <c r="D10" s="43"/>
      <c r="E10" s="43"/>
      <c r="F10" s="52">
        <v>4333721535</v>
      </c>
      <c r="G10" s="43"/>
      <c r="H10" s="53">
        <f t="shared" si="0"/>
        <v>4333721535</v>
      </c>
      <c r="I10" s="43"/>
      <c r="J10" s="42" t="s">
        <v>59</v>
      </c>
      <c r="K10" s="43" t="s">
        <v>124</v>
      </c>
      <c r="L10" s="43" t="s">
        <v>61</v>
      </c>
      <c r="M10" s="43"/>
      <c r="N10" s="43" t="s">
        <v>125</v>
      </c>
    </row>
    <row r="11" spans="1:17" s="35" customFormat="1" ht="32">
      <c r="A11" s="43" t="s">
        <v>130</v>
      </c>
      <c r="B11" s="43" t="s">
        <v>131</v>
      </c>
      <c r="C11" s="43" t="s">
        <v>123</v>
      </c>
      <c r="D11" s="43"/>
      <c r="E11" s="43"/>
      <c r="F11" s="52">
        <v>2098057500</v>
      </c>
      <c r="G11" s="43"/>
      <c r="H11" s="53">
        <f t="shared" si="0"/>
        <v>2098057500</v>
      </c>
      <c r="I11" s="43"/>
      <c r="J11" s="42" t="s">
        <v>59</v>
      </c>
      <c r="K11" s="43" t="s">
        <v>124</v>
      </c>
      <c r="L11" s="43" t="s">
        <v>61</v>
      </c>
      <c r="M11" s="43"/>
      <c r="N11" s="43" t="s">
        <v>125</v>
      </c>
    </row>
    <row r="12" spans="1:17" s="35" customFormat="1" ht="32">
      <c r="A12" s="43" t="s">
        <v>132</v>
      </c>
      <c r="B12" s="43" t="s">
        <v>133</v>
      </c>
      <c r="C12" s="43" t="s">
        <v>123</v>
      </c>
      <c r="D12" s="43"/>
      <c r="E12" s="43"/>
      <c r="F12" s="52">
        <v>4071000000</v>
      </c>
      <c r="G12" s="43"/>
      <c r="H12" s="53">
        <f t="shared" si="0"/>
        <v>4071000000</v>
      </c>
      <c r="I12" s="43"/>
      <c r="J12" s="42" t="s">
        <v>59</v>
      </c>
      <c r="K12" s="43" t="s">
        <v>124</v>
      </c>
      <c r="L12" s="43" t="s">
        <v>61</v>
      </c>
      <c r="M12" s="43"/>
      <c r="N12" s="43" t="s">
        <v>125</v>
      </c>
    </row>
    <row r="13" spans="1:17" s="35" customFormat="1" ht="32">
      <c r="A13" s="43" t="s">
        <v>134</v>
      </c>
      <c r="B13" s="43" t="s">
        <v>135</v>
      </c>
      <c r="C13" s="43" t="s">
        <v>123</v>
      </c>
      <c r="D13" s="43"/>
      <c r="E13" s="43"/>
      <c r="F13" s="52">
        <v>23445000000</v>
      </c>
      <c r="G13" s="43"/>
      <c r="H13" s="53">
        <f t="shared" si="0"/>
        <v>23445000000</v>
      </c>
      <c r="I13" s="43"/>
      <c r="J13" s="42" t="s">
        <v>59</v>
      </c>
      <c r="K13" s="43" t="s">
        <v>124</v>
      </c>
      <c r="L13" s="43" t="s">
        <v>136</v>
      </c>
      <c r="M13" s="43"/>
      <c r="N13" s="43" t="s">
        <v>125</v>
      </c>
    </row>
    <row r="14" spans="1:17" s="35" customFormat="1" ht="64">
      <c r="A14" s="43" t="s">
        <v>137</v>
      </c>
      <c r="B14" s="43" t="s">
        <v>138</v>
      </c>
      <c r="C14" s="43" t="s">
        <v>123</v>
      </c>
      <c r="D14" s="43"/>
      <c r="E14" s="43"/>
      <c r="F14" s="52">
        <v>4763138303</v>
      </c>
      <c r="G14" s="43"/>
      <c r="H14" s="53">
        <f t="shared" si="0"/>
        <v>4763138303</v>
      </c>
      <c r="I14" s="43"/>
      <c r="J14" s="42" t="s">
        <v>59</v>
      </c>
      <c r="K14" s="43" t="s">
        <v>124</v>
      </c>
      <c r="L14" s="43" t="s">
        <v>61</v>
      </c>
      <c r="M14" s="43"/>
      <c r="N14" s="43" t="s">
        <v>125</v>
      </c>
    </row>
    <row r="15" spans="1:17" s="35" customFormat="1" ht="16">
      <c r="A15" s="43" t="s">
        <v>139</v>
      </c>
      <c r="B15" s="43" t="s">
        <v>140</v>
      </c>
      <c r="C15" s="43" t="s">
        <v>123</v>
      </c>
      <c r="D15" s="43"/>
      <c r="E15" s="43"/>
      <c r="F15" s="52">
        <v>4516760600</v>
      </c>
      <c r="G15" s="43"/>
      <c r="H15" s="53">
        <f t="shared" si="0"/>
        <v>4516760600</v>
      </c>
      <c r="I15" s="43"/>
      <c r="J15" s="42" t="s">
        <v>59</v>
      </c>
      <c r="K15" s="43" t="s">
        <v>124</v>
      </c>
      <c r="L15" s="43" t="s">
        <v>61</v>
      </c>
      <c r="M15" s="43"/>
      <c r="N15" s="43" t="s">
        <v>125</v>
      </c>
    </row>
    <row r="16" spans="1:17" s="35" customFormat="1" ht="64">
      <c r="A16" s="43" t="s">
        <v>141</v>
      </c>
      <c r="B16" s="43" t="s">
        <v>142</v>
      </c>
      <c r="C16" s="43" t="s">
        <v>123</v>
      </c>
      <c r="D16" s="43"/>
      <c r="E16" s="43"/>
      <c r="F16" s="52">
        <v>4404562800</v>
      </c>
      <c r="G16" s="43"/>
      <c r="H16" s="53">
        <f t="shared" si="0"/>
        <v>4404562800</v>
      </c>
      <c r="I16" s="43"/>
      <c r="J16" s="42" t="s">
        <v>59</v>
      </c>
      <c r="K16" s="43" t="s">
        <v>124</v>
      </c>
      <c r="L16" s="43" t="s">
        <v>77</v>
      </c>
      <c r="M16" s="43"/>
      <c r="N16" s="43" t="s">
        <v>125</v>
      </c>
    </row>
    <row r="17" spans="1:14" s="35" customFormat="1" ht="32">
      <c r="A17" s="43" t="s">
        <v>143</v>
      </c>
      <c r="B17" s="43" t="s">
        <v>144</v>
      </c>
      <c r="C17" s="43" t="s">
        <v>123</v>
      </c>
      <c r="D17" s="43"/>
      <c r="E17" s="43"/>
      <c r="F17" s="52">
        <v>2152500000</v>
      </c>
      <c r="G17" s="43"/>
      <c r="H17" s="53">
        <f t="shared" si="0"/>
        <v>2152500000</v>
      </c>
      <c r="I17" s="43"/>
      <c r="J17" s="42" t="s">
        <v>59</v>
      </c>
      <c r="K17" s="43" t="s">
        <v>124</v>
      </c>
      <c r="L17" s="43" t="s">
        <v>64</v>
      </c>
      <c r="M17" s="43"/>
      <c r="N17" s="43" t="s">
        <v>125</v>
      </c>
    </row>
    <row r="18" spans="1:14" s="35" customFormat="1" ht="32">
      <c r="A18" s="43" t="s">
        <v>145</v>
      </c>
      <c r="B18" s="43" t="s">
        <v>146</v>
      </c>
      <c r="C18" s="43" t="s">
        <v>123</v>
      </c>
      <c r="D18" s="43"/>
      <c r="E18" s="43"/>
      <c r="F18" s="52">
        <v>2280000000</v>
      </c>
      <c r="G18" s="43"/>
      <c r="H18" s="53">
        <f t="shared" si="0"/>
        <v>2280000000</v>
      </c>
      <c r="I18" s="43"/>
      <c r="J18" s="42" t="s">
        <v>59</v>
      </c>
      <c r="K18" s="43" t="s">
        <v>124</v>
      </c>
      <c r="L18" s="43" t="s">
        <v>64</v>
      </c>
      <c r="M18" s="43"/>
      <c r="N18" s="43" t="s">
        <v>125</v>
      </c>
    </row>
    <row r="19" spans="1:14" s="35" customFormat="1" ht="80">
      <c r="A19" s="43" t="s">
        <v>147</v>
      </c>
      <c r="B19" s="43" t="s">
        <v>148</v>
      </c>
      <c r="C19" s="43" t="s">
        <v>123</v>
      </c>
      <c r="D19" s="43"/>
      <c r="E19" s="43"/>
      <c r="F19" s="52">
        <v>8326376520</v>
      </c>
      <c r="G19" s="43"/>
      <c r="H19" s="52">
        <v>8326376520</v>
      </c>
      <c r="I19" s="43"/>
      <c r="J19" s="42" t="s">
        <v>59</v>
      </c>
      <c r="K19" s="43" t="s">
        <v>124</v>
      </c>
      <c r="L19" s="43" t="s">
        <v>61</v>
      </c>
      <c r="M19" s="43"/>
      <c r="N19" s="43" t="s">
        <v>149</v>
      </c>
    </row>
    <row r="20" spans="1:14" s="35" customFormat="1" ht="48">
      <c r="A20" s="43" t="s">
        <v>128</v>
      </c>
      <c r="B20" s="43" t="s">
        <v>150</v>
      </c>
      <c r="C20" s="43" t="s">
        <v>123</v>
      </c>
      <c r="D20" s="43"/>
      <c r="E20" s="43"/>
      <c r="F20" s="52">
        <v>60107538227</v>
      </c>
      <c r="G20" s="43"/>
      <c r="H20" s="52">
        <v>60107538227</v>
      </c>
      <c r="I20" s="43"/>
      <c r="J20" s="42" t="s">
        <v>59</v>
      </c>
      <c r="K20" s="43" t="s">
        <v>124</v>
      </c>
      <c r="L20" s="43" t="s">
        <v>61</v>
      </c>
      <c r="M20" s="43"/>
      <c r="N20" s="43" t="s">
        <v>149</v>
      </c>
    </row>
    <row r="21" spans="1:14" s="35" customFormat="1" ht="32">
      <c r="A21" s="43" t="s">
        <v>151</v>
      </c>
      <c r="B21" s="43" t="s">
        <v>152</v>
      </c>
      <c r="C21" s="43" t="s">
        <v>123</v>
      </c>
      <c r="D21" s="43"/>
      <c r="E21" s="43"/>
      <c r="F21" s="52">
        <v>8542944000</v>
      </c>
      <c r="G21" s="43"/>
      <c r="H21" s="52">
        <v>8542944000</v>
      </c>
      <c r="I21" s="43"/>
      <c r="J21" s="42" t="s">
        <v>59</v>
      </c>
      <c r="K21" s="43" t="s">
        <v>124</v>
      </c>
      <c r="L21" s="43" t="s">
        <v>61</v>
      </c>
      <c r="M21" s="43"/>
      <c r="N21" s="43" t="s">
        <v>149</v>
      </c>
    </row>
    <row r="22" spans="1:14" s="35" customFormat="1" ht="80">
      <c r="A22" s="43" t="s">
        <v>153</v>
      </c>
      <c r="B22" s="43" t="s">
        <v>154</v>
      </c>
      <c r="C22" s="43" t="s">
        <v>123</v>
      </c>
      <c r="D22" s="43"/>
      <c r="E22" s="43"/>
      <c r="F22" s="52">
        <v>6434708649</v>
      </c>
      <c r="G22" s="43"/>
      <c r="H22" s="52">
        <v>6434708649</v>
      </c>
      <c r="I22" s="43"/>
      <c r="J22" s="42" t="s">
        <v>59</v>
      </c>
      <c r="K22" s="43" t="s">
        <v>124</v>
      </c>
      <c r="L22" s="43" t="s">
        <v>77</v>
      </c>
      <c r="M22" s="43"/>
      <c r="N22" s="43" t="s">
        <v>149</v>
      </c>
    </row>
    <row r="23" spans="1:14" s="35" customFormat="1" ht="48">
      <c r="A23" s="43" t="s">
        <v>155</v>
      </c>
      <c r="B23" s="43" t="s">
        <v>156</v>
      </c>
      <c r="C23" s="43" t="s">
        <v>123</v>
      </c>
      <c r="D23" s="43"/>
      <c r="E23" s="43"/>
      <c r="F23" s="52">
        <v>2733689200</v>
      </c>
      <c r="G23" s="43"/>
      <c r="H23" s="52">
        <v>2733689200</v>
      </c>
      <c r="I23" s="43"/>
      <c r="J23" s="42" t="s">
        <v>59</v>
      </c>
      <c r="K23" s="43" t="s">
        <v>157</v>
      </c>
      <c r="L23" s="43" t="s">
        <v>158</v>
      </c>
      <c r="M23" s="43"/>
      <c r="N23" s="43" t="s">
        <v>149</v>
      </c>
    </row>
    <row r="24" spans="1:14" s="35" customFormat="1" ht="192">
      <c r="A24" s="43" t="s">
        <v>159</v>
      </c>
      <c r="B24" s="43" t="s">
        <v>160</v>
      </c>
      <c r="C24" s="43" t="s">
        <v>123</v>
      </c>
      <c r="D24" s="43"/>
      <c r="E24" s="43"/>
      <c r="F24" s="52">
        <v>5144090820</v>
      </c>
      <c r="G24" s="43"/>
      <c r="H24" s="52">
        <v>5144090820</v>
      </c>
      <c r="I24" s="43"/>
      <c r="J24" s="42" t="s">
        <v>59</v>
      </c>
      <c r="K24" s="43" t="s">
        <v>124</v>
      </c>
      <c r="L24" s="43" t="s">
        <v>61</v>
      </c>
      <c r="M24" s="43"/>
      <c r="N24" s="43" t="s">
        <v>149</v>
      </c>
    </row>
    <row r="25" spans="1:14" s="35" customFormat="1" ht="128">
      <c r="A25" s="43" t="s">
        <v>161</v>
      </c>
      <c r="B25" s="43" t="s">
        <v>162</v>
      </c>
      <c r="C25" s="43" t="s">
        <v>123</v>
      </c>
      <c r="D25" s="43"/>
      <c r="E25" s="43"/>
      <c r="F25" s="52">
        <v>6595718030</v>
      </c>
      <c r="G25" s="43"/>
      <c r="H25" s="52">
        <v>6595718030</v>
      </c>
      <c r="I25" s="43"/>
      <c r="J25" s="42" t="s">
        <v>59</v>
      </c>
      <c r="K25" s="43" t="s">
        <v>124</v>
      </c>
      <c r="L25" s="43" t="s">
        <v>61</v>
      </c>
      <c r="M25" s="43"/>
      <c r="N25" s="43" t="s">
        <v>149</v>
      </c>
    </row>
    <row r="26" spans="1:14" s="35" customFormat="1">
      <c r="A26" s="43"/>
      <c r="B26" s="43"/>
      <c r="C26" s="43"/>
      <c r="D26" s="43"/>
      <c r="E26" s="43"/>
      <c r="F26" s="52"/>
      <c r="G26" s="43"/>
      <c r="H26" s="52"/>
      <c r="I26" s="43"/>
      <c r="J26" s="42"/>
      <c r="K26" s="43"/>
      <c r="L26" s="43"/>
      <c r="M26" s="43"/>
      <c r="N26" s="43"/>
    </row>
    <row r="27" spans="1:14" s="35" customFormat="1" ht="160">
      <c r="A27" s="43" t="s">
        <v>163</v>
      </c>
      <c r="B27" s="43" t="s">
        <v>164</v>
      </c>
      <c r="C27" s="43" t="s">
        <v>123</v>
      </c>
      <c r="D27" s="43"/>
      <c r="E27" s="43"/>
      <c r="F27" s="52">
        <v>13840215925.55463</v>
      </c>
      <c r="G27" s="43"/>
      <c r="H27" s="52">
        <v>13840215925.55463</v>
      </c>
      <c r="I27" s="43"/>
      <c r="J27" s="42" t="s">
        <v>59</v>
      </c>
      <c r="K27" s="43" t="s">
        <v>124</v>
      </c>
      <c r="L27" s="43" t="s">
        <v>165</v>
      </c>
      <c r="M27" s="43"/>
      <c r="N27" s="43" t="s">
        <v>149</v>
      </c>
    </row>
    <row r="28" spans="1:14" s="35" customFormat="1" ht="48">
      <c r="A28" s="43" t="s">
        <v>139</v>
      </c>
      <c r="B28" s="43" t="s">
        <v>166</v>
      </c>
      <c r="C28" s="43" t="s">
        <v>123</v>
      </c>
      <c r="D28" s="43"/>
      <c r="E28" s="43"/>
      <c r="F28" s="52">
        <v>4907578430</v>
      </c>
      <c r="G28" s="43"/>
      <c r="H28" s="52">
        <v>4907578430</v>
      </c>
      <c r="I28" s="43"/>
      <c r="J28" s="42" t="s">
        <v>59</v>
      </c>
      <c r="K28" s="43" t="s">
        <v>124</v>
      </c>
      <c r="L28" s="43" t="s">
        <v>61</v>
      </c>
      <c r="M28" s="43"/>
      <c r="N28" s="43" t="s">
        <v>149</v>
      </c>
    </row>
    <row r="29" spans="1:14" s="35" customFormat="1" ht="32">
      <c r="A29" s="43" t="s">
        <v>167</v>
      </c>
      <c r="B29" s="43" t="s">
        <v>168</v>
      </c>
      <c r="C29" s="43" t="s">
        <v>123</v>
      </c>
      <c r="D29" s="43"/>
      <c r="E29" s="43"/>
      <c r="F29" s="52">
        <v>1404084550</v>
      </c>
      <c r="G29" s="43"/>
      <c r="H29" s="52">
        <v>1404084550</v>
      </c>
      <c r="I29" s="43"/>
      <c r="J29" s="42" t="s">
        <v>59</v>
      </c>
      <c r="K29" s="43" t="s">
        <v>124</v>
      </c>
      <c r="L29" s="43" t="s">
        <v>136</v>
      </c>
      <c r="M29" s="43"/>
      <c r="N29" s="43" t="s">
        <v>149</v>
      </c>
    </row>
    <row r="30" spans="1:14" s="35" customFormat="1" ht="64">
      <c r="A30" s="43" t="s">
        <v>139</v>
      </c>
      <c r="B30" s="43" t="s">
        <v>169</v>
      </c>
      <c r="C30" s="43" t="s">
        <v>123</v>
      </c>
      <c r="D30" s="43"/>
      <c r="E30" s="43"/>
      <c r="F30" s="52">
        <v>1853940595</v>
      </c>
      <c r="G30" s="43"/>
      <c r="H30" s="52">
        <v>1853940595</v>
      </c>
      <c r="I30" s="43"/>
      <c r="J30" s="42" t="s">
        <v>59</v>
      </c>
      <c r="K30" s="43" t="s">
        <v>124</v>
      </c>
      <c r="L30" s="43" t="s">
        <v>77</v>
      </c>
      <c r="M30" s="43"/>
      <c r="N30" s="43" t="s">
        <v>149</v>
      </c>
    </row>
    <row r="31" spans="1:14" s="35" customFormat="1" ht="64">
      <c r="A31" s="43" t="s">
        <v>170</v>
      </c>
      <c r="B31" s="43" t="s">
        <v>171</v>
      </c>
      <c r="C31" s="43" t="s">
        <v>123</v>
      </c>
      <c r="D31" s="43"/>
      <c r="E31" s="43"/>
      <c r="F31" s="52">
        <v>1471978650</v>
      </c>
      <c r="G31" s="43"/>
      <c r="H31" s="52">
        <v>1471978650</v>
      </c>
      <c r="I31" s="43"/>
      <c r="J31" s="42" t="s">
        <v>59</v>
      </c>
      <c r="K31" s="43" t="s">
        <v>124</v>
      </c>
      <c r="L31" s="43" t="s">
        <v>77</v>
      </c>
      <c r="M31" s="43"/>
      <c r="N31" s="43" t="s">
        <v>149</v>
      </c>
    </row>
    <row r="32" spans="1:14" s="35" customFormat="1" ht="64">
      <c r="A32" s="43" t="s">
        <v>172</v>
      </c>
      <c r="B32" s="43" t="s">
        <v>173</v>
      </c>
      <c r="C32" s="43" t="s">
        <v>123</v>
      </c>
      <c r="D32" s="43"/>
      <c r="E32" s="43"/>
      <c r="F32" s="52">
        <v>6022155193</v>
      </c>
      <c r="G32" s="43"/>
      <c r="H32" s="52">
        <v>6022155193</v>
      </c>
      <c r="I32" s="43"/>
      <c r="J32" s="42" t="s">
        <v>59</v>
      </c>
      <c r="K32" s="43" t="s">
        <v>124</v>
      </c>
      <c r="L32" s="43" t="s">
        <v>174</v>
      </c>
      <c r="M32" s="43"/>
      <c r="N32" s="43" t="s">
        <v>149</v>
      </c>
    </row>
    <row r="33" spans="1:14" s="35" customFormat="1" ht="48">
      <c r="A33" s="43" t="s">
        <v>175</v>
      </c>
      <c r="B33" s="43" t="s">
        <v>176</v>
      </c>
      <c r="C33" s="43" t="s">
        <v>123</v>
      </c>
      <c r="D33" s="43"/>
      <c r="E33" s="43"/>
      <c r="F33" s="52">
        <v>1371570926</v>
      </c>
      <c r="G33" s="43"/>
      <c r="H33" s="52">
        <v>1371570926</v>
      </c>
      <c r="I33" s="43"/>
      <c r="J33" s="42" t="s">
        <v>59</v>
      </c>
      <c r="K33" s="43" t="s">
        <v>124</v>
      </c>
      <c r="L33" s="43" t="s">
        <v>61</v>
      </c>
      <c r="M33" s="43"/>
      <c r="N33" s="43" t="s">
        <v>149</v>
      </c>
    </row>
    <row r="34" spans="1:14" s="35" customFormat="1">
      <c r="F34" s="54"/>
      <c r="H34" s="54"/>
      <c r="J34" s="41"/>
    </row>
    <row r="35" spans="1:14">
      <c r="A35" s="194" t="s">
        <v>177</v>
      </c>
      <c r="B35" s="194"/>
      <c r="C35" s="194"/>
      <c r="D35" s="194"/>
      <c r="E35" s="194"/>
      <c r="F35" s="194"/>
      <c r="G35" s="194"/>
      <c r="H35" s="194"/>
      <c r="I35" s="194"/>
      <c r="J35" s="194"/>
      <c r="K35" s="194"/>
      <c r="L35" s="194"/>
      <c r="M35" s="194"/>
      <c r="N35" s="194"/>
    </row>
  </sheetData>
  <mergeCells count="14">
    <mergeCell ref="A35:N35"/>
    <mergeCell ref="M4:M6"/>
    <mergeCell ref="N4:N6"/>
    <mergeCell ref="A1:N1"/>
    <mergeCell ref="A4:A6"/>
    <mergeCell ref="B4:B6"/>
    <mergeCell ref="C4:C6"/>
    <mergeCell ref="D5:E5"/>
    <mergeCell ref="F5:G5"/>
    <mergeCell ref="H4:I5"/>
    <mergeCell ref="D4:G4"/>
    <mergeCell ref="J4:J6"/>
    <mergeCell ref="K4:K6"/>
    <mergeCell ref="L4:L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79C30-41F9-4C62-A898-6526C674E7AE}">
  <sheetPr>
    <tabColor rgb="FF00B050"/>
  </sheetPr>
  <dimension ref="A1:K9"/>
  <sheetViews>
    <sheetView workbookViewId="0">
      <selection activeCell="A5" sqref="A5"/>
    </sheetView>
  </sheetViews>
  <sheetFormatPr baseColWidth="10" defaultColWidth="9.5" defaultRowHeight="15"/>
  <cols>
    <col min="1" max="1" width="9.5" style="1"/>
    <col min="2" max="2" width="11.5" style="1" customWidth="1"/>
    <col min="3" max="3" width="16.5" style="1" customWidth="1"/>
    <col min="4" max="4" width="11.5" style="1" customWidth="1"/>
    <col min="5" max="5" width="18.5" style="1" customWidth="1"/>
    <col min="6" max="6" width="10.5" style="1" customWidth="1"/>
    <col min="7" max="7" width="11.5" style="1" customWidth="1"/>
    <col min="8" max="8" width="13.5" style="1" customWidth="1"/>
    <col min="9" max="9" width="18.5" style="1" customWidth="1"/>
    <col min="10" max="10" width="11.5" style="1" customWidth="1"/>
    <col min="11" max="16384" width="9.5" style="1"/>
  </cols>
  <sheetData>
    <row r="1" spans="1:11" ht="22">
      <c r="A1" s="198" t="s">
        <v>178</v>
      </c>
      <c r="B1" s="198"/>
      <c r="C1" s="198"/>
      <c r="D1" s="198"/>
      <c r="E1" s="198"/>
      <c r="F1" s="198"/>
      <c r="G1" s="198"/>
      <c r="H1" s="198"/>
      <c r="I1" s="198"/>
      <c r="J1" s="198"/>
    </row>
    <row r="3" spans="1:11" ht="50">
      <c r="A3" s="18" t="s">
        <v>179</v>
      </c>
      <c r="B3" s="18" t="s">
        <v>180</v>
      </c>
      <c r="C3" s="13" t="s">
        <v>181</v>
      </c>
      <c r="D3" s="13" t="s">
        <v>182</v>
      </c>
      <c r="E3" s="13" t="s">
        <v>183</v>
      </c>
      <c r="F3" s="13" t="s">
        <v>184</v>
      </c>
      <c r="G3" s="13" t="s">
        <v>185</v>
      </c>
      <c r="H3" s="13" t="s">
        <v>186</v>
      </c>
      <c r="I3" s="13" t="s">
        <v>187</v>
      </c>
      <c r="J3" s="13" t="s">
        <v>188</v>
      </c>
      <c r="K3" s="8"/>
    </row>
    <row r="4" spans="1:11" ht="146">
      <c r="A4" s="25"/>
      <c r="B4" s="25"/>
      <c r="C4" s="25"/>
      <c r="D4" s="15" t="s">
        <v>189</v>
      </c>
      <c r="E4" s="15" t="s">
        <v>190</v>
      </c>
      <c r="F4" s="25"/>
      <c r="G4" s="25"/>
      <c r="H4" s="15" t="s">
        <v>191</v>
      </c>
      <c r="I4" s="15" t="s">
        <v>192</v>
      </c>
      <c r="J4" s="25"/>
    </row>
    <row r="5" spans="1:11" ht="255">
      <c r="A5" s="29" t="s">
        <v>103</v>
      </c>
      <c r="B5" s="29" t="s">
        <v>103</v>
      </c>
      <c r="C5" s="29" t="s">
        <v>103</v>
      </c>
      <c r="D5" s="29" t="s">
        <v>103</v>
      </c>
      <c r="E5" s="29" t="s">
        <v>103</v>
      </c>
      <c r="F5" s="29" t="s">
        <v>103</v>
      </c>
      <c r="G5" s="29" t="s">
        <v>103</v>
      </c>
      <c r="H5" s="29" t="s">
        <v>103</v>
      </c>
      <c r="I5" s="29" t="s">
        <v>103</v>
      </c>
      <c r="J5" s="30" t="s">
        <v>193</v>
      </c>
    </row>
    <row r="6" spans="1:11">
      <c r="A6" s="27"/>
      <c r="B6" s="27"/>
      <c r="C6" s="27"/>
      <c r="D6" s="27"/>
      <c r="E6" s="27"/>
      <c r="F6" s="27"/>
      <c r="G6" s="27"/>
      <c r="H6" s="27"/>
      <c r="I6" s="27"/>
      <c r="J6" s="27"/>
    </row>
    <row r="7" spans="1:11">
      <c r="A7" s="7"/>
      <c r="B7" s="7"/>
      <c r="C7" s="7"/>
      <c r="D7" s="7"/>
      <c r="E7" s="7"/>
      <c r="F7" s="7"/>
      <c r="G7" s="7"/>
      <c r="H7" s="7"/>
      <c r="I7" s="7"/>
      <c r="J7" s="7"/>
    </row>
    <row r="9" spans="1:11" ht="177.75" customHeight="1">
      <c r="A9" s="183" t="s">
        <v>194</v>
      </c>
      <c r="B9" s="197"/>
      <c r="C9" s="197"/>
      <c r="D9" s="197"/>
      <c r="E9" s="197"/>
      <c r="F9" s="197"/>
      <c r="G9" s="197"/>
      <c r="H9" s="197"/>
      <c r="I9" s="197"/>
      <c r="J9" s="197"/>
    </row>
  </sheetData>
  <mergeCells count="2">
    <mergeCell ref="A9:J9"/>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88C2-3865-4CF2-ABD0-7F1B340147DF}">
  <sheetPr>
    <tabColor rgb="FF00B050"/>
  </sheetPr>
  <dimension ref="A1:I9"/>
  <sheetViews>
    <sheetView zoomScale="190" zoomScaleNormal="190" workbookViewId="0">
      <selection activeCell="A5" sqref="A5"/>
    </sheetView>
  </sheetViews>
  <sheetFormatPr baseColWidth="10" defaultColWidth="9.5" defaultRowHeight="15"/>
  <cols>
    <col min="1" max="2" width="15.5" style="1" customWidth="1"/>
    <col min="3" max="3" width="24.5" style="1" customWidth="1"/>
    <col min="4" max="4" width="16" style="1" customWidth="1"/>
    <col min="5" max="5" width="26.5" style="1" customWidth="1"/>
    <col min="6" max="6" width="24.5" style="1" customWidth="1"/>
    <col min="7" max="16384" width="9.5" style="1"/>
  </cols>
  <sheetData>
    <row r="1" spans="1:9" ht="22">
      <c r="A1" s="198" t="s">
        <v>195</v>
      </c>
      <c r="B1" s="198"/>
      <c r="C1" s="198"/>
      <c r="D1" s="198"/>
      <c r="E1" s="198"/>
      <c r="F1" s="198"/>
    </row>
    <row r="3" spans="1:9" s="5" customFormat="1" ht="17">
      <c r="A3" s="190" t="s">
        <v>196</v>
      </c>
      <c r="B3" s="190" t="s">
        <v>197</v>
      </c>
      <c r="C3" s="190" t="s">
        <v>198</v>
      </c>
      <c r="D3" s="17" t="s">
        <v>182</v>
      </c>
      <c r="E3" s="17" t="s">
        <v>186</v>
      </c>
      <c r="F3" s="190" t="s">
        <v>199</v>
      </c>
      <c r="G3" s="9"/>
    </row>
    <row r="4" spans="1:9" s="5" customFormat="1" ht="50">
      <c r="A4" s="201"/>
      <c r="B4" s="201"/>
      <c r="C4" s="201"/>
      <c r="D4" s="20" t="s">
        <v>200</v>
      </c>
      <c r="E4" s="20" t="s">
        <v>201</v>
      </c>
      <c r="F4" s="201"/>
      <c r="G4" s="9"/>
    </row>
    <row r="5" spans="1:9" s="33" customFormat="1" ht="105">
      <c r="A5" s="31" t="s">
        <v>202</v>
      </c>
      <c r="B5" s="31" t="s">
        <v>203</v>
      </c>
      <c r="C5" s="31" t="s">
        <v>204</v>
      </c>
      <c r="D5" s="32" t="s">
        <v>205</v>
      </c>
      <c r="E5" s="32" t="s">
        <v>206</v>
      </c>
      <c r="F5" s="32"/>
    </row>
    <row r="6" spans="1:9">
      <c r="A6" s="27"/>
      <c r="B6" s="27"/>
      <c r="C6" s="27"/>
      <c r="D6" s="27"/>
      <c r="E6" s="27"/>
      <c r="F6" s="27"/>
    </row>
    <row r="7" spans="1:9">
      <c r="A7" s="7"/>
      <c r="B7" s="7"/>
      <c r="C7" s="7"/>
      <c r="D7" s="7"/>
      <c r="E7" s="7"/>
      <c r="F7" s="7"/>
    </row>
    <row r="9" spans="1:9" ht="152.25" customHeight="1">
      <c r="A9" s="199" t="s">
        <v>207</v>
      </c>
      <c r="B9" s="200"/>
      <c r="C9" s="200"/>
      <c r="D9" s="200"/>
      <c r="E9" s="200"/>
      <c r="F9" s="200"/>
      <c r="G9" s="10"/>
      <c r="H9" s="10"/>
      <c r="I9" s="10"/>
    </row>
  </sheetData>
  <mergeCells count="6">
    <mergeCell ref="A9:F9"/>
    <mergeCell ref="A1:F1"/>
    <mergeCell ref="A3:A4"/>
    <mergeCell ref="B3:B4"/>
    <mergeCell ref="C3:C4"/>
    <mergeCell ref="F3:F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8C61-FE13-4408-82DC-367D928B6FCD}">
  <sheetPr>
    <tabColor rgb="FF00B050"/>
  </sheetPr>
  <dimension ref="A1:O68"/>
  <sheetViews>
    <sheetView topLeftCell="A11" zoomScale="86" zoomScaleNormal="130" workbookViewId="0">
      <selection activeCell="F65" sqref="F31:F65"/>
    </sheetView>
  </sheetViews>
  <sheetFormatPr baseColWidth="10" defaultColWidth="14" defaultRowHeight="15"/>
  <cols>
    <col min="1" max="1" width="21" style="49" customWidth="1"/>
    <col min="2" max="2" width="14" style="49"/>
    <col min="3" max="3" width="43.5" style="49" customWidth="1"/>
    <col min="4" max="4" width="29.6640625" style="49" customWidth="1"/>
    <col min="5" max="5" width="14" style="49" customWidth="1"/>
    <col min="6" max="11" width="14" style="49"/>
    <col min="12" max="12" width="15.5" style="49" customWidth="1"/>
    <col min="13" max="16384" width="14" style="49"/>
  </cols>
  <sheetData>
    <row r="1" spans="1:15" ht="19">
      <c r="A1" s="203" t="s">
        <v>208</v>
      </c>
      <c r="B1" s="203"/>
      <c r="C1" s="203"/>
      <c r="D1" s="203"/>
      <c r="E1" s="203"/>
      <c r="F1" s="203"/>
      <c r="G1" s="203"/>
      <c r="H1" s="203"/>
      <c r="I1" s="203"/>
      <c r="J1" s="203"/>
      <c r="K1" s="203"/>
      <c r="L1" s="203"/>
      <c r="M1" s="203"/>
      <c r="N1" s="203"/>
    </row>
    <row r="2" spans="1:15" ht="17">
      <c r="A2" s="37" t="s">
        <v>28</v>
      </c>
    </row>
    <row r="3" spans="1:15" ht="16">
      <c r="A3" s="37"/>
    </row>
    <row r="4" spans="1:15" s="8" customFormat="1">
      <c r="A4" s="204" t="s">
        <v>209</v>
      </c>
      <c r="B4" s="204" t="s">
        <v>210</v>
      </c>
      <c r="C4" s="184" t="s">
        <v>211</v>
      </c>
      <c r="D4" s="184" t="s">
        <v>212</v>
      </c>
      <c r="E4" s="188" t="s">
        <v>213</v>
      </c>
      <c r="F4" s="188"/>
      <c r="G4" s="184" t="s">
        <v>214</v>
      </c>
      <c r="H4" s="184" t="s">
        <v>215</v>
      </c>
      <c r="I4" s="184" t="s">
        <v>216</v>
      </c>
      <c r="J4" s="184" t="s">
        <v>217</v>
      </c>
      <c r="K4" s="184" t="s">
        <v>218</v>
      </c>
      <c r="L4" s="204" t="s">
        <v>219</v>
      </c>
      <c r="M4" s="184" t="s">
        <v>220</v>
      </c>
      <c r="N4" s="184" t="s">
        <v>221</v>
      </c>
    </row>
    <row r="5" spans="1:15" s="8" customFormat="1" ht="80.25" customHeight="1">
      <c r="A5" s="205"/>
      <c r="B5" s="205"/>
      <c r="C5" s="206"/>
      <c r="D5" s="206"/>
      <c r="E5" s="19" t="s">
        <v>222</v>
      </c>
      <c r="F5" s="20" t="s">
        <v>223</v>
      </c>
      <c r="G5" s="206"/>
      <c r="H5" s="186"/>
      <c r="I5" s="186"/>
      <c r="J5" s="186"/>
      <c r="K5" s="206"/>
      <c r="L5" s="206"/>
      <c r="M5" s="206"/>
      <c r="N5" s="206"/>
    </row>
    <row r="6" spans="1:15" ht="146">
      <c r="A6" s="15" t="s">
        <v>224</v>
      </c>
      <c r="B6" s="50"/>
      <c r="C6" s="50"/>
      <c r="D6" s="50"/>
      <c r="E6" s="50"/>
      <c r="F6" s="50"/>
      <c r="G6" s="50"/>
      <c r="H6" s="15" t="s">
        <v>225</v>
      </c>
      <c r="I6" s="16" t="s">
        <v>226</v>
      </c>
      <c r="J6" s="24" t="s">
        <v>102</v>
      </c>
      <c r="K6" s="24" t="s">
        <v>102</v>
      </c>
      <c r="L6" s="24" t="s">
        <v>102</v>
      </c>
      <c r="M6" s="50"/>
      <c r="N6" s="50"/>
    </row>
    <row r="7" spans="1:15" s="35" customFormat="1" ht="32">
      <c r="A7" s="55" t="s">
        <v>227</v>
      </c>
      <c r="B7" s="55"/>
      <c r="C7" s="55" t="s">
        <v>228</v>
      </c>
      <c r="D7" s="55" t="s">
        <v>229</v>
      </c>
      <c r="E7" s="125"/>
      <c r="F7" s="143">
        <v>10830</v>
      </c>
      <c r="G7" s="55" t="s">
        <v>230</v>
      </c>
      <c r="H7" s="55" t="s">
        <v>231</v>
      </c>
      <c r="I7" s="55" t="s">
        <v>232</v>
      </c>
      <c r="J7" s="35">
        <v>0</v>
      </c>
      <c r="L7" s="35">
        <v>1</v>
      </c>
      <c r="M7" s="144"/>
      <c r="O7" s="35" t="s">
        <v>233</v>
      </c>
    </row>
    <row r="8" spans="1:15" s="35" customFormat="1" ht="32">
      <c r="A8" s="55" t="s">
        <v>227</v>
      </c>
      <c r="B8" s="55"/>
      <c r="C8" s="55" t="s">
        <v>234</v>
      </c>
      <c r="D8" s="55" t="s">
        <v>229</v>
      </c>
      <c r="E8" s="125"/>
      <c r="F8" s="143">
        <v>130</v>
      </c>
      <c r="G8" s="55" t="s">
        <v>230</v>
      </c>
      <c r="H8" s="55" t="s">
        <v>231</v>
      </c>
      <c r="I8" s="55" t="s">
        <v>232</v>
      </c>
      <c r="J8" s="35">
        <v>0</v>
      </c>
      <c r="L8" s="35">
        <v>1</v>
      </c>
      <c r="M8" s="144"/>
    </row>
    <row r="9" spans="1:15" s="35" customFormat="1" ht="32">
      <c r="A9" s="55" t="s">
        <v>227</v>
      </c>
      <c r="B9" s="55"/>
      <c r="C9" s="55" t="s">
        <v>235</v>
      </c>
      <c r="D9" s="55" t="s">
        <v>229</v>
      </c>
      <c r="E9" s="125"/>
      <c r="F9" s="143">
        <v>1280</v>
      </c>
      <c r="G9" s="55" t="s">
        <v>230</v>
      </c>
      <c r="H9" s="55" t="s">
        <v>231</v>
      </c>
      <c r="I9" s="55" t="s">
        <v>232</v>
      </c>
      <c r="J9" s="35">
        <v>0</v>
      </c>
      <c r="L9" s="35">
        <v>1</v>
      </c>
      <c r="M9" s="144"/>
    </row>
    <row r="10" spans="1:15" s="35" customFormat="1" ht="32">
      <c r="A10" s="55" t="s">
        <v>227</v>
      </c>
      <c r="B10" s="55"/>
      <c r="C10" s="55" t="s">
        <v>236</v>
      </c>
      <c r="D10" s="55" t="s">
        <v>229</v>
      </c>
      <c r="E10" s="125"/>
      <c r="F10" s="143">
        <v>8790</v>
      </c>
      <c r="G10" s="55" t="s">
        <v>230</v>
      </c>
      <c r="H10" s="55" t="s">
        <v>237</v>
      </c>
      <c r="I10" s="55" t="s">
        <v>232</v>
      </c>
      <c r="J10" s="35">
        <v>0</v>
      </c>
      <c r="L10" s="35">
        <v>1</v>
      </c>
      <c r="M10" s="144"/>
    </row>
    <row r="11" spans="1:15" s="35" customFormat="1" ht="32">
      <c r="A11" s="55" t="s">
        <v>227</v>
      </c>
      <c r="B11" s="55"/>
      <c r="C11" s="55" t="s">
        <v>238</v>
      </c>
      <c r="D11" s="55" t="s">
        <v>229</v>
      </c>
      <c r="E11" s="125"/>
      <c r="F11" s="143">
        <v>580</v>
      </c>
      <c r="G11" s="55" t="s">
        <v>230</v>
      </c>
      <c r="H11" s="55" t="s">
        <v>231</v>
      </c>
      <c r="I11" s="55" t="s">
        <v>232</v>
      </c>
      <c r="J11" s="35">
        <v>0</v>
      </c>
      <c r="L11" s="35">
        <v>1</v>
      </c>
      <c r="M11" s="144"/>
    </row>
    <row r="12" spans="1:15" s="35" customFormat="1" ht="32">
      <c r="A12" s="55" t="s">
        <v>227</v>
      </c>
      <c r="B12" s="55"/>
      <c r="C12" s="55" t="s">
        <v>239</v>
      </c>
      <c r="D12" s="55" t="s">
        <v>229</v>
      </c>
      <c r="E12" s="125"/>
      <c r="F12" s="143">
        <v>10</v>
      </c>
      <c r="G12" s="55" t="s">
        <v>230</v>
      </c>
      <c r="H12" s="55" t="s">
        <v>231</v>
      </c>
      <c r="I12" s="55" t="s">
        <v>232</v>
      </c>
      <c r="J12" s="35">
        <v>0</v>
      </c>
      <c r="L12" s="35">
        <v>1</v>
      </c>
      <c r="M12" s="144"/>
    </row>
    <row r="13" spans="1:15" s="35" customFormat="1" ht="32">
      <c r="A13" s="55" t="s">
        <v>240</v>
      </c>
      <c r="B13" s="55"/>
      <c r="C13" s="55" t="s">
        <v>241</v>
      </c>
      <c r="D13" s="55" t="s">
        <v>229</v>
      </c>
      <c r="E13" s="125"/>
      <c r="F13" s="143">
        <v>118456</v>
      </c>
      <c r="G13" s="55" t="s">
        <v>230</v>
      </c>
      <c r="H13" s="55" t="s">
        <v>237</v>
      </c>
      <c r="I13" s="55" t="s">
        <v>232</v>
      </c>
      <c r="J13" s="35">
        <v>0</v>
      </c>
      <c r="L13" s="35">
        <v>1</v>
      </c>
      <c r="M13" s="144"/>
    </row>
    <row r="14" spans="1:15" s="35" customFormat="1" ht="32">
      <c r="A14" s="55" t="s">
        <v>240</v>
      </c>
      <c r="B14" s="55"/>
      <c r="C14" s="55" t="s">
        <v>242</v>
      </c>
      <c r="D14" s="55" t="s">
        <v>229</v>
      </c>
      <c r="E14" s="125"/>
      <c r="F14" s="143">
        <v>5890</v>
      </c>
      <c r="G14" s="55" t="s">
        <v>230</v>
      </c>
      <c r="H14" s="55" t="s">
        <v>237</v>
      </c>
      <c r="I14" s="55" t="s">
        <v>232</v>
      </c>
      <c r="J14" s="35">
        <v>0</v>
      </c>
      <c r="L14" s="35">
        <v>1</v>
      </c>
      <c r="M14" s="144"/>
    </row>
    <row r="15" spans="1:15" s="35" customFormat="1" ht="32">
      <c r="A15" s="55" t="s">
        <v>240</v>
      </c>
      <c r="B15" s="55"/>
      <c r="C15" s="55" t="s">
        <v>243</v>
      </c>
      <c r="D15" s="55" t="s">
        <v>229</v>
      </c>
      <c r="E15" s="125"/>
      <c r="F15" s="143">
        <v>114000</v>
      </c>
      <c r="G15" s="55" t="s">
        <v>230</v>
      </c>
      <c r="H15" s="55" t="s">
        <v>237</v>
      </c>
      <c r="I15" s="55" t="s">
        <v>232</v>
      </c>
      <c r="J15" s="35">
        <v>0</v>
      </c>
      <c r="L15" s="35">
        <v>1</v>
      </c>
      <c r="M15" s="144"/>
    </row>
    <row r="16" spans="1:15" s="35" customFormat="1" ht="32">
      <c r="A16" s="55" t="s">
        <v>240</v>
      </c>
      <c r="B16" s="55"/>
      <c r="C16" s="55" t="s">
        <v>244</v>
      </c>
      <c r="D16" s="55" t="s">
        <v>229</v>
      </c>
      <c r="E16" s="125"/>
      <c r="F16" s="143">
        <v>1190</v>
      </c>
      <c r="G16" s="55" t="s">
        <v>230</v>
      </c>
      <c r="H16" s="55" t="s">
        <v>237</v>
      </c>
      <c r="I16" s="55" t="s">
        <v>232</v>
      </c>
      <c r="J16" s="35">
        <v>0</v>
      </c>
      <c r="L16" s="35">
        <v>1</v>
      </c>
      <c r="M16" s="144"/>
    </row>
    <row r="17" spans="1:13" s="35" customFormat="1" ht="32">
      <c r="A17" s="55" t="s">
        <v>240</v>
      </c>
      <c r="B17" s="55"/>
      <c r="C17" s="55" t="s">
        <v>245</v>
      </c>
      <c r="D17" s="55" t="s">
        <v>229</v>
      </c>
      <c r="E17" s="125"/>
      <c r="F17" s="143">
        <v>6460</v>
      </c>
      <c r="G17" s="55" t="s">
        <v>230</v>
      </c>
      <c r="H17" s="55" t="s">
        <v>237</v>
      </c>
      <c r="I17" s="55" t="s">
        <v>232</v>
      </c>
      <c r="J17" s="35">
        <v>0</v>
      </c>
      <c r="L17" s="35">
        <v>1</v>
      </c>
      <c r="M17" s="144"/>
    </row>
    <row r="18" spans="1:13" s="35" customFormat="1" ht="32">
      <c r="A18" s="55" t="s">
        <v>61</v>
      </c>
      <c r="B18" s="55"/>
      <c r="C18" s="55" t="s">
        <v>246</v>
      </c>
      <c r="D18" s="55" t="s">
        <v>229</v>
      </c>
      <c r="E18" s="125"/>
      <c r="F18" s="143">
        <v>4</v>
      </c>
      <c r="G18" s="55" t="s">
        <v>230</v>
      </c>
      <c r="H18" s="55" t="s">
        <v>231</v>
      </c>
      <c r="I18" s="55" t="s">
        <v>232</v>
      </c>
      <c r="J18" s="35">
        <v>0</v>
      </c>
      <c r="L18" s="35">
        <v>1</v>
      </c>
      <c r="M18" s="144"/>
    </row>
    <row r="19" spans="1:13" s="35" customFormat="1" ht="32">
      <c r="A19" s="55" t="s">
        <v>61</v>
      </c>
      <c r="B19" s="55"/>
      <c r="C19" s="55" t="s">
        <v>247</v>
      </c>
      <c r="D19" s="55" t="s">
        <v>229</v>
      </c>
      <c r="E19" s="125"/>
      <c r="F19" s="143">
        <v>220</v>
      </c>
      <c r="G19" s="55" t="s">
        <v>230</v>
      </c>
      <c r="H19" s="55" t="s">
        <v>231</v>
      </c>
      <c r="I19" s="55" t="s">
        <v>232</v>
      </c>
      <c r="J19" s="35">
        <v>0</v>
      </c>
      <c r="L19" s="35">
        <v>1</v>
      </c>
      <c r="M19" s="144"/>
    </row>
    <row r="20" spans="1:13" s="35" customFormat="1" ht="32">
      <c r="A20" s="55" t="s">
        <v>61</v>
      </c>
      <c r="B20" s="55"/>
      <c r="C20" s="55" t="s">
        <v>248</v>
      </c>
      <c r="D20" s="55" t="s">
        <v>229</v>
      </c>
      <c r="E20" s="125"/>
      <c r="F20" s="143">
        <v>10</v>
      </c>
      <c r="G20" s="55" t="s">
        <v>230</v>
      </c>
      <c r="H20" s="55" t="s">
        <v>231</v>
      </c>
      <c r="I20" s="55" t="s">
        <v>232</v>
      </c>
      <c r="J20" s="35">
        <v>0</v>
      </c>
      <c r="L20" s="35">
        <v>1</v>
      </c>
      <c r="M20" s="144"/>
    </row>
    <row r="21" spans="1:13" s="35" customFormat="1" ht="32">
      <c r="A21" s="55" t="s">
        <v>61</v>
      </c>
      <c r="B21" s="55"/>
      <c r="C21" s="55" t="s">
        <v>249</v>
      </c>
      <c r="D21" s="55" t="s">
        <v>229</v>
      </c>
      <c r="E21" s="125"/>
      <c r="F21" s="143">
        <v>270</v>
      </c>
      <c r="G21" s="55" t="s">
        <v>230</v>
      </c>
      <c r="H21" s="55" t="s">
        <v>231</v>
      </c>
      <c r="I21" s="55" t="s">
        <v>232</v>
      </c>
      <c r="J21" s="35">
        <v>0</v>
      </c>
      <c r="L21" s="35">
        <v>1</v>
      </c>
      <c r="M21" s="144"/>
    </row>
    <row r="22" spans="1:13" s="35" customFormat="1" ht="64">
      <c r="A22" s="55" t="s">
        <v>250</v>
      </c>
      <c r="B22" s="55"/>
      <c r="C22" s="55" t="s">
        <v>251</v>
      </c>
      <c r="D22" s="55" t="s">
        <v>229</v>
      </c>
      <c r="E22" s="125"/>
      <c r="F22" s="143">
        <v>10</v>
      </c>
      <c r="G22" s="55" t="s">
        <v>230</v>
      </c>
      <c r="H22" s="55" t="s">
        <v>231</v>
      </c>
      <c r="I22" s="55" t="s">
        <v>232</v>
      </c>
      <c r="J22" s="35">
        <v>0</v>
      </c>
      <c r="L22" s="35">
        <v>1</v>
      </c>
      <c r="M22" s="144"/>
    </row>
    <row r="23" spans="1:13" s="35" customFormat="1" ht="32">
      <c r="A23" s="55" t="s">
        <v>250</v>
      </c>
      <c r="B23" s="55"/>
      <c r="C23" s="55" t="s">
        <v>252</v>
      </c>
      <c r="D23" s="55" t="s">
        <v>229</v>
      </c>
      <c r="E23" s="125"/>
      <c r="F23" s="143">
        <v>20</v>
      </c>
      <c r="G23" s="55" t="s">
        <v>230</v>
      </c>
      <c r="H23" s="55" t="s">
        <v>231</v>
      </c>
      <c r="I23" s="55" t="s">
        <v>232</v>
      </c>
      <c r="J23" s="35">
        <v>0</v>
      </c>
      <c r="L23" s="35">
        <v>1</v>
      </c>
      <c r="M23" s="144"/>
    </row>
    <row r="24" spans="1:13" s="35" customFormat="1" ht="32">
      <c r="A24" s="55" t="s">
        <v>250</v>
      </c>
      <c r="B24" s="55"/>
      <c r="C24" s="55" t="s">
        <v>253</v>
      </c>
      <c r="D24" s="55" t="s">
        <v>229</v>
      </c>
      <c r="E24" s="125"/>
      <c r="F24" s="143">
        <v>4</v>
      </c>
      <c r="G24" s="55" t="s">
        <v>230</v>
      </c>
      <c r="H24" s="55" t="s">
        <v>231</v>
      </c>
      <c r="I24" s="55" t="s">
        <v>232</v>
      </c>
      <c r="J24" s="35">
        <v>0</v>
      </c>
      <c r="L24" s="35">
        <v>1</v>
      </c>
      <c r="M24" s="144"/>
    </row>
    <row r="25" spans="1:13" s="35" customFormat="1" ht="32">
      <c r="A25" s="55" t="s">
        <v>250</v>
      </c>
      <c r="B25" s="55"/>
      <c r="C25" s="55" t="s">
        <v>254</v>
      </c>
      <c r="D25" s="55" t="s">
        <v>229</v>
      </c>
      <c r="E25" s="125"/>
      <c r="F25" s="143">
        <v>3</v>
      </c>
      <c r="G25" s="55" t="s">
        <v>230</v>
      </c>
      <c r="H25" s="55" t="s">
        <v>231</v>
      </c>
      <c r="I25" s="55" t="s">
        <v>232</v>
      </c>
      <c r="J25" s="35">
        <v>0</v>
      </c>
      <c r="L25" s="35">
        <v>1</v>
      </c>
      <c r="M25" s="144"/>
    </row>
    <row r="26" spans="1:13" s="35" customFormat="1" ht="32">
      <c r="A26" s="55" t="s">
        <v>250</v>
      </c>
      <c r="B26" s="55"/>
      <c r="C26" s="55" t="s">
        <v>255</v>
      </c>
      <c r="D26" s="55" t="s">
        <v>229</v>
      </c>
      <c r="E26" s="125"/>
      <c r="F26" s="143">
        <v>20</v>
      </c>
      <c r="G26" s="55" t="s">
        <v>230</v>
      </c>
      <c r="H26" s="55" t="s">
        <v>231</v>
      </c>
      <c r="I26" s="55" t="s">
        <v>232</v>
      </c>
      <c r="J26" s="35">
        <v>0</v>
      </c>
      <c r="L26" s="35">
        <v>1</v>
      </c>
      <c r="M26" s="144"/>
    </row>
    <row r="27" spans="1:13" s="35" customFormat="1" ht="32">
      <c r="A27" s="55" t="s">
        <v>250</v>
      </c>
      <c r="B27" s="55"/>
      <c r="C27" s="55" t="s">
        <v>256</v>
      </c>
      <c r="D27" s="55" t="s">
        <v>229</v>
      </c>
      <c r="E27" s="125"/>
      <c r="F27" s="143">
        <v>4</v>
      </c>
      <c r="G27" s="55" t="s">
        <v>230</v>
      </c>
      <c r="H27" s="55" t="s">
        <v>231</v>
      </c>
      <c r="I27" s="55" t="s">
        <v>232</v>
      </c>
      <c r="J27" s="35">
        <v>0</v>
      </c>
      <c r="L27" s="35">
        <v>1</v>
      </c>
      <c r="M27" s="144"/>
    </row>
    <row r="28" spans="1:13" s="35" customFormat="1" ht="32">
      <c r="A28" s="55" t="s">
        <v>250</v>
      </c>
      <c r="B28" s="55"/>
      <c r="C28" s="55" t="s">
        <v>257</v>
      </c>
      <c r="D28" s="55" t="s">
        <v>229</v>
      </c>
      <c r="E28" s="125"/>
      <c r="F28" s="143">
        <v>4</v>
      </c>
      <c r="G28" s="55" t="s">
        <v>230</v>
      </c>
      <c r="H28" s="55" t="s">
        <v>231</v>
      </c>
      <c r="I28" s="55" t="s">
        <v>232</v>
      </c>
      <c r="J28" s="35">
        <v>0</v>
      </c>
      <c r="L28" s="35">
        <v>1</v>
      </c>
      <c r="M28" s="144"/>
    </row>
    <row r="29" spans="1:13" s="35" customFormat="1" ht="32">
      <c r="A29" s="55" t="s">
        <v>258</v>
      </c>
      <c r="B29" s="55"/>
      <c r="C29" s="55" t="s">
        <v>259</v>
      </c>
      <c r="D29" s="55" t="s">
        <v>229</v>
      </c>
      <c r="E29" s="125"/>
      <c r="F29" s="143">
        <v>2999</v>
      </c>
      <c r="G29" s="55" t="s">
        <v>230</v>
      </c>
      <c r="H29" s="55" t="s">
        <v>237</v>
      </c>
      <c r="I29" s="55" t="s">
        <v>232</v>
      </c>
      <c r="J29" s="35">
        <v>0</v>
      </c>
      <c r="K29" s="58"/>
      <c r="L29" s="35">
        <v>1</v>
      </c>
      <c r="M29" s="144"/>
    </row>
    <row r="30" spans="1:13" s="35" customFormat="1" ht="32">
      <c r="A30" s="55" t="s">
        <v>258</v>
      </c>
      <c r="B30" s="55"/>
      <c r="C30" s="55" t="s">
        <v>260</v>
      </c>
      <c r="D30" s="55" t="s">
        <v>229</v>
      </c>
      <c r="E30" s="125"/>
      <c r="F30" s="143">
        <v>10003</v>
      </c>
      <c r="G30" s="55" t="s">
        <v>230</v>
      </c>
      <c r="H30" s="55" t="s">
        <v>237</v>
      </c>
      <c r="I30" s="55" t="s">
        <v>232</v>
      </c>
      <c r="J30" s="35">
        <v>0</v>
      </c>
      <c r="L30" s="35">
        <v>1</v>
      </c>
      <c r="M30" s="144"/>
    </row>
    <row r="31" spans="1:13" s="35" customFormat="1" ht="32">
      <c r="A31" s="55" t="s">
        <v>205</v>
      </c>
      <c r="B31" s="55"/>
      <c r="C31" s="143" t="s">
        <v>261</v>
      </c>
      <c r="D31" s="55" t="s">
        <v>262</v>
      </c>
      <c r="E31" s="55"/>
      <c r="F31" s="143">
        <v>12.76110863899307</v>
      </c>
      <c r="G31" s="55" t="s">
        <v>230</v>
      </c>
      <c r="H31" s="55"/>
      <c r="I31" s="55" t="s">
        <v>205</v>
      </c>
      <c r="J31" s="35">
        <v>0</v>
      </c>
      <c r="L31" s="35">
        <v>1</v>
      </c>
      <c r="M31" s="144"/>
    </row>
    <row r="32" spans="1:13" s="35" customFormat="1" ht="32">
      <c r="A32" s="55" t="s">
        <v>205</v>
      </c>
      <c r="B32" s="55"/>
      <c r="C32" s="143" t="s">
        <v>263</v>
      </c>
      <c r="D32" s="55" t="s">
        <v>262</v>
      </c>
      <c r="E32" s="55"/>
      <c r="F32" s="143">
        <v>4.8523297946729391</v>
      </c>
      <c r="G32" s="55" t="s">
        <v>230</v>
      </c>
      <c r="H32" s="55"/>
      <c r="I32" s="55" t="s">
        <v>205</v>
      </c>
      <c r="J32" s="35">
        <v>0</v>
      </c>
      <c r="L32" s="35">
        <v>1</v>
      </c>
      <c r="M32" s="144"/>
    </row>
    <row r="33" spans="1:13" s="35" customFormat="1" ht="32">
      <c r="A33" s="55" t="s">
        <v>205</v>
      </c>
      <c r="B33" s="55"/>
      <c r="C33" s="143" t="s">
        <v>264</v>
      </c>
      <c r="D33" s="55" t="s">
        <v>262</v>
      </c>
      <c r="E33" s="55"/>
      <c r="F33" s="143">
        <v>7.1896255800648401E-2</v>
      </c>
      <c r="G33" s="55" t="s">
        <v>230</v>
      </c>
      <c r="H33" s="55"/>
      <c r="I33" s="55" t="s">
        <v>205</v>
      </c>
      <c r="J33" s="35">
        <v>0</v>
      </c>
      <c r="L33" s="35">
        <v>1</v>
      </c>
      <c r="M33" s="144"/>
    </row>
    <row r="34" spans="1:13" s="35" customFormat="1" ht="32">
      <c r="A34" s="55" t="s">
        <v>205</v>
      </c>
      <c r="B34" s="55"/>
      <c r="C34" s="143" t="s">
        <v>265</v>
      </c>
      <c r="D34" s="55" t="s">
        <v>262</v>
      </c>
      <c r="E34" s="55"/>
      <c r="F34" s="143">
        <v>0.60790795245057527</v>
      </c>
      <c r="G34" s="55" t="s">
        <v>230</v>
      </c>
      <c r="H34" s="55"/>
      <c r="I34" s="55" t="s">
        <v>205</v>
      </c>
      <c r="J34" s="35">
        <v>0</v>
      </c>
      <c r="L34" s="35">
        <v>1</v>
      </c>
      <c r="M34" s="144"/>
    </row>
    <row r="35" spans="1:13" s="35" customFormat="1" ht="48">
      <c r="A35" s="55" t="s">
        <v>205</v>
      </c>
      <c r="B35" s="55"/>
      <c r="C35" s="143" t="s">
        <v>266</v>
      </c>
      <c r="D35" s="55" t="s">
        <v>262</v>
      </c>
      <c r="E35" s="55"/>
      <c r="F35" s="143">
        <v>1.2157523361515479</v>
      </c>
      <c r="G35" s="55" t="s">
        <v>230</v>
      </c>
      <c r="H35" s="55"/>
      <c r="I35" s="55" t="s">
        <v>205</v>
      </c>
      <c r="J35" s="35">
        <v>0</v>
      </c>
      <c r="L35" s="35">
        <v>1</v>
      </c>
      <c r="M35" s="144"/>
    </row>
    <row r="36" spans="1:13" s="35" customFormat="1" ht="32">
      <c r="A36" s="55" t="s">
        <v>205</v>
      </c>
      <c r="B36" s="55"/>
      <c r="C36" s="143" t="s">
        <v>267</v>
      </c>
      <c r="D36" s="55" t="s">
        <v>262</v>
      </c>
      <c r="E36" s="55"/>
      <c r="F36" s="143">
        <v>1.1694742864407857</v>
      </c>
      <c r="G36" s="55" t="s">
        <v>230</v>
      </c>
      <c r="H36" s="55"/>
      <c r="I36" s="55" t="s">
        <v>205</v>
      </c>
      <c r="J36" s="35">
        <v>0</v>
      </c>
      <c r="L36" s="35">
        <v>1</v>
      </c>
      <c r="M36" s="144"/>
    </row>
    <row r="37" spans="1:13" s="35" customFormat="1" ht="32">
      <c r="A37" s="55" t="s">
        <v>205</v>
      </c>
      <c r="B37" s="55"/>
      <c r="C37" s="143" t="s">
        <v>268</v>
      </c>
      <c r="D37" s="55" t="s">
        <v>262</v>
      </c>
      <c r="E37" s="55"/>
      <c r="F37" s="143">
        <v>12.72735363295404</v>
      </c>
      <c r="G37" s="55" t="s">
        <v>230</v>
      </c>
      <c r="H37" s="55"/>
      <c r="I37" s="55" t="s">
        <v>205</v>
      </c>
      <c r="J37" s="35">
        <v>0</v>
      </c>
      <c r="L37" s="35">
        <v>1</v>
      </c>
      <c r="M37" s="144"/>
    </row>
    <row r="38" spans="1:13" s="35" customFormat="1" ht="32">
      <c r="A38" s="55" t="s">
        <v>205</v>
      </c>
      <c r="B38" s="55"/>
      <c r="C38" s="143" t="s">
        <v>269</v>
      </c>
      <c r="D38" s="55" t="s">
        <v>262</v>
      </c>
      <c r="E38" s="55"/>
      <c r="F38" s="143">
        <v>13.909350963066556</v>
      </c>
      <c r="G38" s="55" t="s">
        <v>230</v>
      </c>
      <c r="H38" s="55"/>
      <c r="I38" s="55" t="s">
        <v>205</v>
      </c>
      <c r="J38" s="35">
        <v>0</v>
      </c>
      <c r="L38" s="35">
        <v>1</v>
      </c>
      <c r="M38" s="144"/>
    </row>
    <row r="39" spans="1:13" s="35" customFormat="1" ht="32">
      <c r="A39" s="55" t="s">
        <v>205</v>
      </c>
      <c r="B39" s="55"/>
      <c r="C39" s="143" t="s">
        <v>270</v>
      </c>
      <c r="D39" s="55" t="s">
        <v>262</v>
      </c>
      <c r="E39" s="55"/>
      <c r="F39" s="143">
        <v>7.1160765367745213</v>
      </c>
      <c r="G39" s="55" t="s">
        <v>230</v>
      </c>
      <c r="H39" s="55"/>
      <c r="I39" s="55" t="s">
        <v>205</v>
      </c>
      <c r="J39" s="35">
        <v>0</v>
      </c>
      <c r="L39" s="35">
        <v>1</v>
      </c>
      <c r="M39" s="144"/>
    </row>
    <row r="40" spans="1:13" s="35" customFormat="1" ht="32">
      <c r="A40" s="55" t="s">
        <v>205</v>
      </c>
      <c r="B40" s="55"/>
      <c r="C40" s="143" t="s">
        <v>271</v>
      </c>
      <c r="D40" s="55" t="s">
        <v>262</v>
      </c>
      <c r="E40" s="55"/>
      <c r="F40" s="143">
        <v>7.8199097323755637</v>
      </c>
      <c r="G40" s="55" t="s">
        <v>230</v>
      </c>
      <c r="H40" s="55"/>
      <c r="I40" s="55" t="s">
        <v>205</v>
      </c>
      <c r="J40" s="35">
        <v>0</v>
      </c>
      <c r="L40" s="35">
        <v>1</v>
      </c>
      <c r="M40" s="144"/>
    </row>
    <row r="41" spans="1:13" s="35" customFormat="1" ht="32">
      <c r="A41" s="55" t="s">
        <v>205</v>
      </c>
      <c r="B41" s="55"/>
      <c r="C41" s="143" t="s">
        <v>272</v>
      </c>
      <c r="D41" s="55" t="s">
        <v>262</v>
      </c>
      <c r="E41" s="55"/>
      <c r="F41" s="143">
        <v>8.7272264954548344</v>
      </c>
      <c r="G41" s="55" t="s">
        <v>230</v>
      </c>
      <c r="H41" s="55"/>
      <c r="I41" s="55" t="s">
        <v>205</v>
      </c>
      <c r="J41" s="35">
        <v>0</v>
      </c>
      <c r="L41" s="35">
        <v>1</v>
      </c>
      <c r="M41" s="144"/>
    </row>
    <row r="42" spans="1:13" s="35" customFormat="1" ht="32">
      <c r="A42" s="55" t="s">
        <v>205</v>
      </c>
      <c r="B42" s="55"/>
      <c r="C42" s="143" t="s">
        <v>273</v>
      </c>
      <c r="D42" s="55" t="s">
        <v>262</v>
      </c>
      <c r="E42" s="55"/>
      <c r="F42" s="143">
        <v>114.20608988621194</v>
      </c>
      <c r="G42" s="55" t="s">
        <v>230</v>
      </c>
      <c r="H42" s="55"/>
      <c r="I42" s="55" t="s">
        <v>205</v>
      </c>
      <c r="J42" s="35">
        <v>0</v>
      </c>
      <c r="L42" s="35">
        <v>1</v>
      </c>
      <c r="M42" s="144"/>
    </row>
    <row r="43" spans="1:13" s="35" customFormat="1" ht="32">
      <c r="A43" s="55" t="s">
        <v>205</v>
      </c>
      <c r="B43" s="55"/>
      <c r="C43" s="143" t="s">
        <v>274</v>
      </c>
      <c r="D43" s="55" t="s">
        <v>262</v>
      </c>
      <c r="E43" s="55"/>
      <c r="F43" s="143">
        <v>3.4373529972665438</v>
      </c>
      <c r="G43" s="55" t="s">
        <v>230</v>
      </c>
      <c r="H43" s="55"/>
      <c r="I43" s="55" t="s">
        <v>205</v>
      </c>
      <c r="J43" s="35">
        <v>0</v>
      </c>
      <c r="L43" s="35">
        <v>1</v>
      </c>
      <c r="M43" s="144"/>
    </row>
    <row r="44" spans="1:13" s="35" customFormat="1" ht="32">
      <c r="A44" s="55" t="s">
        <v>205</v>
      </c>
      <c r="B44" s="55"/>
      <c r="C44" s="143" t="s">
        <v>275</v>
      </c>
      <c r="D44" s="55" t="s">
        <v>262</v>
      </c>
      <c r="E44" s="55"/>
      <c r="F44" s="143">
        <v>1.3714957726781514</v>
      </c>
      <c r="G44" s="55" t="s">
        <v>230</v>
      </c>
      <c r="H44" s="55"/>
      <c r="I44" s="55" t="s">
        <v>205</v>
      </c>
      <c r="J44" s="35">
        <v>0</v>
      </c>
      <c r="L44" s="35">
        <v>1</v>
      </c>
      <c r="M44" s="144"/>
    </row>
    <row r="45" spans="1:13" s="35" customFormat="1" ht="32">
      <c r="A45" s="55" t="s">
        <v>205</v>
      </c>
      <c r="B45" s="55"/>
      <c r="C45" s="143" t="s">
        <v>276</v>
      </c>
      <c r="D45" s="55" t="s">
        <v>262</v>
      </c>
      <c r="E45" s="55"/>
      <c r="F45" s="143">
        <v>1.5256499904646876E-2</v>
      </c>
      <c r="G45" s="55" t="s">
        <v>230</v>
      </c>
      <c r="H45" s="55"/>
      <c r="I45" s="55" t="s">
        <v>205</v>
      </c>
      <c r="J45" s="35">
        <v>0</v>
      </c>
      <c r="L45" s="35">
        <v>1</v>
      </c>
      <c r="M45" s="144"/>
    </row>
    <row r="46" spans="1:13" s="35" customFormat="1" ht="32">
      <c r="A46" s="55" t="s">
        <v>205</v>
      </c>
      <c r="B46" s="55"/>
      <c r="C46" s="143" t="s">
        <v>277</v>
      </c>
      <c r="D46" s="55" t="s">
        <v>262</v>
      </c>
      <c r="E46" s="55"/>
      <c r="F46" s="143">
        <v>2.097196618142521</v>
      </c>
      <c r="G46" s="55" t="s">
        <v>230</v>
      </c>
      <c r="H46" s="55"/>
      <c r="I46" s="55" t="s">
        <v>205</v>
      </c>
      <c r="J46" s="35">
        <v>0</v>
      </c>
      <c r="L46" s="35">
        <v>1</v>
      </c>
      <c r="M46" s="144"/>
    </row>
    <row r="47" spans="1:13" s="35" customFormat="1" ht="32">
      <c r="A47" s="55" t="s">
        <v>205</v>
      </c>
      <c r="B47" s="55"/>
      <c r="C47" s="143" t="s">
        <v>278</v>
      </c>
      <c r="D47" s="55" t="s">
        <v>262</v>
      </c>
      <c r="E47" s="55"/>
      <c r="F47" s="143">
        <v>4.9710762189307735E-2</v>
      </c>
      <c r="G47" s="55" t="s">
        <v>230</v>
      </c>
      <c r="H47" s="55"/>
      <c r="I47" s="55" t="s">
        <v>205</v>
      </c>
      <c r="J47" s="35">
        <v>0</v>
      </c>
      <c r="L47" s="35">
        <v>1</v>
      </c>
      <c r="M47" s="144"/>
    </row>
    <row r="48" spans="1:13" s="35" customFormat="1" ht="32">
      <c r="A48" s="55" t="s">
        <v>205</v>
      </c>
      <c r="B48" s="55"/>
      <c r="C48" s="143" t="s">
        <v>279</v>
      </c>
      <c r="D48" s="55" t="s">
        <v>262</v>
      </c>
      <c r="E48" s="55"/>
      <c r="F48" s="143">
        <v>2.1130252367935922</v>
      </c>
      <c r="G48" s="55" t="s">
        <v>230</v>
      </c>
      <c r="H48" s="55"/>
      <c r="I48" s="55" t="s">
        <v>205</v>
      </c>
      <c r="J48" s="35">
        <v>0</v>
      </c>
      <c r="L48" s="35">
        <v>1</v>
      </c>
      <c r="M48" s="144"/>
    </row>
    <row r="49" spans="1:13" s="35" customFormat="1" ht="32">
      <c r="A49" s="55" t="s">
        <v>205</v>
      </c>
      <c r="B49" s="55"/>
      <c r="C49" s="143" t="s">
        <v>280</v>
      </c>
      <c r="D49" s="55" t="s">
        <v>262</v>
      </c>
      <c r="E49" s="55"/>
      <c r="F49" s="143">
        <v>3.7251287267179453E-2</v>
      </c>
      <c r="G49" s="55" t="s">
        <v>230</v>
      </c>
      <c r="H49" s="55"/>
      <c r="I49" s="55" t="s">
        <v>205</v>
      </c>
      <c r="J49" s="35">
        <v>0</v>
      </c>
      <c r="L49" s="35">
        <v>1</v>
      </c>
      <c r="M49" s="144"/>
    </row>
    <row r="50" spans="1:13" s="35" customFormat="1" ht="32">
      <c r="A50" s="55" t="s">
        <v>205</v>
      </c>
      <c r="B50" s="55"/>
      <c r="C50" s="143" t="s">
        <v>281</v>
      </c>
      <c r="D50" s="55" t="s">
        <v>262</v>
      </c>
      <c r="E50" s="55"/>
      <c r="F50" s="143">
        <v>6.277096179518149</v>
      </c>
      <c r="G50" s="55" t="s">
        <v>230</v>
      </c>
      <c r="H50" s="55"/>
      <c r="I50" s="55" t="s">
        <v>205</v>
      </c>
      <c r="J50" s="35">
        <v>0</v>
      </c>
      <c r="L50" s="35">
        <v>1</v>
      </c>
      <c r="M50" s="144"/>
    </row>
    <row r="51" spans="1:13" s="35" customFormat="1" ht="32">
      <c r="A51" s="55" t="s">
        <v>205</v>
      </c>
      <c r="B51" s="55"/>
      <c r="C51" s="143" t="s">
        <v>282</v>
      </c>
      <c r="D51" s="55" t="s">
        <v>262</v>
      </c>
      <c r="E51" s="55"/>
      <c r="F51" s="143">
        <v>162.40321657872988</v>
      </c>
      <c r="G51" s="55" t="s">
        <v>230</v>
      </c>
      <c r="H51" s="55"/>
      <c r="I51" s="55" t="s">
        <v>205</v>
      </c>
      <c r="J51" s="35">
        <v>0</v>
      </c>
      <c r="L51" s="35">
        <v>1</v>
      </c>
      <c r="M51" s="144"/>
    </row>
    <row r="52" spans="1:13" s="35" customFormat="1" ht="32">
      <c r="A52" s="55" t="s">
        <v>205</v>
      </c>
      <c r="B52" s="55"/>
      <c r="C52" s="143" t="s">
        <v>283</v>
      </c>
      <c r="D52" s="55" t="s">
        <v>262</v>
      </c>
      <c r="E52" s="55"/>
      <c r="F52" s="143">
        <v>0.44498124721886723</v>
      </c>
      <c r="G52" s="55" t="s">
        <v>230</v>
      </c>
      <c r="H52" s="55"/>
      <c r="I52" s="55" t="s">
        <v>205</v>
      </c>
      <c r="J52" s="35">
        <v>0</v>
      </c>
      <c r="L52" s="35">
        <v>1</v>
      </c>
      <c r="M52" s="144"/>
    </row>
    <row r="53" spans="1:13" s="35" customFormat="1" ht="32">
      <c r="A53" s="55" t="s">
        <v>205</v>
      </c>
      <c r="B53" s="55"/>
      <c r="C53" s="143" t="s">
        <v>284</v>
      </c>
      <c r="D53" s="55" t="s">
        <v>262</v>
      </c>
      <c r="E53" s="55"/>
      <c r="F53" s="143">
        <v>1.8625643633589727E-2</v>
      </c>
      <c r="G53" s="55" t="s">
        <v>230</v>
      </c>
      <c r="H53" s="55"/>
      <c r="I53" s="55" t="s">
        <v>205</v>
      </c>
      <c r="J53" s="35">
        <v>0</v>
      </c>
      <c r="L53" s="35">
        <v>1</v>
      </c>
      <c r="M53" s="144"/>
    </row>
    <row r="54" spans="1:13" s="35" customFormat="1" ht="32">
      <c r="A54" s="55" t="s">
        <v>205</v>
      </c>
      <c r="B54" s="55"/>
      <c r="C54" s="143" t="s">
        <v>285</v>
      </c>
      <c r="D54" s="55" t="s">
        <v>262</v>
      </c>
      <c r="E54" s="55"/>
      <c r="F54" s="143">
        <v>10.312058991799631</v>
      </c>
      <c r="G54" s="55" t="s">
        <v>230</v>
      </c>
      <c r="H54" s="55"/>
      <c r="I54" s="55" t="s">
        <v>205</v>
      </c>
      <c r="J54" s="35">
        <v>0</v>
      </c>
      <c r="K54" s="35">
        <v>1</v>
      </c>
      <c r="L54" s="35">
        <v>1</v>
      </c>
      <c r="M54" s="144"/>
    </row>
    <row r="55" spans="1:13" s="35" customFormat="1" ht="32">
      <c r="A55" s="55" t="s">
        <v>205</v>
      </c>
      <c r="B55" s="55"/>
      <c r="C55" s="143" t="s">
        <v>286</v>
      </c>
      <c r="D55" s="55" t="s">
        <v>262</v>
      </c>
      <c r="E55" s="55"/>
      <c r="F55" s="143">
        <v>1.9890026063187336</v>
      </c>
      <c r="G55" s="55" t="s">
        <v>230</v>
      </c>
      <c r="H55" s="55"/>
      <c r="I55" s="55" t="s">
        <v>205</v>
      </c>
      <c r="J55" s="35">
        <v>0</v>
      </c>
      <c r="K55" s="35">
        <v>1</v>
      </c>
      <c r="L55" s="35">
        <v>1</v>
      </c>
      <c r="M55" s="144"/>
    </row>
    <row r="56" spans="1:13" s="35" customFormat="1" ht="32">
      <c r="A56" s="55" t="s">
        <v>205</v>
      </c>
      <c r="B56" s="55"/>
      <c r="C56" s="143" t="s">
        <v>1610</v>
      </c>
      <c r="D56" s="55" t="s">
        <v>262</v>
      </c>
      <c r="E56" s="55"/>
      <c r="F56" s="143">
        <v>4.1190642680058485</v>
      </c>
      <c r="G56" s="55" t="s">
        <v>230</v>
      </c>
      <c r="H56" s="55"/>
      <c r="I56" s="55" t="s">
        <v>205</v>
      </c>
      <c r="J56" s="35">
        <v>0</v>
      </c>
      <c r="K56" s="35">
        <v>1</v>
      </c>
      <c r="L56" s="35">
        <v>1</v>
      </c>
      <c r="M56" s="144"/>
    </row>
    <row r="57" spans="1:13" s="35" customFormat="1" ht="32">
      <c r="A57" s="55" t="s">
        <v>205</v>
      </c>
      <c r="B57" s="55"/>
      <c r="C57" s="143" t="s">
        <v>1611</v>
      </c>
      <c r="D57" s="55" t="s">
        <v>262</v>
      </c>
      <c r="E57" s="55"/>
      <c r="F57" s="143">
        <v>146.68673320195791</v>
      </c>
      <c r="G57" s="55" t="s">
        <v>230</v>
      </c>
      <c r="H57" s="55"/>
      <c r="I57" s="55" t="s">
        <v>205</v>
      </c>
      <c r="J57" s="35">
        <v>0</v>
      </c>
      <c r="K57" s="35">
        <v>1</v>
      </c>
      <c r="L57" s="35">
        <v>1</v>
      </c>
      <c r="M57" s="144"/>
    </row>
    <row r="58" spans="1:13" s="35" customFormat="1" ht="32">
      <c r="A58" s="55" t="s">
        <v>205</v>
      </c>
      <c r="B58" s="55"/>
      <c r="C58" s="143" t="s">
        <v>1612</v>
      </c>
      <c r="D58" s="55" t="s">
        <v>262</v>
      </c>
      <c r="E58" s="55"/>
      <c r="F58" s="143">
        <v>15.385417328841141</v>
      </c>
      <c r="G58" s="55" t="s">
        <v>230</v>
      </c>
      <c r="H58" s="55"/>
      <c r="I58" s="55" t="s">
        <v>205</v>
      </c>
      <c r="J58" s="35">
        <v>0</v>
      </c>
      <c r="K58" s="35">
        <v>1</v>
      </c>
      <c r="L58" s="35">
        <v>1</v>
      </c>
      <c r="M58" s="144"/>
    </row>
    <row r="59" spans="1:13" s="35" customFormat="1" ht="32">
      <c r="A59" s="55" t="s">
        <v>205</v>
      </c>
      <c r="B59" s="55"/>
      <c r="C59" s="143" t="s">
        <v>1613</v>
      </c>
      <c r="D59" s="55" t="s">
        <v>262</v>
      </c>
      <c r="E59" s="55"/>
      <c r="F59" s="143">
        <v>5.6297756023139023</v>
      </c>
      <c r="G59" s="55" t="s">
        <v>230</v>
      </c>
      <c r="H59" s="55"/>
      <c r="I59" s="55" t="s">
        <v>205</v>
      </c>
      <c r="J59" s="35">
        <v>0</v>
      </c>
      <c r="K59" s="35">
        <v>1</v>
      </c>
      <c r="L59" s="35">
        <v>1</v>
      </c>
      <c r="M59" s="144"/>
    </row>
    <row r="60" spans="1:13" s="35" customFormat="1" ht="32">
      <c r="A60" s="55" t="s">
        <v>205</v>
      </c>
      <c r="B60" s="55"/>
      <c r="C60" s="143" t="s">
        <v>1614</v>
      </c>
      <c r="D60" s="55" t="s">
        <v>262</v>
      </c>
      <c r="E60" s="55"/>
      <c r="F60" s="143">
        <v>0.20024156124849024</v>
      </c>
      <c r="G60" s="55" t="s">
        <v>230</v>
      </c>
      <c r="H60" s="55"/>
      <c r="I60" s="55" t="s">
        <v>205</v>
      </c>
      <c r="J60" s="35">
        <v>0</v>
      </c>
      <c r="K60" s="35">
        <v>1</v>
      </c>
      <c r="M60" s="144"/>
    </row>
    <row r="61" spans="1:13" s="35" customFormat="1" ht="32">
      <c r="A61" s="55" t="s">
        <v>205</v>
      </c>
      <c r="B61" s="55"/>
      <c r="C61" s="143" t="s">
        <v>1615</v>
      </c>
      <c r="D61" s="55" t="s">
        <v>262</v>
      </c>
      <c r="E61" s="55"/>
      <c r="F61" s="143">
        <v>45.333608797914948</v>
      </c>
      <c r="G61" s="55" t="s">
        <v>230</v>
      </c>
      <c r="H61" s="55"/>
      <c r="I61" s="55" t="s">
        <v>205</v>
      </c>
      <c r="J61" s="35">
        <v>0</v>
      </c>
      <c r="K61" s="35">
        <v>1</v>
      </c>
      <c r="M61" s="144"/>
    </row>
    <row r="62" spans="1:13" s="35" customFormat="1" ht="48">
      <c r="A62" s="55" t="s">
        <v>205</v>
      </c>
      <c r="B62" s="55"/>
      <c r="C62" s="143" t="s">
        <v>1616</v>
      </c>
      <c r="D62" s="55" t="s">
        <v>262</v>
      </c>
      <c r="E62" s="55"/>
      <c r="F62" s="143">
        <v>1.4302968660606445</v>
      </c>
      <c r="G62" s="55" t="s">
        <v>230</v>
      </c>
      <c r="H62" s="55"/>
      <c r="I62" s="55" t="s">
        <v>205</v>
      </c>
      <c r="J62" s="35">
        <v>0</v>
      </c>
      <c r="M62" s="144"/>
    </row>
    <row r="63" spans="1:13" s="35" customFormat="1" ht="32">
      <c r="A63" s="55" t="s">
        <v>205</v>
      </c>
      <c r="B63" s="55"/>
      <c r="C63" s="143" t="s">
        <v>1617</v>
      </c>
      <c r="D63" s="55" t="s">
        <v>262</v>
      </c>
      <c r="E63" s="55"/>
      <c r="F63" s="143">
        <v>220.79155807005276</v>
      </c>
      <c r="G63" s="55" t="s">
        <v>230</v>
      </c>
      <c r="H63" s="55"/>
      <c r="I63" s="55" t="s">
        <v>205</v>
      </c>
      <c r="J63" s="35">
        <v>1</v>
      </c>
      <c r="M63" s="144"/>
    </row>
    <row r="64" spans="1:13" s="35" customFormat="1" ht="32">
      <c r="A64" s="55" t="s">
        <v>205</v>
      </c>
      <c r="B64" s="55"/>
      <c r="C64" s="143" t="s">
        <v>1618</v>
      </c>
      <c r="D64" s="55" t="s">
        <v>262</v>
      </c>
      <c r="E64" s="55"/>
      <c r="F64" s="143">
        <v>0.43506452228084674</v>
      </c>
      <c r="G64" s="55" t="s">
        <v>230</v>
      </c>
      <c r="H64" s="55"/>
      <c r="I64" s="55" t="s">
        <v>205</v>
      </c>
      <c r="J64" s="35">
        <v>1</v>
      </c>
      <c r="M64" s="144"/>
    </row>
    <row r="65" spans="1:14" s="35" customFormat="1" ht="32">
      <c r="A65" s="55" t="s">
        <v>205</v>
      </c>
      <c r="B65" s="55"/>
      <c r="C65" s="143" t="s">
        <v>1619</v>
      </c>
      <c r="D65" s="55" t="s">
        <v>262</v>
      </c>
      <c r="E65" s="55"/>
      <c r="F65" s="143">
        <v>0.76142648274108449</v>
      </c>
      <c r="G65" s="55" t="s">
        <v>230</v>
      </c>
      <c r="H65" s="55"/>
      <c r="I65" s="55" t="s">
        <v>205</v>
      </c>
      <c r="J65" s="35">
        <v>1</v>
      </c>
      <c r="M65" s="144"/>
    </row>
    <row r="66" spans="1:14">
      <c r="A66" s="51"/>
      <c r="B66" s="51"/>
      <c r="C66" s="51"/>
      <c r="D66" s="51"/>
      <c r="E66" s="51"/>
      <c r="F66" s="67"/>
      <c r="G66" s="51"/>
      <c r="H66" s="51"/>
      <c r="I66" s="51"/>
      <c r="J66" s="51"/>
      <c r="K66" s="51"/>
      <c r="L66" s="51"/>
      <c r="M66" s="51"/>
      <c r="N66" s="51"/>
    </row>
    <row r="68" spans="1:14" ht="138" customHeight="1">
      <c r="A68" s="202" t="s">
        <v>287</v>
      </c>
      <c r="B68" s="202"/>
      <c r="C68" s="202"/>
      <c r="D68" s="202"/>
      <c r="E68" s="202"/>
      <c r="F68" s="202"/>
      <c r="G68" s="202"/>
      <c r="H68" s="202"/>
      <c r="I68" s="202"/>
      <c r="J68" s="202"/>
      <c r="K68" s="202"/>
      <c r="L68" s="202"/>
      <c r="M68" s="202"/>
      <c r="N68" s="202"/>
    </row>
  </sheetData>
  <mergeCells count="15">
    <mergeCell ref="A68:N68"/>
    <mergeCell ref="A1:N1"/>
    <mergeCell ref="A4:A5"/>
    <mergeCell ref="B4:B5"/>
    <mergeCell ref="C4:C5"/>
    <mergeCell ref="D4:D5"/>
    <mergeCell ref="E4:F4"/>
    <mergeCell ref="G4:G5"/>
    <mergeCell ref="H4:H5"/>
    <mergeCell ref="I4:I5"/>
    <mergeCell ref="J4:J5"/>
    <mergeCell ref="K4:K5"/>
    <mergeCell ref="L4:L5"/>
    <mergeCell ref="M4:M5"/>
    <mergeCell ref="N4: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7BA7-0456-4C0F-9722-CB03A4EE2F58}">
  <sheetPr>
    <tabColor rgb="FF00B050"/>
  </sheetPr>
  <dimension ref="A1:Q55"/>
  <sheetViews>
    <sheetView topLeftCell="E20" zoomScale="91" zoomScaleNormal="91" workbookViewId="0">
      <selection activeCell="F7" sqref="F7:F23"/>
    </sheetView>
  </sheetViews>
  <sheetFormatPr baseColWidth="10" defaultColWidth="14" defaultRowHeight="15"/>
  <cols>
    <col min="1" max="1" width="21" style="49" customWidth="1"/>
    <col min="2" max="2" width="14" style="49"/>
    <col min="3" max="3" width="43.5" style="49" customWidth="1"/>
    <col min="4" max="4" width="25.33203125" style="49" customWidth="1"/>
    <col min="5" max="5" width="16.33203125" style="49" customWidth="1"/>
    <col min="6" max="6" width="18" style="49" customWidth="1"/>
    <col min="7" max="7" width="14" style="49"/>
    <col min="8" max="8" width="19.83203125" style="49" customWidth="1"/>
    <col min="9" max="11" width="14" style="49"/>
    <col min="12" max="12" width="15.5" style="49" customWidth="1"/>
    <col min="13" max="16384" width="14" style="49"/>
  </cols>
  <sheetData>
    <row r="1" spans="1:16" ht="19">
      <c r="A1" s="203" t="s">
        <v>208</v>
      </c>
      <c r="B1" s="203"/>
      <c r="C1" s="203"/>
      <c r="D1" s="203"/>
      <c r="E1" s="203"/>
      <c r="F1" s="203"/>
      <c r="G1" s="203"/>
      <c r="H1" s="203"/>
      <c r="I1" s="203"/>
      <c r="J1" s="203"/>
      <c r="K1" s="203"/>
      <c r="L1" s="203"/>
      <c r="M1" s="203"/>
      <c r="N1" s="203"/>
    </row>
    <row r="2" spans="1:16" ht="17">
      <c r="A2" s="37" t="s">
        <v>28</v>
      </c>
    </row>
    <row r="3" spans="1:16" ht="16">
      <c r="A3" s="37"/>
    </row>
    <row r="4" spans="1:16" s="8" customFormat="1">
      <c r="A4" s="204" t="s">
        <v>209</v>
      </c>
      <c r="B4" s="204" t="s">
        <v>210</v>
      </c>
      <c r="C4" s="184" t="s">
        <v>211</v>
      </c>
      <c r="D4" s="184" t="s">
        <v>212</v>
      </c>
      <c r="E4" s="188" t="s">
        <v>213</v>
      </c>
      <c r="F4" s="188"/>
      <c r="G4" s="184" t="s">
        <v>214</v>
      </c>
      <c r="H4" s="184" t="s">
        <v>215</v>
      </c>
      <c r="I4" s="184" t="s">
        <v>216</v>
      </c>
      <c r="J4" s="204" t="s">
        <v>217</v>
      </c>
      <c r="K4" s="184" t="s">
        <v>218</v>
      </c>
      <c r="L4" s="204" t="s">
        <v>1697</v>
      </c>
      <c r="M4" s="184" t="s">
        <v>220</v>
      </c>
      <c r="N4" s="184" t="s">
        <v>221</v>
      </c>
    </row>
    <row r="5" spans="1:16" s="8" customFormat="1" ht="80.25" customHeight="1">
      <c r="A5" s="205"/>
      <c r="B5" s="205"/>
      <c r="C5" s="206"/>
      <c r="D5" s="206"/>
      <c r="E5" s="19" t="s">
        <v>222</v>
      </c>
      <c r="F5" s="20" t="s">
        <v>45</v>
      </c>
      <c r="G5" s="206"/>
      <c r="H5" s="186"/>
      <c r="I5" s="186"/>
      <c r="J5" s="186"/>
      <c r="K5" s="206"/>
      <c r="L5" s="206"/>
      <c r="M5" s="206"/>
      <c r="N5" s="206"/>
    </row>
    <row r="6" spans="1:16" ht="146">
      <c r="A6" s="15" t="s">
        <v>224</v>
      </c>
      <c r="B6" s="50"/>
      <c r="C6" s="50"/>
      <c r="D6" s="50"/>
      <c r="E6" s="50"/>
      <c r="F6" s="50"/>
      <c r="G6" s="50"/>
      <c r="H6" s="15" t="s">
        <v>225</v>
      </c>
      <c r="I6" s="16" t="s">
        <v>226</v>
      </c>
      <c r="J6" s="24" t="s">
        <v>102</v>
      </c>
      <c r="K6" s="24" t="s">
        <v>102</v>
      </c>
      <c r="L6" s="24" t="s">
        <v>102</v>
      </c>
      <c r="M6" s="50"/>
      <c r="N6" s="50"/>
    </row>
    <row r="7" spans="1:16" s="35" customFormat="1" ht="16">
      <c r="A7" s="137" t="s">
        <v>288</v>
      </c>
      <c r="B7" s="56"/>
      <c r="C7" s="56" t="s">
        <v>1663</v>
      </c>
      <c r="D7" s="56" t="s">
        <v>1672</v>
      </c>
      <c r="E7" s="56"/>
      <c r="F7" s="57">
        <v>16.8</v>
      </c>
      <c r="G7" s="56" t="s">
        <v>230</v>
      </c>
      <c r="H7" s="56"/>
      <c r="I7" s="56" t="s">
        <v>1664</v>
      </c>
      <c r="J7" s="56">
        <v>1</v>
      </c>
      <c r="K7" s="56">
        <v>0</v>
      </c>
      <c r="L7" s="56">
        <v>1</v>
      </c>
      <c r="M7" s="56"/>
      <c r="N7" s="56"/>
      <c r="P7" s="138"/>
    </row>
    <row r="8" spans="1:16" s="35" customFormat="1" ht="16">
      <c r="A8" s="137" t="s">
        <v>288</v>
      </c>
      <c r="B8" s="56"/>
      <c r="C8" s="56" t="s">
        <v>1665</v>
      </c>
      <c r="D8" s="56" t="s">
        <v>1672</v>
      </c>
      <c r="E8" s="56"/>
      <c r="F8" s="57">
        <v>250</v>
      </c>
      <c r="G8" s="56"/>
      <c r="H8" s="56"/>
      <c r="I8" s="56" t="s">
        <v>1666</v>
      </c>
      <c r="J8" s="56">
        <v>0</v>
      </c>
      <c r="K8" s="56">
        <v>0</v>
      </c>
      <c r="L8" s="56">
        <v>1</v>
      </c>
      <c r="M8" s="56"/>
      <c r="N8" s="56"/>
      <c r="P8" s="138"/>
    </row>
    <row r="9" spans="1:16" s="35" customFormat="1" ht="64">
      <c r="A9" s="137" t="s">
        <v>1668</v>
      </c>
      <c r="B9" s="56"/>
      <c r="C9" s="56" t="s">
        <v>1667</v>
      </c>
      <c r="D9" s="56" t="s">
        <v>1672</v>
      </c>
      <c r="E9" s="56"/>
      <c r="F9" s="57">
        <v>10</v>
      </c>
      <c r="G9" s="56"/>
      <c r="H9" s="56"/>
      <c r="I9" s="56" t="s">
        <v>1669</v>
      </c>
      <c r="J9" s="56">
        <v>0</v>
      </c>
      <c r="K9" s="56">
        <v>1</v>
      </c>
      <c r="L9" s="56">
        <v>0</v>
      </c>
      <c r="M9" s="56"/>
      <c r="N9" s="56"/>
      <c r="P9" s="138"/>
    </row>
    <row r="10" spans="1:16" s="35" customFormat="1" ht="48">
      <c r="A10" s="137" t="s">
        <v>1671</v>
      </c>
      <c r="B10" s="56"/>
      <c r="C10" s="56" t="s">
        <v>1670</v>
      </c>
      <c r="D10" s="56" t="s">
        <v>1672</v>
      </c>
      <c r="E10" s="56"/>
      <c r="F10" s="57">
        <v>7.5</v>
      </c>
      <c r="G10" s="56"/>
      <c r="H10" s="56"/>
      <c r="I10" s="56" t="s">
        <v>1669</v>
      </c>
      <c r="J10" s="56">
        <v>0</v>
      </c>
      <c r="K10" s="56">
        <v>1</v>
      </c>
      <c r="L10" s="56">
        <v>0</v>
      </c>
      <c r="M10" s="56"/>
      <c r="N10" s="56"/>
      <c r="P10" s="138"/>
    </row>
    <row r="11" spans="1:16" s="35" customFormat="1" ht="48">
      <c r="A11" s="137" t="s">
        <v>1674</v>
      </c>
      <c r="B11" s="56"/>
      <c r="C11" s="56" t="s">
        <v>1673</v>
      </c>
      <c r="D11" s="56" t="s">
        <v>1672</v>
      </c>
      <c r="E11" s="56"/>
      <c r="F11" s="57">
        <v>9.6</v>
      </c>
      <c r="G11" s="56"/>
      <c r="H11" s="56"/>
      <c r="I11" s="56" t="s">
        <v>1669</v>
      </c>
      <c r="J11" s="56">
        <v>0</v>
      </c>
      <c r="K11" s="56">
        <v>0</v>
      </c>
      <c r="L11" s="56">
        <v>1</v>
      </c>
      <c r="M11" s="56"/>
      <c r="N11" s="56"/>
      <c r="P11" s="138"/>
    </row>
    <row r="12" spans="1:16" s="35" customFormat="1" ht="14.5" customHeight="1">
      <c r="A12" s="137" t="s">
        <v>1676</v>
      </c>
      <c r="B12" s="56"/>
      <c r="C12" s="56" t="s">
        <v>1675</v>
      </c>
      <c r="D12" s="56" t="s">
        <v>1672</v>
      </c>
      <c r="E12" s="56"/>
      <c r="F12" s="57">
        <v>9.9</v>
      </c>
      <c r="G12" s="56"/>
      <c r="H12" s="56"/>
      <c r="I12" s="56" t="s">
        <v>1666</v>
      </c>
      <c r="J12" s="56">
        <v>0</v>
      </c>
      <c r="K12" s="56">
        <v>1</v>
      </c>
      <c r="L12" s="56">
        <v>1</v>
      </c>
      <c r="M12" s="56"/>
      <c r="N12" s="56"/>
      <c r="P12" s="138"/>
    </row>
    <row r="13" spans="1:16" s="35" customFormat="1" ht="14.5" customHeight="1">
      <c r="A13" s="137" t="s">
        <v>1668</v>
      </c>
      <c r="B13" s="56"/>
      <c r="C13" s="56" t="s">
        <v>1677</v>
      </c>
      <c r="D13" s="56" t="s">
        <v>1672</v>
      </c>
      <c r="E13" s="56"/>
      <c r="F13" s="57">
        <v>7.9</v>
      </c>
      <c r="G13" s="56"/>
      <c r="H13" s="56"/>
      <c r="I13" s="56" t="s">
        <v>205</v>
      </c>
      <c r="J13" s="56">
        <v>0</v>
      </c>
      <c r="K13" s="56">
        <v>1</v>
      </c>
      <c r="L13" s="56">
        <v>1</v>
      </c>
      <c r="M13" s="56"/>
      <c r="N13" s="56"/>
      <c r="P13" s="138"/>
    </row>
    <row r="14" spans="1:16" s="35" customFormat="1" ht="14.5" customHeight="1">
      <c r="A14" s="137" t="s">
        <v>1679</v>
      </c>
      <c r="B14" s="56"/>
      <c r="C14" s="56" t="s">
        <v>1678</v>
      </c>
      <c r="D14" s="56" t="s">
        <v>1672</v>
      </c>
      <c r="E14" s="56"/>
      <c r="F14" s="57">
        <v>37</v>
      </c>
      <c r="G14" s="56"/>
      <c r="H14" s="56"/>
      <c r="I14" s="56" t="s">
        <v>232</v>
      </c>
      <c r="J14" s="56">
        <v>0</v>
      </c>
      <c r="K14" s="56">
        <v>0</v>
      </c>
      <c r="L14" s="56">
        <v>0</v>
      </c>
      <c r="M14" s="56"/>
      <c r="N14" s="56"/>
      <c r="P14" s="138"/>
    </row>
    <row r="15" spans="1:16" s="35" customFormat="1" ht="14.5" customHeight="1">
      <c r="A15" s="137" t="s">
        <v>1681</v>
      </c>
      <c r="B15" s="56"/>
      <c r="C15" s="56" t="s">
        <v>1680</v>
      </c>
      <c r="D15" s="56" t="s">
        <v>1672</v>
      </c>
      <c r="E15" s="56"/>
      <c r="F15" s="57">
        <v>55</v>
      </c>
      <c r="G15" s="56"/>
      <c r="H15" s="56"/>
      <c r="I15" s="56" t="s">
        <v>1666</v>
      </c>
      <c r="J15" s="56">
        <v>0</v>
      </c>
      <c r="K15" s="56">
        <v>0</v>
      </c>
      <c r="L15" s="56">
        <v>1</v>
      </c>
      <c r="M15" s="56"/>
      <c r="N15" s="56"/>
      <c r="P15" s="138"/>
    </row>
    <row r="16" spans="1:16" s="35" customFormat="1" ht="48">
      <c r="A16" s="137" t="s">
        <v>1681</v>
      </c>
      <c r="B16" s="56"/>
      <c r="C16" s="56" t="s">
        <v>1682</v>
      </c>
      <c r="D16" s="56" t="s">
        <v>1672</v>
      </c>
      <c r="E16" s="56"/>
      <c r="F16" s="57">
        <v>55.75</v>
      </c>
      <c r="G16" s="56"/>
      <c r="H16" s="56"/>
      <c r="I16" s="56" t="s">
        <v>1666</v>
      </c>
      <c r="J16" s="56">
        <v>0</v>
      </c>
      <c r="K16" s="56">
        <v>0</v>
      </c>
      <c r="L16" s="56">
        <v>1</v>
      </c>
      <c r="M16" s="56"/>
      <c r="N16" s="56"/>
      <c r="P16" s="138"/>
    </row>
    <row r="17" spans="1:17" s="35" customFormat="1" ht="48">
      <c r="A17" s="137" t="s">
        <v>1684</v>
      </c>
      <c r="B17" s="56"/>
      <c r="C17" s="56" t="s">
        <v>1683</v>
      </c>
      <c r="D17" s="56" t="s">
        <v>1672</v>
      </c>
      <c r="E17" s="56"/>
      <c r="F17" s="57">
        <v>112.75</v>
      </c>
      <c r="G17" s="56"/>
      <c r="H17" s="56"/>
      <c r="I17" s="56" t="s">
        <v>1666</v>
      </c>
      <c r="J17" s="56">
        <v>0</v>
      </c>
      <c r="K17" s="56">
        <v>0</v>
      </c>
      <c r="L17" s="56">
        <v>0</v>
      </c>
      <c r="M17" s="56"/>
      <c r="N17" s="56"/>
      <c r="P17" s="138"/>
    </row>
    <row r="18" spans="1:17" s="35" customFormat="1" ht="48">
      <c r="A18" s="137" t="s">
        <v>1686</v>
      </c>
      <c r="B18" s="56"/>
      <c r="C18" s="56" t="s">
        <v>1685</v>
      </c>
      <c r="D18" s="56" t="s">
        <v>1672</v>
      </c>
      <c r="E18" s="56"/>
      <c r="F18" s="57">
        <v>23.5</v>
      </c>
      <c r="G18" s="56"/>
      <c r="H18" s="56"/>
      <c r="I18" s="56" t="s">
        <v>124</v>
      </c>
      <c r="J18" s="56">
        <v>0</v>
      </c>
      <c r="K18" s="56">
        <v>0</v>
      </c>
      <c r="L18" s="56">
        <v>0</v>
      </c>
      <c r="M18" s="56"/>
      <c r="N18" s="56"/>
      <c r="P18" s="138"/>
    </row>
    <row r="19" spans="1:17" s="35" customFormat="1" ht="64">
      <c r="A19" s="137" t="s">
        <v>1688</v>
      </c>
      <c r="B19" s="56"/>
      <c r="C19" s="56" t="s">
        <v>1687</v>
      </c>
      <c r="D19" s="56" t="s">
        <v>1672</v>
      </c>
      <c r="E19" s="56"/>
      <c r="F19" s="57">
        <v>31.5</v>
      </c>
      <c r="G19" s="56"/>
      <c r="H19" s="56"/>
      <c r="I19" s="56" t="s">
        <v>124</v>
      </c>
      <c r="J19" s="56">
        <v>0</v>
      </c>
      <c r="K19" s="56">
        <v>0</v>
      </c>
      <c r="L19" s="56">
        <v>1</v>
      </c>
      <c r="M19" s="56"/>
      <c r="N19" s="56"/>
      <c r="P19" s="138"/>
    </row>
    <row r="20" spans="1:17" s="35" customFormat="1" ht="16">
      <c r="A20" s="137" t="s">
        <v>240</v>
      </c>
      <c r="B20" s="56"/>
      <c r="C20" s="56" t="s">
        <v>1689</v>
      </c>
      <c r="D20" s="56" t="s">
        <v>1672</v>
      </c>
      <c r="E20" s="56"/>
      <c r="F20" s="57">
        <v>20.149999999999999</v>
      </c>
      <c r="G20" s="56"/>
      <c r="H20" s="56"/>
      <c r="I20" s="56" t="s">
        <v>232</v>
      </c>
      <c r="J20" s="56">
        <v>0</v>
      </c>
      <c r="K20" s="56">
        <v>1</v>
      </c>
      <c r="L20" s="56">
        <v>1</v>
      </c>
      <c r="M20" s="56"/>
      <c r="N20" s="56"/>
      <c r="P20" s="138"/>
    </row>
    <row r="21" spans="1:17" s="35" customFormat="1" ht="32">
      <c r="A21" s="137" t="s">
        <v>1690</v>
      </c>
      <c r="B21" s="56"/>
      <c r="C21" s="56" t="s">
        <v>1691</v>
      </c>
      <c r="D21" s="56" t="s">
        <v>1672</v>
      </c>
      <c r="E21" s="56"/>
      <c r="F21" s="57">
        <v>28.5</v>
      </c>
      <c r="G21" s="56"/>
      <c r="H21" s="56"/>
      <c r="I21" s="56" t="s">
        <v>1666</v>
      </c>
      <c r="J21" s="56">
        <v>0</v>
      </c>
      <c r="K21" s="56">
        <v>1</v>
      </c>
      <c r="L21" s="56">
        <v>0</v>
      </c>
      <c r="M21" s="56"/>
      <c r="N21" s="56"/>
      <c r="P21" s="138"/>
    </row>
    <row r="22" spans="1:17" s="35" customFormat="1" ht="64">
      <c r="A22" s="137" t="s">
        <v>1693</v>
      </c>
      <c r="B22" s="56"/>
      <c r="C22" s="56" t="s">
        <v>1692</v>
      </c>
      <c r="D22" s="56" t="s">
        <v>1672</v>
      </c>
      <c r="E22" s="56"/>
      <c r="F22" s="57">
        <v>50</v>
      </c>
      <c r="G22" s="56"/>
      <c r="H22" s="56"/>
      <c r="I22" s="56" t="s">
        <v>205</v>
      </c>
      <c r="J22" s="56">
        <v>0</v>
      </c>
      <c r="K22" s="56">
        <v>1</v>
      </c>
      <c r="L22" s="56">
        <v>1</v>
      </c>
      <c r="M22" s="56"/>
      <c r="N22" s="56"/>
      <c r="P22" s="138"/>
    </row>
    <row r="23" spans="1:17" s="35" customFormat="1" ht="32">
      <c r="A23" s="137" t="s">
        <v>136</v>
      </c>
      <c r="B23" s="56"/>
      <c r="C23" s="56" t="s">
        <v>1694</v>
      </c>
      <c r="D23" s="56" t="s">
        <v>1672</v>
      </c>
      <c r="E23" s="56"/>
      <c r="F23" s="57">
        <v>25</v>
      </c>
      <c r="G23" s="56"/>
      <c r="H23" s="56"/>
      <c r="I23" s="56" t="s">
        <v>205</v>
      </c>
      <c r="J23" s="56">
        <v>0</v>
      </c>
      <c r="K23" s="56">
        <v>1</v>
      </c>
      <c r="L23" s="56">
        <v>0</v>
      </c>
      <c r="M23" s="56"/>
      <c r="N23" s="56"/>
      <c r="P23" s="138"/>
    </row>
    <row r="24" spans="1:17" s="35" customFormat="1" ht="32">
      <c r="A24" s="137" t="s">
        <v>1696</v>
      </c>
      <c r="B24" s="56"/>
      <c r="C24" s="56" t="s">
        <v>1695</v>
      </c>
      <c r="D24" s="56" t="s">
        <v>1672</v>
      </c>
      <c r="E24" s="56"/>
      <c r="F24" s="137" t="s">
        <v>1696</v>
      </c>
      <c r="G24" s="56"/>
      <c r="H24" s="56"/>
      <c r="I24" s="56" t="s">
        <v>1666</v>
      </c>
      <c r="J24" s="56">
        <v>0</v>
      </c>
      <c r="K24" s="56">
        <v>1</v>
      </c>
      <c r="L24" s="56">
        <v>1</v>
      </c>
      <c r="M24" s="56"/>
      <c r="N24" s="56"/>
      <c r="P24" s="138"/>
    </row>
    <row r="25" spans="1:17" s="35" customFormat="1" ht="176">
      <c r="A25" s="56" t="s">
        <v>240</v>
      </c>
      <c r="B25" s="56"/>
      <c r="C25" s="56" t="s">
        <v>289</v>
      </c>
      <c r="D25" s="56" t="s">
        <v>290</v>
      </c>
      <c r="E25" s="56"/>
      <c r="F25" s="57">
        <f>P25/1000000</f>
        <v>47.376240000000003</v>
      </c>
      <c r="G25" s="56" t="s">
        <v>230</v>
      </c>
      <c r="H25" s="56" t="s">
        <v>237</v>
      </c>
      <c r="I25" s="56" t="s">
        <v>232</v>
      </c>
      <c r="J25" s="56">
        <v>0</v>
      </c>
      <c r="K25" s="56">
        <v>0</v>
      </c>
      <c r="L25" s="56">
        <v>0</v>
      </c>
      <c r="M25" s="56" t="s">
        <v>291</v>
      </c>
      <c r="N25" s="56" t="s">
        <v>292</v>
      </c>
      <c r="O25" s="35" t="s">
        <v>293</v>
      </c>
      <c r="P25" s="138">
        <v>47376240</v>
      </c>
      <c r="Q25" s="1" t="s">
        <v>294</v>
      </c>
    </row>
    <row r="26" spans="1:17" s="35" customFormat="1" ht="128">
      <c r="A26" s="56" t="s">
        <v>288</v>
      </c>
      <c r="B26" s="56"/>
      <c r="C26" s="56" t="s">
        <v>295</v>
      </c>
      <c r="D26" s="56" t="s">
        <v>296</v>
      </c>
      <c r="E26" s="56"/>
      <c r="F26" s="57">
        <f t="shared" ref="F26:F27" si="0">P26/1000000</f>
        <v>548.75</v>
      </c>
      <c r="G26" s="56" t="s">
        <v>230</v>
      </c>
      <c r="H26" s="56" t="s">
        <v>237</v>
      </c>
      <c r="I26" s="56" t="s">
        <v>232</v>
      </c>
      <c r="J26" s="56">
        <v>0</v>
      </c>
      <c r="K26" s="56">
        <v>0</v>
      </c>
      <c r="L26" s="56">
        <v>0</v>
      </c>
      <c r="M26" s="56" t="s">
        <v>297</v>
      </c>
      <c r="N26" s="140" t="s">
        <v>298</v>
      </c>
      <c r="O26" s="35" t="s">
        <v>299</v>
      </c>
      <c r="P26" s="138">
        <v>548750000</v>
      </c>
      <c r="Q26" s="1" t="s">
        <v>300</v>
      </c>
    </row>
    <row r="27" spans="1:17" s="35" customFormat="1" ht="80">
      <c r="A27" s="56" t="s">
        <v>288</v>
      </c>
      <c r="B27" s="56"/>
      <c r="C27" s="56" t="s">
        <v>301</v>
      </c>
      <c r="D27" s="56" t="s">
        <v>302</v>
      </c>
      <c r="E27" s="56"/>
      <c r="F27" s="57">
        <f t="shared" si="0"/>
        <v>70.130250000000004</v>
      </c>
      <c r="G27" s="56" t="s">
        <v>230</v>
      </c>
      <c r="H27" s="56" t="s">
        <v>237</v>
      </c>
      <c r="I27" s="56" t="s">
        <v>232</v>
      </c>
      <c r="J27" s="56">
        <v>0</v>
      </c>
      <c r="K27" s="56">
        <v>0</v>
      </c>
      <c r="L27" s="56">
        <v>0</v>
      </c>
      <c r="M27" s="56" t="s">
        <v>303</v>
      </c>
      <c r="N27" s="56" t="s">
        <v>304</v>
      </c>
      <c r="O27" s="35" t="s">
        <v>305</v>
      </c>
      <c r="P27" s="138">
        <v>70130250</v>
      </c>
      <c r="Q27" s="139" t="s">
        <v>306</v>
      </c>
    </row>
    <row r="28" spans="1:17" s="35" customFormat="1" ht="96">
      <c r="A28" s="56" t="s">
        <v>288</v>
      </c>
      <c r="B28" s="56"/>
      <c r="C28" s="56" t="s">
        <v>307</v>
      </c>
      <c r="D28" s="56" t="s">
        <v>308</v>
      </c>
      <c r="E28" s="56"/>
      <c r="F28" s="57">
        <f>P28/1000000</f>
        <v>126</v>
      </c>
      <c r="G28" s="56" t="s">
        <v>230</v>
      </c>
      <c r="H28" s="56" t="s">
        <v>309</v>
      </c>
      <c r="I28" s="56" t="s">
        <v>232</v>
      </c>
      <c r="J28" s="56">
        <v>0</v>
      </c>
      <c r="K28" s="56">
        <v>0</v>
      </c>
      <c r="L28" s="56">
        <v>0</v>
      </c>
      <c r="M28" s="56" t="s">
        <v>310</v>
      </c>
      <c r="N28" s="141" t="s">
        <v>311</v>
      </c>
      <c r="O28" s="35" t="s">
        <v>312</v>
      </c>
      <c r="P28" s="138">
        <v>126000000</v>
      </c>
      <c r="Q28" s="1" t="s">
        <v>313</v>
      </c>
    </row>
    <row r="29" spans="1:17" s="35" customFormat="1" ht="128">
      <c r="A29" s="56" t="s">
        <v>61</v>
      </c>
      <c r="B29" s="56"/>
      <c r="C29" s="56" t="s">
        <v>314</v>
      </c>
      <c r="D29" s="56" t="s">
        <v>315</v>
      </c>
      <c r="E29" s="56"/>
      <c r="F29" s="57"/>
      <c r="G29" s="56" t="s">
        <v>230</v>
      </c>
      <c r="H29" s="56"/>
      <c r="I29" s="56" t="s">
        <v>205</v>
      </c>
      <c r="J29" s="56">
        <v>0</v>
      </c>
      <c r="K29" s="56">
        <v>0</v>
      </c>
      <c r="L29" s="56"/>
      <c r="M29" s="56" t="s">
        <v>316</v>
      </c>
      <c r="N29" s="142" t="s">
        <v>317</v>
      </c>
      <c r="P29" s="138"/>
      <c r="Q29" s="1"/>
    </row>
    <row r="30" spans="1:17" s="35" customFormat="1" ht="128">
      <c r="A30" s="56" t="s">
        <v>61</v>
      </c>
      <c r="B30" s="56"/>
      <c r="C30" s="56" t="s">
        <v>318</v>
      </c>
      <c r="D30" s="56" t="s">
        <v>319</v>
      </c>
      <c r="E30" s="56"/>
      <c r="F30" s="57"/>
      <c r="G30" s="56" t="s">
        <v>230</v>
      </c>
      <c r="H30" s="56"/>
      <c r="I30" s="56" t="s">
        <v>205</v>
      </c>
      <c r="J30" s="56">
        <v>0</v>
      </c>
      <c r="K30" s="56">
        <v>0</v>
      </c>
      <c r="L30" s="56"/>
      <c r="M30" s="56" t="s">
        <v>320</v>
      </c>
      <c r="N30" s="142" t="s">
        <v>317</v>
      </c>
      <c r="P30" s="138"/>
      <c r="Q30" s="1"/>
    </row>
    <row r="31" spans="1:17" s="35" customFormat="1" ht="208">
      <c r="A31" s="56" t="s">
        <v>61</v>
      </c>
      <c r="B31" s="56"/>
      <c r="C31" s="56" t="s">
        <v>321</v>
      </c>
      <c r="D31" s="56" t="s">
        <v>322</v>
      </c>
      <c r="E31" s="56"/>
      <c r="F31" s="57"/>
      <c r="G31" s="56" t="s">
        <v>230</v>
      </c>
      <c r="H31" s="56"/>
      <c r="I31" s="56" t="s">
        <v>205</v>
      </c>
      <c r="J31" s="56">
        <v>0</v>
      </c>
      <c r="K31" s="56">
        <v>0</v>
      </c>
      <c r="L31" s="56"/>
      <c r="M31" s="56" t="s">
        <v>323</v>
      </c>
      <c r="N31" s="142" t="s">
        <v>317</v>
      </c>
      <c r="P31" s="138"/>
      <c r="Q31" s="1"/>
    </row>
    <row r="32" spans="1:17" s="35" customFormat="1" ht="144">
      <c r="A32" s="56" t="s">
        <v>61</v>
      </c>
      <c r="B32" s="56"/>
      <c r="C32" s="56" t="s">
        <v>324</v>
      </c>
      <c r="D32" s="56" t="s">
        <v>325</v>
      </c>
      <c r="E32" s="56"/>
      <c r="F32" s="57"/>
      <c r="G32" s="56" t="s">
        <v>230</v>
      </c>
      <c r="H32" s="56"/>
      <c r="I32" s="56" t="s">
        <v>205</v>
      </c>
      <c r="J32" s="56">
        <v>0</v>
      </c>
      <c r="K32" s="56">
        <v>0</v>
      </c>
      <c r="L32" s="56"/>
      <c r="M32" s="56" t="s">
        <v>326</v>
      </c>
      <c r="N32" s="142" t="s">
        <v>317</v>
      </c>
      <c r="P32" s="138"/>
      <c r="Q32" s="1"/>
    </row>
    <row r="33" spans="1:17" s="35" customFormat="1" ht="256">
      <c r="A33" s="56" t="s">
        <v>327</v>
      </c>
      <c r="B33" s="56"/>
      <c r="C33" s="56" t="s">
        <v>328</v>
      </c>
      <c r="D33" s="56" t="s">
        <v>329</v>
      </c>
      <c r="E33" s="56"/>
      <c r="F33" s="57"/>
      <c r="G33" s="56" t="s">
        <v>230</v>
      </c>
      <c r="H33" s="56"/>
      <c r="I33" s="56" t="s">
        <v>205</v>
      </c>
      <c r="J33" s="56">
        <v>0</v>
      </c>
      <c r="K33" s="56">
        <v>0</v>
      </c>
      <c r="L33" s="56"/>
      <c r="M33" s="56" t="s">
        <v>330</v>
      </c>
      <c r="N33" s="142" t="s">
        <v>317</v>
      </c>
      <c r="P33" s="138"/>
      <c r="Q33" s="1"/>
    </row>
    <row r="34" spans="1:17" s="35" customFormat="1" ht="240">
      <c r="A34" s="56" t="s">
        <v>327</v>
      </c>
      <c r="B34" s="56"/>
      <c r="C34" s="56" t="s">
        <v>331</v>
      </c>
      <c r="D34" s="56" t="s">
        <v>332</v>
      </c>
      <c r="E34" s="56"/>
      <c r="F34" s="57"/>
      <c r="G34" s="56" t="s">
        <v>230</v>
      </c>
      <c r="H34" s="56"/>
      <c r="I34" s="56" t="s">
        <v>205</v>
      </c>
      <c r="J34" s="56">
        <v>0</v>
      </c>
      <c r="K34" s="56">
        <v>0</v>
      </c>
      <c r="L34" s="56"/>
      <c r="M34" s="56" t="s">
        <v>333</v>
      </c>
      <c r="N34" s="142" t="s">
        <v>317</v>
      </c>
      <c r="P34" s="138"/>
      <c r="Q34" s="1"/>
    </row>
    <row r="35" spans="1:17" s="35" customFormat="1" ht="80">
      <c r="A35" s="56" t="s">
        <v>334</v>
      </c>
      <c r="B35" s="56"/>
      <c r="C35" s="56" t="s">
        <v>335</v>
      </c>
      <c r="D35" s="56" t="s">
        <v>336</v>
      </c>
      <c r="E35" s="56"/>
      <c r="F35" s="57"/>
      <c r="G35" s="56" t="s">
        <v>230</v>
      </c>
      <c r="H35" s="56"/>
      <c r="I35" s="56" t="s">
        <v>205</v>
      </c>
      <c r="J35" s="56">
        <v>1</v>
      </c>
      <c r="K35" s="56">
        <v>1</v>
      </c>
      <c r="L35" s="56"/>
      <c r="M35" s="56" t="s">
        <v>337</v>
      </c>
      <c r="N35" s="142" t="s">
        <v>317</v>
      </c>
      <c r="P35" s="138"/>
      <c r="Q35" s="1"/>
    </row>
    <row r="36" spans="1:17" s="35" customFormat="1" ht="208">
      <c r="A36" s="56" t="s">
        <v>334</v>
      </c>
      <c r="B36" s="56"/>
      <c r="C36" s="56" t="s">
        <v>338</v>
      </c>
      <c r="D36" s="56" t="s">
        <v>339</v>
      </c>
      <c r="E36" s="56"/>
      <c r="F36" s="57"/>
      <c r="G36" s="56" t="s">
        <v>230</v>
      </c>
      <c r="H36" s="56"/>
      <c r="I36" s="56" t="s">
        <v>205</v>
      </c>
      <c r="J36" s="56">
        <v>1</v>
      </c>
      <c r="K36" s="56">
        <v>1</v>
      </c>
      <c r="L36" s="56"/>
      <c r="M36" s="56" t="s">
        <v>340</v>
      </c>
      <c r="N36" s="142" t="s">
        <v>317</v>
      </c>
      <c r="P36" s="138"/>
      <c r="Q36" s="1"/>
    </row>
    <row r="37" spans="1:17" s="35" customFormat="1" ht="240">
      <c r="A37" s="56" t="s">
        <v>334</v>
      </c>
      <c r="B37" s="56"/>
      <c r="C37" s="56" t="s">
        <v>341</v>
      </c>
      <c r="D37" s="56" t="s">
        <v>342</v>
      </c>
      <c r="E37" s="56"/>
      <c r="F37" s="57"/>
      <c r="G37" s="56" t="s">
        <v>230</v>
      </c>
      <c r="H37" s="56"/>
      <c r="I37" s="56" t="s">
        <v>205</v>
      </c>
      <c r="J37" s="56">
        <v>1</v>
      </c>
      <c r="K37" s="56">
        <v>1</v>
      </c>
      <c r="L37" s="56"/>
      <c r="M37" s="56" t="s">
        <v>343</v>
      </c>
      <c r="N37" s="142" t="s">
        <v>317</v>
      </c>
      <c r="P37" s="138"/>
      <c r="Q37" s="1"/>
    </row>
    <row r="38" spans="1:17" s="35" customFormat="1" ht="176">
      <c r="A38" s="56" t="s">
        <v>136</v>
      </c>
      <c r="B38" s="56"/>
      <c r="C38" s="56" t="s">
        <v>344</v>
      </c>
      <c r="D38" s="56" t="s">
        <v>345</v>
      </c>
      <c r="E38" s="56"/>
      <c r="F38" s="57"/>
      <c r="G38" s="56" t="s">
        <v>230</v>
      </c>
      <c r="H38" s="56"/>
      <c r="I38" s="56" t="s">
        <v>205</v>
      </c>
      <c r="J38" s="56">
        <v>0</v>
      </c>
      <c r="K38" s="56">
        <v>0</v>
      </c>
      <c r="L38" s="56"/>
      <c r="M38" s="56" t="s">
        <v>346</v>
      </c>
      <c r="N38" s="142" t="s">
        <v>317</v>
      </c>
      <c r="P38" s="138"/>
      <c r="Q38" s="1"/>
    </row>
    <row r="39" spans="1:17" s="35" customFormat="1" ht="96">
      <c r="A39" s="56" t="s">
        <v>136</v>
      </c>
      <c r="B39" s="56"/>
      <c r="C39" s="56" t="s">
        <v>347</v>
      </c>
      <c r="D39" s="56" t="s">
        <v>348</v>
      </c>
      <c r="E39" s="56"/>
      <c r="F39" s="57"/>
      <c r="G39" s="56" t="s">
        <v>230</v>
      </c>
      <c r="H39" s="56"/>
      <c r="I39" s="56" t="s">
        <v>205</v>
      </c>
      <c r="J39" s="56">
        <v>0</v>
      </c>
      <c r="K39" s="56">
        <v>0</v>
      </c>
      <c r="L39" s="56"/>
      <c r="M39" s="56" t="s">
        <v>349</v>
      </c>
      <c r="N39" s="142" t="s">
        <v>317</v>
      </c>
      <c r="P39" s="138"/>
      <c r="Q39" s="1"/>
    </row>
    <row r="40" spans="1:17" s="35" customFormat="1" ht="160">
      <c r="A40" s="56" t="s">
        <v>350</v>
      </c>
      <c r="B40" s="56"/>
      <c r="C40" s="56" t="s">
        <v>351</v>
      </c>
      <c r="D40" s="56" t="s">
        <v>352</v>
      </c>
      <c r="E40" s="56"/>
      <c r="F40" s="57"/>
      <c r="G40" s="56" t="s">
        <v>230</v>
      </c>
      <c r="H40" s="56"/>
      <c r="I40" s="56" t="s">
        <v>205</v>
      </c>
      <c r="J40" s="56">
        <v>0</v>
      </c>
      <c r="K40" s="56">
        <v>0</v>
      </c>
      <c r="L40" s="56"/>
      <c r="M40" s="56" t="s">
        <v>353</v>
      </c>
      <c r="N40" s="142" t="s">
        <v>317</v>
      </c>
      <c r="P40" s="138"/>
      <c r="Q40" s="1"/>
    </row>
    <row r="41" spans="1:17" s="35" customFormat="1" ht="80">
      <c r="A41" s="56" t="s">
        <v>1535</v>
      </c>
      <c r="B41" s="56"/>
      <c r="C41" s="56" t="s">
        <v>1525</v>
      </c>
      <c r="D41" s="56" t="s">
        <v>1589</v>
      </c>
      <c r="E41" s="56"/>
      <c r="F41" s="56"/>
      <c r="G41" s="56" t="s">
        <v>1529</v>
      </c>
      <c r="H41" s="56"/>
      <c r="I41" s="56" t="s">
        <v>205</v>
      </c>
      <c r="J41" s="56">
        <v>1</v>
      </c>
      <c r="K41" s="56">
        <v>1</v>
      </c>
      <c r="L41" s="56"/>
      <c r="M41" s="56"/>
      <c r="N41" s="142" t="s">
        <v>317</v>
      </c>
      <c r="P41" s="138"/>
      <c r="Q41" s="1"/>
    </row>
    <row r="42" spans="1:17" s="35" customFormat="1" ht="160">
      <c r="A42" s="56" t="s">
        <v>1535</v>
      </c>
      <c r="B42" s="56"/>
      <c r="C42" s="56" t="s">
        <v>1604</v>
      </c>
      <c r="D42" s="56" t="s">
        <v>1605</v>
      </c>
      <c r="E42" s="56"/>
      <c r="F42" s="56"/>
      <c r="G42" s="56" t="s">
        <v>1529</v>
      </c>
      <c r="H42" s="56"/>
      <c r="I42" s="56" t="s">
        <v>205</v>
      </c>
      <c r="J42" s="56">
        <v>0</v>
      </c>
      <c r="K42" s="56">
        <v>1</v>
      </c>
      <c r="L42" s="56"/>
      <c r="M42" s="56"/>
      <c r="N42" s="142" t="s">
        <v>317</v>
      </c>
      <c r="P42" s="138"/>
      <c r="Q42" s="1"/>
    </row>
    <row r="43" spans="1:17" s="35" customFormat="1" ht="144">
      <c r="A43" s="56" t="s">
        <v>240</v>
      </c>
      <c r="B43" s="56"/>
      <c r="C43" s="56" t="s">
        <v>1530</v>
      </c>
      <c r="D43" s="56" t="s">
        <v>1606</v>
      </c>
      <c r="E43" s="56"/>
      <c r="F43" s="56"/>
      <c r="G43" s="56" t="s">
        <v>1533</v>
      </c>
      <c r="H43" s="56"/>
      <c r="I43" s="56" t="s">
        <v>205</v>
      </c>
      <c r="J43" s="56">
        <v>1</v>
      </c>
      <c r="K43" s="56">
        <v>1</v>
      </c>
      <c r="L43" s="56"/>
      <c r="M43" s="56"/>
      <c r="N43" s="142" t="s">
        <v>317</v>
      </c>
      <c r="P43" s="138"/>
      <c r="Q43" s="1"/>
    </row>
    <row r="44" spans="1:17" s="35" customFormat="1" ht="128">
      <c r="A44" s="56" t="s">
        <v>1543</v>
      </c>
      <c r="B44" s="56"/>
      <c r="C44" s="56" t="s">
        <v>1539</v>
      </c>
      <c r="D44" s="56" t="s">
        <v>1607</v>
      </c>
      <c r="E44" s="56"/>
      <c r="F44" s="56"/>
      <c r="G44" s="56" t="s">
        <v>1533</v>
      </c>
      <c r="H44" s="56"/>
      <c r="I44" s="56" t="s">
        <v>205</v>
      </c>
      <c r="J44" s="56">
        <v>0</v>
      </c>
      <c r="K44" s="56">
        <v>1</v>
      </c>
      <c r="L44" s="56"/>
      <c r="M44" s="56"/>
      <c r="N44" s="142" t="s">
        <v>317</v>
      </c>
      <c r="P44" s="138"/>
      <c r="Q44" s="1"/>
    </row>
    <row r="45" spans="1:17" s="35" customFormat="1" ht="256">
      <c r="A45" s="56" t="s">
        <v>1543</v>
      </c>
      <c r="B45" s="56"/>
      <c r="C45" s="56" t="s">
        <v>1544</v>
      </c>
      <c r="D45" s="56" t="s">
        <v>1545</v>
      </c>
      <c r="E45" s="56"/>
      <c r="F45" s="56"/>
      <c r="G45" s="56" t="s">
        <v>1533</v>
      </c>
      <c r="H45" s="56"/>
      <c r="I45" s="56" t="s">
        <v>205</v>
      </c>
      <c r="J45" s="56">
        <v>1</v>
      </c>
      <c r="K45" s="56">
        <v>1</v>
      </c>
      <c r="L45" s="56"/>
      <c r="M45" s="56"/>
      <c r="N45" s="142" t="s">
        <v>317</v>
      </c>
      <c r="P45" s="138"/>
      <c r="Q45" s="1"/>
    </row>
    <row r="46" spans="1:17" s="35" customFormat="1" ht="304">
      <c r="A46" s="56" t="s">
        <v>288</v>
      </c>
      <c r="B46" s="56"/>
      <c r="C46" s="56" t="s">
        <v>1547</v>
      </c>
      <c r="D46" s="56" t="s">
        <v>1548</v>
      </c>
      <c r="E46" s="56"/>
      <c r="F46" s="56"/>
      <c r="G46" s="56" t="s">
        <v>654</v>
      </c>
      <c r="H46" s="56"/>
      <c r="I46" s="56" t="s">
        <v>205</v>
      </c>
      <c r="J46" s="56">
        <v>1</v>
      </c>
      <c r="K46" s="56">
        <v>1</v>
      </c>
      <c r="L46" s="56"/>
      <c r="M46" s="56"/>
      <c r="N46" s="142" t="s">
        <v>317</v>
      </c>
      <c r="P46" s="138"/>
      <c r="Q46" s="1"/>
    </row>
    <row r="47" spans="1:17" s="35" customFormat="1" ht="32">
      <c r="A47" s="56" t="s">
        <v>1543</v>
      </c>
      <c r="B47" s="56"/>
      <c r="C47" s="56" t="s">
        <v>1608</v>
      </c>
      <c r="D47" s="56" t="s">
        <v>1609</v>
      </c>
      <c r="E47" s="56"/>
      <c r="F47" s="56"/>
      <c r="G47" s="56" t="s">
        <v>1529</v>
      </c>
      <c r="H47" s="56"/>
      <c r="I47" s="56" t="s">
        <v>205</v>
      </c>
      <c r="J47" s="56">
        <v>1</v>
      </c>
      <c r="K47" s="56">
        <v>1</v>
      </c>
      <c r="L47" s="56"/>
      <c r="M47" s="56"/>
      <c r="N47" s="142" t="s">
        <v>317</v>
      </c>
      <c r="P47" s="138"/>
      <c r="Q47" s="1"/>
    </row>
    <row r="48" spans="1:17" s="35" customFormat="1" ht="409.6">
      <c r="A48" s="56" t="s">
        <v>1543</v>
      </c>
      <c r="B48" s="56"/>
      <c r="C48" s="56" t="s">
        <v>1553</v>
      </c>
      <c r="D48" s="56" t="s">
        <v>1554</v>
      </c>
      <c r="E48" s="56"/>
      <c r="F48" s="56"/>
      <c r="G48" s="56" t="s">
        <v>1529</v>
      </c>
      <c r="H48" s="56"/>
      <c r="I48" s="56" t="s">
        <v>205</v>
      </c>
      <c r="J48" s="56">
        <v>1</v>
      </c>
      <c r="K48" s="56">
        <v>1</v>
      </c>
      <c r="L48" s="56"/>
      <c r="M48" s="56"/>
      <c r="N48" s="142" t="s">
        <v>317</v>
      </c>
      <c r="P48" s="138"/>
      <c r="Q48" s="1"/>
    </row>
    <row r="49" spans="1:17" s="35" customFormat="1" ht="176">
      <c r="A49" s="56" t="s">
        <v>1524</v>
      </c>
      <c r="B49" s="56"/>
      <c r="C49" s="56" t="s">
        <v>1557</v>
      </c>
      <c r="D49" s="56" t="s">
        <v>1558</v>
      </c>
      <c r="E49" s="56"/>
      <c r="F49" s="56"/>
      <c r="G49" s="56" t="s">
        <v>1529</v>
      </c>
      <c r="H49" s="56"/>
      <c r="I49" s="56" t="s">
        <v>205</v>
      </c>
      <c r="J49" s="56">
        <v>1</v>
      </c>
      <c r="K49" s="56">
        <v>1</v>
      </c>
      <c r="L49" s="56"/>
      <c r="M49" s="56"/>
      <c r="N49" s="142" t="s">
        <v>317</v>
      </c>
      <c r="P49" s="138"/>
      <c r="Q49" s="1"/>
    </row>
    <row r="50" spans="1:17" s="35" customFormat="1" ht="192">
      <c r="A50" s="56" t="s">
        <v>288</v>
      </c>
      <c r="B50" s="56"/>
      <c r="C50" s="56" t="s">
        <v>1562</v>
      </c>
      <c r="D50" s="56" t="s">
        <v>1563</v>
      </c>
      <c r="E50" s="56"/>
      <c r="F50" s="56"/>
      <c r="G50" s="56" t="s">
        <v>1533</v>
      </c>
      <c r="H50" s="56"/>
      <c r="I50" s="56" t="s">
        <v>205</v>
      </c>
      <c r="J50" s="56">
        <v>1</v>
      </c>
      <c r="K50" s="56">
        <v>1</v>
      </c>
      <c r="L50" s="56"/>
      <c r="M50" s="56"/>
      <c r="N50" s="142" t="s">
        <v>317</v>
      </c>
      <c r="P50" s="138"/>
      <c r="Q50" s="1"/>
    </row>
    <row r="51" spans="1:17" s="35" customFormat="1" ht="256">
      <c r="A51" s="56" t="s">
        <v>288</v>
      </c>
      <c r="B51" s="56"/>
      <c r="C51" s="56" t="s">
        <v>1566</v>
      </c>
      <c r="D51" s="56" t="s">
        <v>1567</v>
      </c>
      <c r="E51" s="56"/>
      <c r="F51" s="56"/>
      <c r="G51" s="56" t="s">
        <v>1533</v>
      </c>
      <c r="H51" s="56"/>
      <c r="I51" s="56" t="s">
        <v>205</v>
      </c>
      <c r="J51" s="56">
        <v>1</v>
      </c>
      <c r="K51" s="56">
        <v>1</v>
      </c>
      <c r="L51" s="56"/>
      <c r="M51" s="56"/>
      <c r="N51" s="142" t="s">
        <v>317</v>
      </c>
      <c r="P51" s="138"/>
      <c r="Q51" s="1"/>
    </row>
    <row r="52" spans="1:17" s="35" customFormat="1" ht="48">
      <c r="A52" s="56" t="s">
        <v>1535</v>
      </c>
      <c r="B52" s="56"/>
      <c r="C52" s="56" t="s">
        <v>1568</v>
      </c>
      <c r="D52" s="56" t="s">
        <v>1569</v>
      </c>
      <c r="E52" s="56"/>
      <c r="F52" s="56"/>
      <c r="G52" s="56" t="s">
        <v>1533</v>
      </c>
      <c r="H52" s="56"/>
      <c r="I52" s="56" t="s">
        <v>205</v>
      </c>
      <c r="J52" s="56">
        <v>1</v>
      </c>
      <c r="K52" s="56">
        <v>1</v>
      </c>
      <c r="L52" s="56"/>
      <c r="M52" s="56"/>
      <c r="N52" s="142" t="s">
        <v>317</v>
      </c>
      <c r="P52" s="138"/>
      <c r="Q52" s="1"/>
    </row>
    <row r="53" spans="1:17">
      <c r="A53" s="51"/>
      <c r="B53" s="51"/>
      <c r="C53" s="51"/>
      <c r="D53" s="51"/>
      <c r="E53" s="51"/>
      <c r="F53" s="67"/>
      <c r="G53" s="51"/>
      <c r="H53" s="51"/>
      <c r="I53" s="51"/>
      <c r="J53" s="51"/>
      <c r="K53" s="51"/>
      <c r="L53" s="51"/>
      <c r="M53" s="51"/>
      <c r="N53" s="51"/>
    </row>
    <row r="55" spans="1:17" ht="138" customHeight="1">
      <c r="A55" s="202" t="s">
        <v>287</v>
      </c>
      <c r="B55" s="202"/>
      <c r="C55" s="202"/>
      <c r="D55" s="202"/>
      <c r="E55" s="202"/>
      <c r="F55" s="202"/>
      <c r="G55" s="202"/>
      <c r="H55" s="202"/>
      <c r="I55" s="202"/>
      <c r="J55" s="202"/>
      <c r="K55" s="202"/>
      <c r="L55" s="202"/>
      <c r="M55" s="202"/>
      <c r="N55" s="202"/>
    </row>
  </sheetData>
  <autoFilter ref="A6:P52" xr:uid="{DEA0F040-37AF-4F85-B654-12C7C7864F69}"/>
  <mergeCells count="15">
    <mergeCell ref="A55:N55"/>
    <mergeCell ref="A1:N1"/>
    <mergeCell ref="A4:A5"/>
    <mergeCell ref="B4:B5"/>
    <mergeCell ref="C4:C5"/>
    <mergeCell ref="D4:D5"/>
    <mergeCell ref="E4:F4"/>
    <mergeCell ref="G4:G5"/>
    <mergeCell ref="H4:H5"/>
    <mergeCell ref="I4:I5"/>
    <mergeCell ref="J4:J5"/>
    <mergeCell ref="K4:K5"/>
    <mergeCell ref="L4:L5"/>
    <mergeCell ref="M4:M5"/>
    <mergeCell ref="N4:N5"/>
  </mergeCells>
  <phoneticPr fontId="4" type="noConversion"/>
  <hyperlinks>
    <hyperlink ref="N28" r:id="rId1" display="https://www.dfc.gov/" xr:uid="{10D52BC2-C2F7-48DB-B1D9-5ADD281B4D6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D390-1DBD-4462-8A52-62ACACDA354F}">
  <sheetPr>
    <tabColor rgb="FF00B050"/>
  </sheetPr>
  <dimension ref="A1:AB96"/>
  <sheetViews>
    <sheetView topLeftCell="B1" zoomScale="90" zoomScaleNormal="70" workbookViewId="0">
      <selection activeCell="F107" sqref="F107"/>
    </sheetView>
  </sheetViews>
  <sheetFormatPr baseColWidth="10" defaultColWidth="35.5" defaultRowHeight="15"/>
  <cols>
    <col min="1" max="1" width="6.1640625" style="1" hidden="1" customWidth="1"/>
    <col min="2" max="2" width="77.33203125" style="1" customWidth="1"/>
    <col min="3" max="3" width="35.5" style="1" customWidth="1"/>
    <col min="4" max="5" width="14.5" style="1" customWidth="1"/>
    <col min="6" max="6" width="35.5" style="1" customWidth="1"/>
    <col min="7" max="7" width="14.5" style="1" customWidth="1"/>
    <col min="8" max="8" width="12.5" style="1" customWidth="1"/>
    <col min="9" max="9" width="27.6640625" style="1" customWidth="1"/>
    <col min="10" max="10" width="26.33203125" style="1" customWidth="1"/>
    <col min="11" max="11" width="27.6640625" style="1" customWidth="1"/>
    <col min="12" max="12" width="17.5" style="170" customWidth="1"/>
    <col min="13" max="13" width="20.5" style="170" customWidth="1"/>
    <col min="14" max="14" width="15.83203125" style="170" customWidth="1"/>
    <col min="15" max="16" width="11.5" style="1" customWidth="1"/>
    <col min="17" max="17" width="21.5" style="1" customWidth="1"/>
    <col min="18" max="18" width="23.6640625" style="1" customWidth="1"/>
    <col min="19" max="19" width="36.5" style="1" customWidth="1"/>
    <col min="20" max="20" width="38.33203125" style="1" customWidth="1"/>
    <col min="21" max="21" width="12.5" style="71" customWidth="1"/>
    <col min="22" max="22" width="22.5" style="1" customWidth="1"/>
    <col min="23" max="23" width="20.5" style="1" customWidth="1"/>
    <col min="24" max="24" width="13.5" style="1" customWidth="1"/>
    <col min="25" max="25" width="22.83203125" style="1" customWidth="1"/>
    <col min="26" max="26" width="25.5" style="1" customWidth="1"/>
    <col min="27" max="27" width="4" style="1" customWidth="1"/>
    <col min="28" max="16384" width="35.5" style="1"/>
  </cols>
  <sheetData>
    <row r="1" spans="1:28" ht="22">
      <c r="B1" s="198" t="s">
        <v>354</v>
      </c>
      <c r="C1" s="198"/>
      <c r="D1" s="198"/>
      <c r="E1" s="198"/>
      <c r="F1" s="198"/>
      <c r="G1" s="198"/>
      <c r="H1" s="198"/>
      <c r="I1" s="198"/>
      <c r="J1" s="198"/>
      <c r="K1" s="198"/>
      <c r="L1" s="198"/>
      <c r="M1" s="198"/>
      <c r="N1" s="198"/>
      <c r="O1" s="198"/>
      <c r="P1" s="198"/>
      <c r="Q1" s="198"/>
      <c r="R1" s="198"/>
      <c r="S1" s="198"/>
      <c r="T1" s="198"/>
      <c r="U1" s="198"/>
      <c r="V1" s="198"/>
      <c r="W1" s="198"/>
      <c r="X1" s="198"/>
      <c r="Y1" s="198"/>
      <c r="Z1" s="198"/>
    </row>
    <row r="2" spans="1:28" ht="16">
      <c r="B2" s="6" t="s">
        <v>355</v>
      </c>
    </row>
    <row r="3" spans="1:28">
      <c r="L3" s="177">
        <f>SUBTOTAL(9,L6:L91)</f>
        <v>1782.3088043305099</v>
      </c>
      <c r="M3" s="177">
        <f>SUBTOTAL(9,M6:M91)</f>
        <v>852.2587420243309</v>
      </c>
      <c r="N3" s="177">
        <f>SUBTOTAL(9,N6:N91)</f>
        <v>930.05006230617869</v>
      </c>
    </row>
    <row r="4" spans="1:28" s="4" customFormat="1" ht="31.5" customHeight="1">
      <c r="G4" s="207" t="s">
        <v>356</v>
      </c>
      <c r="H4" s="188"/>
      <c r="I4" s="188" t="s">
        <v>357</v>
      </c>
      <c r="J4" s="188"/>
      <c r="K4" s="188"/>
      <c r="L4" s="188"/>
      <c r="M4" s="188"/>
      <c r="N4" s="175"/>
      <c r="O4" s="49"/>
      <c r="P4" s="49"/>
    </row>
    <row r="5" spans="1:28" s="4" customFormat="1" ht="82">
      <c r="B5" s="63" t="s">
        <v>211</v>
      </c>
      <c r="C5" s="63" t="s">
        <v>358</v>
      </c>
      <c r="D5" s="64" t="s">
        <v>359</v>
      </c>
      <c r="E5" s="63" t="s">
        <v>360</v>
      </c>
      <c r="F5" s="63" t="s">
        <v>361</v>
      </c>
      <c r="G5" s="117" t="s">
        <v>362</v>
      </c>
      <c r="H5" s="117" t="s">
        <v>363</v>
      </c>
      <c r="I5" s="19" t="s">
        <v>364</v>
      </c>
      <c r="J5" s="63" t="s">
        <v>365</v>
      </c>
      <c r="K5" s="63" t="s">
        <v>366</v>
      </c>
      <c r="L5" s="171" t="s">
        <v>367</v>
      </c>
      <c r="M5" s="176" t="s">
        <v>368</v>
      </c>
      <c r="N5" s="176" t="s">
        <v>369</v>
      </c>
      <c r="O5" s="63" t="s">
        <v>370</v>
      </c>
      <c r="P5" s="63" t="s">
        <v>371</v>
      </c>
      <c r="Q5" s="64" t="s">
        <v>372</v>
      </c>
      <c r="R5" s="63" t="s">
        <v>216</v>
      </c>
      <c r="S5" s="64" t="s">
        <v>209</v>
      </c>
      <c r="T5" s="64" t="s">
        <v>210</v>
      </c>
      <c r="U5" s="63" t="s">
        <v>217</v>
      </c>
      <c r="V5" s="63" t="s">
        <v>218</v>
      </c>
      <c r="W5" s="63" t="s">
        <v>373</v>
      </c>
      <c r="X5" s="64" t="s">
        <v>374</v>
      </c>
      <c r="Y5" s="63" t="s">
        <v>221</v>
      </c>
      <c r="Z5" s="64" t="s">
        <v>375</v>
      </c>
      <c r="AA5" s="64"/>
    </row>
    <row r="6" spans="1:28" s="153" customFormat="1">
      <c r="A6" s="153">
        <v>1</v>
      </c>
      <c r="B6" s="153" t="s">
        <v>376</v>
      </c>
      <c r="C6" s="153" t="s">
        <v>377</v>
      </c>
      <c r="D6" s="153" t="s">
        <v>378</v>
      </c>
      <c r="E6" s="153" t="s">
        <v>379</v>
      </c>
      <c r="F6" s="153" t="s">
        <v>380</v>
      </c>
      <c r="G6" s="154">
        <v>43292</v>
      </c>
      <c r="H6" s="154">
        <v>45473</v>
      </c>
      <c r="I6" s="152">
        <v>1113604956586</v>
      </c>
      <c r="J6" s="152">
        <v>326092254416</v>
      </c>
      <c r="K6" s="152">
        <v>787512702170</v>
      </c>
      <c r="L6" s="155">
        <v>72.914393821683433</v>
      </c>
      <c r="M6" s="155">
        <v>22.853196048496741</v>
      </c>
      <c r="N6" s="178">
        <v>50.061197773186699</v>
      </c>
      <c r="O6" s="179" t="s">
        <v>381</v>
      </c>
      <c r="P6" s="153" t="s">
        <v>382</v>
      </c>
      <c r="Q6" s="153" t="s">
        <v>383</v>
      </c>
      <c r="R6" s="153" t="s">
        <v>205</v>
      </c>
      <c r="S6" s="153" t="s">
        <v>384</v>
      </c>
      <c r="T6" s="153" t="s">
        <v>385</v>
      </c>
      <c r="U6" s="156">
        <v>0</v>
      </c>
      <c r="V6" s="156">
        <v>1</v>
      </c>
      <c r="W6" s="156" t="s">
        <v>206</v>
      </c>
      <c r="X6" s="153" t="s">
        <v>386</v>
      </c>
      <c r="Y6" s="153" t="s">
        <v>387</v>
      </c>
      <c r="Z6" s="153" t="s">
        <v>387</v>
      </c>
      <c r="AB6" s="157"/>
    </row>
    <row r="7" spans="1:28" s="153" customFormat="1">
      <c r="A7" s="153">
        <v>2</v>
      </c>
      <c r="B7" s="153" t="s">
        <v>376</v>
      </c>
      <c r="C7" s="153" t="s">
        <v>388</v>
      </c>
      <c r="D7" s="153" t="s">
        <v>378</v>
      </c>
      <c r="E7" s="153" t="s">
        <v>379</v>
      </c>
      <c r="F7" s="153" t="s">
        <v>389</v>
      </c>
      <c r="G7" s="154">
        <v>43306</v>
      </c>
      <c r="H7" s="154">
        <v>45473</v>
      </c>
      <c r="I7" s="152">
        <v>1113386712685</v>
      </c>
      <c r="J7" s="152">
        <v>326091447321</v>
      </c>
      <c r="K7" s="152">
        <v>787295265364</v>
      </c>
      <c r="L7" s="155">
        <v>72.900515072979914</v>
      </c>
      <c r="M7" s="155">
        <v>22.853139485668233</v>
      </c>
      <c r="N7" s="178">
        <v>50.047375587311677</v>
      </c>
      <c r="O7" s="179" t="s">
        <v>381</v>
      </c>
      <c r="P7" s="153" t="s">
        <v>382</v>
      </c>
      <c r="Q7" s="153" t="s">
        <v>383</v>
      </c>
      <c r="R7" s="153" t="s">
        <v>205</v>
      </c>
      <c r="S7" s="153" t="s">
        <v>384</v>
      </c>
      <c r="T7" s="153" t="s">
        <v>385</v>
      </c>
      <c r="U7" s="156">
        <v>0</v>
      </c>
      <c r="V7" s="156">
        <v>1</v>
      </c>
      <c r="W7" s="156" t="s">
        <v>206</v>
      </c>
      <c r="X7" s="153" t="s">
        <v>390</v>
      </c>
      <c r="Y7" s="153" t="s">
        <v>391</v>
      </c>
      <c r="Z7" s="153" t="s">
        <v>392</v>
      </c>
      <c r="AB7" s="157"/>
    </row>
    <row r="8" spans="1:28" s="153" customFormat="1">
      <c r="A8" s="153">
        <v>3</v>
      </c>
      <c r="B8" s="153" t="s">
        <v>393</v>
      </c>
      <c r="C8" s="153" t="s">
        <v>394</v>
      </c>
      <c r="D8" s="153" t="s">
        <v>378</v>
      </c>
      <c r="E8" s="153" t="s">
        <v>379</v>
      </c>
      <c r="F8" s="153" t="s">
        <v>389</v>
      </c>
      <c r="G8" s="154">
        <v>43836</v>
      </c>
      <c r="H8" s="154">
        <v>45991</v>
      </c>
      <c r="I8" s="152">
        <v>225191337817</v>
      </c>
      <c r="J8" s="152">
        <v>46801003161</v>
      </c>
      <c r="K8" s="152">
        <v>178390334656</v>
      </c>
      <c r="L8" s="155">
        <v>14.619958228582838</v>
      </c>
      <c r="M8" s="155">
        <v>3.2799077132945547</v>
      </c>
      <c r="N8" s="155">
        <v>11.340050515288285</v>
      </c>
      <c r="O8" s="153" t="s">
        <v>381</v>
      </c>
      <c r="P8" s="153" t="s">
        <v>382</v>
      </c>
      <c r="Q8" s="153" t="s">
        <v>395</v>
      </c>
      <c r="R8" s="153" t="s">
        <v>396</v>
      </c>
      <c r="S8" s="153" t="s">
        <v>258</v>
      </c>
      <c r="T8" s="158" t="s">
        <v>397</v>
      </c>
      <c r="U8" s="156">
        <v>0</v>
      </c>
      <c r="V8" s="156">
        <v>0</v>
      </c>
      <c r="W8" s="156" t="s">
        <v>398</v>
      </c>
      <c r="X8" s="153" t="s">
        <v>399</v>
      </c>
      <c r="Y8" s="153" t="s">
        <v>391</v>
      </c>
      <c r="Z8" s="153" t="s">
        <v>392</v>
      </c>
    </row>
    <row r="9" spans="1:28" s="153" customFormat="1">
      <c r="A9" s="153">
        <v>4</v>
      </c>
      <c r="B9" s="153" t="s">
        <v>400</v>
      </c>
      <c r="C9" s="153" t="s">
        <v>401</v>
      </c>
      <c r="D9" s="153" t="s">
        <v>378</v>
      </c>
      <c r="E9" s="153" t="s">
        <v>379</v>
      </c>
      <c r="F9" s="153" t="s">
        <v>389</v>
      </c>
      <c r="G9" s="154">
        <v>42676</v>
      </c>
      <c r="H9" s="154">
        <v>45107</v>
      </c>
      <c r="I9" s="152">
        <v>379644011707</v>
      </c>
      <c r="J9" s="152">
        <v>161612442028</v>
      </c>
      <c r="K9" s="152">
        <v>218031569679</v>
      </c>
      <c r="L9" s="155">
        <v>25.186116763698156</v>
      </c>
      <c r="M9" s="155">
        <v>11.32612250529119</v>
      </c>
      <c r="N9" s="155">
        <v>13.859994258406967</v>
      </c>
      <c r="O9" s="153" t="s">
        <v>381</v>
      </c>
      <c r="P9" s="153" t="s">
        <v>382</v>
      </c>
      <c r="Q9" s="153" t="s">
        <v>395</v>
      </c>
      <c r="R9" s="153" t="s">
        <v>205</v>
      </c>
      <c r="S9" s="153" t="s">
        <v>334</v>
      </c>
      <c r="T9" s="153" t="s">
        <v>402</v>
      </c>
      <c r="U9" s="156">
        <v>0</v>
      </c>
      <c r="V9" s="156">
        <v>0</v>
      </c>
      <c r="W9" s="156" t="s">
        <v>398</v>
      </c>
      <c r="X9" s="153" t="s">
        <v>403</v>
      </c>
      <c r="Y9" s="153" t="s">
        <v>404</v>
      </c>
      <c r="Z9" s="153" t="s">
        <v>405</v>
      </c>
    </row>
    <row r="10" spans="1:28" s="153" customFormat="1">
      <c r="A10" s="153">
        <v>5</v>
      </c>
      <c r="B10" s="153" t="s">
        <v>406</v>
      </c>
      <c r="C10" s="153" t="s">
        <v>407</v>
      </c>
      <c r="D10" s="153" t="s">
        <v>378</v>
      </c>
      <c r="E10" s="153" t="s">
        <v>379</v>
      </c>
      <c r="F10" s="153" t="s">
        <v>408</v>
      </c>
      <c r="G10" s="154">
        <v>43845</v>
      </c>
      <c r="H10" s="154">
        <v>45851</v>
      </c>
      <c r="I10" s="152">
        <v>74012415374</v>
      </c>
      <c r="J10" s="152">
        <v>25927879641</v>
      </c>
      <c r="K10" s="152">
        <v>48084535733</v>
      </c>
      <c r="L10" s="155">
        <v>4.8737513673829955</v>
      </c>
      <c r="M10" s="155">
        <v>1.8170775556100638</v>
      </c>
      <c r="N10" s="155">
        <v>3.0566738117729324</v>
      </c>
      <c r="O10" s="153" t="s">
        <v>381</v>
      </c>
      <c r="P10" s="153" t="s">
        <v>382</v>
      </c>
      <c r="Q10" s="153" t="s">
        <v>395</v>
      </c>
      <c r="R10" s="153" t="s">
        <v>205</v>
      </c>
      <c r="S10" s="153" t="s">
        <v>384</v>
      </c>
      <c r="T10" s="153" t="s">
        <v>385</v>
      </c>
      <c r="U10" s="156">
        <v>0</v>
      </c>
      <c r="V10" s="156">
        <v>1</v>
      </c>
      <c r="W10" s="156" t="s">
        <v>398</v>
      </c>
      <c r="X10" s="153" t="s">
        <v>409</v>
      </c>
      <c r="Y10" s="153" t="s">
        <v>410</v>
      </c>
      <c r="Z10" s="153" t="s">
        <v>410</v>
      </c>
    </row>
    <row r="11" spans="1:28" s="153" customFormat="1">
      <c r="A11" s="153">
        <v>6</v>
      </c>
      <c r="B11" s="153" t="s">
        <v>411</v>
      </c>
      <c r="C11" s="153" t="s">
        <v>412</v>
      </c>
      <c r="D11" s="153" t="s">
        <v>378</v>
      </c>
      <c r="E11" s="153" t="s">
        <v>379</v>
      </c>
      <c r="F11" s="153" t="s">
        <v>389</v>
      </c>
      <c r="G11" s="154">
        <v>42779</v>
      </c>
      <c r="H11" s="154">
        <v>45199</v>
      </c>
      <c r="I11" s="152">
        <v>189650646085</v>
      </c>
      <c r="J11" s="152">
        <v>99652957543</v>
      </c>
      <c r="K11" s="152">
        <v>89997688542</v>
      </c>
      <c r="L11" s="155">
        <v>12.704918693211352</v>
      </c>
      <c r="M11" s="155">
        <v>6.9838781654635929</v>
      </c>
      <c r="N11" s="155">
        <v>5.7210405277477596</v>
      </c>
      <c r="O11" s="153" t="s">
        <v>381</v>
      </c>
      <c r="P11" s="153" t="s">
        <v>382</v>
      </c>
      <c r="Q11" s="153" t="s">
        <v>395</v>
      </c>
      <c r="R11" s="153" t="s">
        <v>205</v>
      </c>
      <c r="S11" s="153" t="s">
        <v>384</v>
      </c>
      <c r="T11" s="153" t="s">
        <v>385</v>
      </c>
      <c r="U11" s="156">
        <v>0</v>
      </c>
      <c r="V11" s="156">
        <v>0</v>
      </c>
      <c r="W11" s="156" t="s">
        <v>398</v>
      </c>
      <c r="X11" s="153" t="s">
        <v>413</v>
      </c>
      <c r="Y11" s="153" t="s">
        <v>414</v>
      </c>
      <c r="Z11" s="153" t="s">
        <v>414</v>
      </c>
    </row>
    <row r="12" spans="1:28" s="153" customFormat="1">
      <c r="A12" s="153">
        <v>7</v>
      </c>
      <c r="B12" s="153" t="s">
        <v>415</v>
      </c>
      <c r="C12" s="153" t="s">
        <v>416</v>
      </c>
      <c r="D12" s="153" t="s">
        <v>378</v>
      </c>
      <c r="E12" s="153" t="s">
        <v>379</v>
      </c>
      <c r="F12" s="153" t="s">
        <v>408</v>
      </c>
      <c r="G12" s="154">
        <v>43108</v>
      </c>
      <c r="H12" s="154">
        <v>45199</v>
      </c>
      <c r="I12" s="152">
        <v>61357384174</v>
      </c>
      <c r="J12" s="152">
        <v>18494697282</v>
      </c>
      <c r="K12" s="152">
        <v>42862686892</v>
      </c>
      <c r="L12" s="155">
        <v>4.0208727100769757</v>
      </c>
      <c r="M12" s="155">
        <v>1.2961452997406966</v>
      </c>
      <c r="N12" s="155">
        <v>2.7247274103362789</v>
      </c>
      <c r="O12" s="153" t="s">
        <v>381</v>
      </c>
      <c r="P12" s="153" t="s">
        <v>382</v>
      </c>
      <c r="Q12" s="153" t="s">
        <v>395</v>
      </c>
      <c r="R12" s="153" t="s">
        <v>205</v>
      </c>
      <c r="S12" s="153" t="s">
        <v>384</v>
      </c>
      <c r="T12" s="153" t="s">
        <v>385</v>
      </c>
      <c r="U12" s="156">
        <v>0</v>
      </c>
      <c r="V12" s="156">
        <v>1</v>
      </c>
      <c r="W12" s="156" t="s">
        <v>398</v>
      </c>
      <c r="X12" s="153" t="s">
        <v>417</v>
      </c>
      <c r="Y12" s="153" t="s">
        <v>414</v>
      </c>
      <c r="Z12" s="153" t="s">
        <v>414</v>
      </c>
    </row>
    <row r="13" spans="1:28" s="153" customFormat="1">
      <c r="A13" s="153">
        <v>8</v>
      </c>
      <c r="B13" s="153" t="s">
        <v>418</v>
      </c>
      <c r="C13" s="153" t="s">
        <v>419</v>
      </c>
      <c r="D13" s="153" t="s">
        <v>378</v>
      </c>
      <c r="E13" s="153" t="s">
        <v>379</v>
      </c>
      <c r="F13" s="153" t="s">
        <v>408</v>
      </c>
      <c r="G13" s="154">
        <v>43822</v>
      </c>
      <c r="H13" s="154">
        <v>45838</v>
      </c>
      <c r="I13" s="152">
        <v>110958570396</v>
      </c>
      <c r="J13" s="152">
        <v>21500032813</v>
      </c>
      <c r="K13" s="152">
        <v>89458537583</v>
      </c>
      <c r="L13" s="155">
        <v>7.1935325876453184</v>
      </c>
      <c r="M13" s="155">
        <v>1.5067652122082835</v>
      </c>
      <c r="N13" s="155">
        <v>5.6867673754370349</v>
      </c>
      <c r="O13" s="153" t="s">
        <v>381</v>
      </c>
      <c r="P13" s="153" t="s">
        <v>382</v>
      </c>
      <c r="Q13" s="153" t="s">
        <v>395</v>
      </c>
      <c r="R13" s="153" t="s">
        <v>205</v>
      </c>
      <c r="S13" s="153" t="s">
        <v>384</v>
      </c>
      <c r="T13" s="153" t="s">
        <v>385</v>
      </c>
      <c r="U13" s="156">
        <v>0</v>
      </c>
      <c r="V13" s="156">
        <v>0</v>
      </c>
      <c r="W13" s="156" t="s">
        <v>398</v>
      </c>
      <c r="X13" s="153" t="s">
        <v>420</v>
      </c>
      <c r="Y13" s="153" t="s">
        <v>414</v>
      </c>
      <c r="Z13" s="153" t="s">
        <v>414</v>
      </c>
    </row>
    <row r="14" spans="1:28" s="153" customFormat="1">
      <c r="A14" s="153">
        <v>9</v>
      </c>
      <c r="B14" s="153" t="s">
        <v>421</v>
      </c>
      <c r="C14" s="153" t="s">
        <v>422</v>
      </c>
      <c r="D14" s="153" t="s">
        <v>378</v>
      </c>
      <c r="E14" s="153" t="s">
        <v>379</v>
      </c>
      <c r="F14" s="153" t="s">
        <v>408</v>
      </c>
      <c r="G14" s="154">
        <v>43633</v>
      </c>
      <c r="H14" s="154">
        <v>46022</v>
      </c>
      <c r="I14" s="152">
        <v>275020567805</v>
      </c>
      <c r="J14" s="152">
        <v>104798712917</v>
      </c>
      <c r="K14" s="152">
        <v>170221854888</v>
      </c>
      <c r="L14" s="155">
        <v>18.165293442949629</v>
      </c>
      <c r="M14" s="155">
        <v>7.344502972668022</v>
      </c>
      <c r="N14" s="155">
        <v>10.82079047028161</v>
      </c>
      <c r="O14" s="153" t="s">
        <v>381</v>
      </c>
      <c r="P14" s="153" t="s">
        <v>382</v>
      </c>
      <c r="Q14" s="153" t="s">
        <v>395</v>
      </c>
      <c r="R14" s="153" t="s">
        <v>205</v>
      </c>
      <c r="S14" s="153" t="s">
        <v>384</v>
      </c>
      <c r="T14" s="153" t="s">
        <v>385</v>
      </c>
      <c r="U14" s="156">
        <v>0</v>
      </c>
      <c r="V14" s="156">
        <v>0</v>
      </c>
      <c r="W14" s="156" t="s">
        <v>398</v>
      </c>
      <c r="X14" s="153" t="s">
        <v>423</v>
      </c>
      <c r="Y14" s="153" t="s">
        <v>414</v>
      </c>
      <c r="Z14" s="153" t="s">
        <v>414</v>
      </c>
    </row>
    <row r="15" spans="1:28" s="153" customFormat="1">
      <c r="A15" s="153">
        <v>10</v>
      </c>
      <c r="B15" s="153" t="s">
        <v>424</v>
      </c>
      <c r="C15" s="153" t="s">
        <v>425</v>
      </c>
      <c r="D15" s="153" t="s">
        <v>378</v>
      </c>
      <c r="E15" s="153" t="s">
        <v>379</v>
      </c>
      <c r="F15" s="153" t="s">
        <v>426</v>
      </c>
      <c r="G15" s="154">
        <v>43738</v>
      </c>
      <c r="H15" s="154">
        <v>45199</v>
      </c>
      <c r="I15" s="152">
        <v>559621796268</v>
      </c>
      <c r="J15" s="152">
        <v>72862292362</v>
      </c>
      <c r="K15" s="152">
        <v>486759503906</v>
      </c>
      <c r="L15" s="155">
        <v>36.049027897678961</v>
      </c>
      <c r="M15" s="155">
        <v>5.1063348771462609</v>
      </c>
      <c r="N15" s="155">
        <v>30.942693020532705</v>
      </c>
      <c r="O15" s="153" t="s">
        <v>381</v>
      </c>
      <c r="P15" s="153" t="s">
        <v>382</v>
      </c>
      <c r="Q15" s="153" t="s">
        <v>395</v>
      </c>
      <c r="R15" s="153" t="s">
        <v>427</v>
      </c>
      <c r="S15" s="153" t="s">
        <v>444</v>
      </c>
      <c r="T15" s="153" t="s">
        <v>429</v>
      </c>
      <c r="U15" s="156">
        <v>0</v>
      </c>
      <c r="V15" s="156">
        <v>0</v>
      </c>
      <c r="W15" s="156" t="s">
        <v>398</v>
      </c>
      <c r="X15" s="153" t="s">
        <v>430</v>
      </c>
      <c r="Y15" s="153" t="s">
        <v>405</v>
      </c>
      <c r="Z15" s="153" t="s">
        <v>405</v>
      </c>
    </row>
    <row r="16" spans="1:28" s="153" customFormat="1">
      <c r="A16" s="153">
        <v>11</v>
      </c>
      <c r="B16" s="153" t="s">
        <v>431</v>
      </c>
      <c r="C16" s="153" t="s">
        <v>432</v>
      </c>
      <c r="D16" s="153" t="s">
        <v>433</v>
      </c>
      <c r="E16" s="153" t="s">
        <v>379</v>
      </c>
      <c r="F16" s="153" t="s">
        <v>426</v>
      </c>
      <c r="G16" s="154">
        <v>42342</v>
      </c>
      <c r="H16" s="154">
        <v>44651</v>
      </c>
      <c r="I16" s="152">
        <v>116166979964</v>
      </c>
      <c r="J16" s="152">
        <v>43527186124</v>
      </c>
      <c r="K16" s="152">
        <v>72639793840</v>
      </c>
      <c r="L16" s="155">
        <v>7.6680929468211572</v>
      </c>
      <c r="M16" s="155">
        <v>3.0504720810147874</v>
      </c>
      <c r="N16" s="155">
        <v>4.6176208658063702</v>
      </c>
      <c r="O16" s="153" t="s">
        <v>381</v>
      </c>
      <c r="P16" s="153" t="s">
        <v>382</v>
      </c>
      <c r="Q16" s="153" t="s">
        <v>395</v>
      </c>
      <c r="R16" s="153" t="s">
        <v>157</v>
      </c>
      <c r="S16" s="153" t="s">
        <v>434</v>
      </c>
      <c r="T16" s="153" t="s">
        <v>434</v>
      </c>
      <c r="U16" s="156">
        <v>0</v>
      </c>
      <c r="V16" s="156">
        <v>0</v>
      </c>
      <c r="W16" s="156" t="s">
        <v>398</v>
      </c>
      <c r="X16" s="153" t="s">
        <v>435</v>
      </c>
      <c r="Y16" s="153" t="s">
        <v>436</v>
      </c>
      <c r="Z16" s="153" t="s">
        <v>437</v>
      </c>
    </row>
    <row r="17" spans="1:26" s="153" customFormat="1">
      <c r="A17" s="153">
        <v>12</v>
      </c>
      <c r="B17" s="153" t="s">
        <v>438</v>
      </c>
      <c r="C17" s="153" t="s">
        <v>439</v>
      </c>
      <c r="D17" s="153" t="s">
        <v>433</v>
      </c>
      <c r="E17" s="153" t="s">
        <v>379</v>
      </c>
      <c r="F17" s="153" t="s">
        <v>426</v>
      </c>
      <c r="G17" s="154">
        <v>41694</v>
      </c>
      <c r="H17" s="154">
        <v>46196</v>
      </c>
      <c r="I17" s="152">
        <v>72404024177</v>
      </c>
      <c r="J17" s="152">
        <v>36337145920</v>
      </c>
      <c r="K17" s="152">
        <v>36066878257</v>
      </c>
      <c r="L17" s="155">
        <v>4.839306065533945</v>
      </c>
      <c r="M17" s="155">
        <v>2.5465797126638168</v>
      </c>
      <c r="N17" s="155">
        <v>2.2927263528701292</v>
      </c>
      <c r="O17" s="153" t="s">
        <v>381</v>
      </c>
      <c r="P17" s="153" t="s">
        <v>382</v>
      </c>
      <c r="Q17" s="153" t="s">
        <v>395</v>
      </c>
      <c r="R17" s="153" t="s">
        <v>157</v>
      </c>
      <c r="S17" s="153" t="s">
        <v>434</v>
      </c>
      <c r="T17" s="153" t="s">
        <v>434</v>
      </c>
      <c r="U17" s="156">
        <v>0</v>
      </c>
      <c r="V17" s="156">
        <v>0</v>
      </c>
      <c r="W17" s="156" t="s">
        <v>398</v>
      </c>
      <c r="X17" s="153" t="s">
        <v>435</v>
      </c>
      <c r="Y17" s="153" t="s">
        <v>436</v>
      </c>
      <c r="Z17" s="153" t="s">
        <v>437</v>
      </c>
    </row>
    <row r="18" spans="1:26" s="153" customFormat="1">
      <c r="A18" s="153">
        <v>13</v>
      </c>
      <c r="B18" s="153" t="s">
        <v>440</v>
      </c>
      <c r="C18" s="153" t="s">
        <v>441</v>
      </c>
      <c r="D18" s="153" t="s">
        <v>378</v>
      </c>
      <c r="E18" s="153" t="s">
        <v>379</v>
      </c>
      <c r="F18" s="153" t="s">
        <v>389</v>
      </c>
      <c r="G18" s="154">
        <v>42702</v>
      </c>
      <c r="H18" s="154">
        <v>44680</v>
      </c>
      <c r="I18" s="152">
        <v>1271545391895</v>
      </c>
      <c r="J18" s="152">
        <v>692643545614</v>
      </c>
      <c r="K18" s="152">
        <v>578901846281</v>
      </c>
      <c r="L18" s="155">
        <v>85.341908659068409</v>
      </c>
      <c r="M18" s="155">
        <v>48.541842148293505</v>
      </c>
      <c r="N18" s="155">
        <v>36.800066510774904</v>
      </c>
      <c r="O18" s="153" t="s">
        <v>381</v>
      </c>
      <c r="P18" s="153" t="s">
        <v>382</v>
      </c>
      <c r="Q18" s="153" t="s">
        <v>395</v>
      </c>
      <c r="R18" s="153" t="s">
        <v>205</v>
      </c>
      <c r="S18" s="153" t="s">
        <v>334</v>
      </c>
      <c r="T18" s="153" t="s">
        <v>402</v>
      </c>
      <c r="U18" s="156">
        <v>0</v>
      </c>
      <c r="V18" s="156">
        <v>0</v>
      </c>
      <c r="W18" s="156" t="s">
        <v>398</v>
      </c>
      <c r="X18" s="153" t="s">
        <v>403</v>
      </c>
      <c r="Y18" s="153" t="s">
        <v>405</v>
      </c>
      <c r="Z18" s="153" t="s">
        <v>405</v>
      </c>
    </row>
    <row r="19" spans="1:26" s="153" customFormat="1">
      <c r="A19" s="153">
        <v>14</v>
      </c>
      <c r="B19" s="153" t="s">
        <v>442</v>
      </c>
      <c r="C19" s="153" t="s">
        <v>443</v>
      </c>
      <c r="D19" s="153" t="s">
        <v>378</v>
      </c>
      <c r="E19" s="153" t="s">
        <v>379</v>
      </c>
      <c r="F19" s="153" t="s">
        <v>389</v>
      </c>
      <c r="G19" s="154">
        <v>41772</v>
      </c>
      <c r="H19" s="154">
        <v>45291</v>
      </c>
      <c r="I19" s="152">
        <v>538050397290</v>
      </c>
      <c r="J19" s="152">
        <v>233155575298</v>
      </c>
      <c r="K19" s="152">
        <v>304894821992</v>
      </c>
      <c r="L19" s="155">
        <v>35.721790674681777</v>
      </c>
      <c r="M19" s="155">
        <v>16.340008080313968</v>
      </c>
      <c r="N19" s="155">
        <v>19.381782594367809</v>
      </c>
      <c r="O19" s="153" t="s">
        <v>381</v>
      </c>
      <c r="P19" s="153" t="s">
        <v>382</v>
      </c>
      <c r="Q19" s="153" t="s">
        <v>395</v>
      </c>
      <c r="R19" s="153" t="s">
        <v>427</v>
      </c>
      <c r="S19" s="153" t="s">
        <v>444</v>
      </c>
      <c r="T19" s="153" t="s">
        <v>1698</v>
      </c>
      <c r="U19" s="156">
        <v>0</v>
      </c>
      <c r="V19" s="156">
        <v>0</v>
      </c>
      <c r="W19" s="156" t="s">
        <v>398</v>
      </c>
      <c r="X19" s="153" t="s">
        <v>445</v>
      </c>
      <c r="Y19" s="153" t="s">
        <v>405</v>
      </c>
      <c r="Z19" s="153" t="s">
        <v>405</v>
      </c>
    </row>
    <row r="20" spans="1:26" s="153" customFormat="1">
      <c r="A20" s="153">
        <v>15</v>
      </c>
      <c r="B20" s="153" t="s">
        <v>446</v>
      </c>
      <c r="C20" s="153" t="s">
        <v>447</v>
      </c>
      <c r="D20" s="153" t="s">
        <v>378</v>
      </c>
      <c r="E20" s="153" t="s">
        <v>379</v>
      </c>
      <c r="F20" s="153" t="s">
        <v>389</v>
      </c>
      <c r="G20" s="154">
        <v>41772</v>
      </c>
      <c r="H20" s="154">
        <v>45283</v>
      </c>
      <c r="I20" s="152">
        <v>206621064302</v>
      </c>
      <c r="J20" s="152">
        <v>91549628554</v>
      </c>
      <c r="K20" s="152">
        <v>115071435748</v>
      </c>
      <c r="L20" s="155">
        <v>13.730927981681802</v>
      </c>
      <c r="M20" s="155">
        <v>6.4159806961945476</v>
      </c>
      <c r="N20" s="155">
        <v>7.3149472854872544</v>
      </c>
      <c r="O20" s="153" t="s">
        <v>381</v>
      </c>
      <c r="P20" s="153" t="s">
        <v>382</v>
      </c>
      <c r="Q20" s="153" t="s">
        <v>395</v>
      </c>
      <c r="R20" s="153" t="s">
        <v>427</v>
      </c>
      <c r="S20" s="153" t="s">
        <v>444</v>
      </c>
      <c r="T20" s="153" t="s">
        <v>1698</v>
      </c>
      <c r="U20" s="156">
        <v>0</v>
      </c>
      <c r="V20" s="156">
        <v>0</v>
      </c>
      <c r="W20" s="156" t="s">
        <v>398</v>
      </c>
      <c r="X20" s="153" t="s">
        <v>445</v>
      </c>
      <c r="Y20" s="153" t="s">
        <v>405</v>
      </c>
      <c r="Z20" s="153" t="s">
        <v>405</v>
      </c>
    </row>
    <row r="21" spans="1:26" s="153" customFormat="1">
      <c r="A21" s="153">
        <v>16</v>
      </c>
      <c r="B21" s="153" t="s">
        <v>448</v>
      </c>
      <c r="C21" s="153" t="s">
        <v>449</v>
      </c>
      <c r="D21" s="153" t="s">
        <v>456</v>
      </c>
      <c r="E21" s="153" t="s">
        <v>379</v>
      </c>
      <c r="F21" s="153" t="s">
        <v>389</v>
      </c>
      <c r="G21" s="154">
        <v>40899</v>
      </c>
      <c r="H21" s="154">
        <v>44726</v>
      </c>
      <c r="I21" s="152">
        <v>238564624305</v>
      </c>
      <c r="J21" s="152">
        <v>141466187890</v>
      </c>
      <c r="K21" s="152">
        <v>97098436415</v>
      </c>
      <c r="L21" s="155">
        <f>M21+N21</f>
        <v>16.084232804681477</v>
      </c>
      <c r="M21" s="155">
        <v>9.9142328046814789</v>
      </c>
      <c r="N21" s="155">
        <v>6.17</v>
      </c>
      <c r="O21" s="153" t="s">
        <v>381</v>
      </c>
      <c r="P21" s="153" t="s">
        <v>450</v>
      </c>
      <c r="Q21" s="153" t="s">
        <v>395</v>
      </c>
      <c r="R21" s="153" t="s">
        <v>205</v>
      </c>
      <c r="S21" s="153" t="s">
        <v>334</v>
      </c>
      <c r="T21" s="153" t="s">
        <v>402</v>
      </c>
      <c r="U21" s="156">
        <v>0</v>
      </c>
      <c r="V21" s="156">
        <v>0</v>
      </c>
      <c r="W21" s="156" t="s">
        <v>398</v>
      </c>
      <c r="X21" s="158" t="s">
        <v>451</v>
      </c>
      <c r="Y21" s="153" t="s">
        <v>452</v>
      </c>
      <c r="Z21" s="153" t="s">
        <v>453</v>
      </c>
    </row>
    <row r="22" spans="1:26" s="153" customFormat="1">
      <c r="A22" s="153">
        <v>17</v>
      </c>
      <c r="B22" s="153" t="s">
        <v>454</v>
      </c>
      <c r="C22" s="153" t="s">
        <v>455</v>
      </c>
      <c r="D22" s="153" t="s">
        <v>456</v>
      </c>
      <c r="E22" s="153" t="s">
        <v>379</v>
      </c>
      <c r="F22" s="153" t="s">
        <v>389</v>
      </c>
      <c r="G22" s="154">
        <v>43403</v>
      </c>
      <c r="H22" s="154">
        <v>45306</v>
      </c>
      <c r="I22" s="152">
        <v>44293533954</v>
      </c>
      <c r="J22" s="152">
        <v>5821546215</v>
      </c>
      <c r="K22" s="152">
        <v>38471987739</v>
      </c>
      <c r="L22" s="155">
        <f>M22+N22</f>
        <v>2.8556161552984554</v>
      </c>
      <c r="M22" s="155">
        <v>0.41</v>
      </c>
      <c r="N22" s="155">
        <v>2.4456161552984552</v>
      </c>
      <c r="O22" s="153" t="s">
        <v>381</v>
      </c>
      <c r="P22" s="153" t="s">
        <v>450</v>
      </c>
      <c r="Q22" s="153" t="s">
        <v>395</v>
      </c>
      <c r="R22" s="153" t="s">
        <v>205</v>
      </c>
      <c r="S22" s="153" t="s">
        <v>334</v>
      </c>
      <c r="T22" s="153" t="s">
        <v>402</v>
      </c>
      <c r="U22" s="156">
        <v>0</v>
      </c>
      <c r="V22" s="156">
        <v>0</v>
      </c>
      <c r="W22" s="156" t="s">
        <v>398</v>
      </c>
      <c r="X22" s="158" t="s">
        <v>451</v>
      </c>
      <c r="Y22" s="153" t="s">
        <v>452</v>
      </c>
      <c r="Z22" s="153" t="s">
        <v>453</v>
      </c>
    </row>
    <row r="23" spans="1:26" s="153" customFormat="1">
      <c r="A23" s="153">
        <v>18</v>
      </c>
      <c r="B23" s="153" t="s">
        <v>457</v>
      </c>
      <c r="C23" s="153" t="s">
        <v>458</v>
      </c>
      <c r="D23" s="153" t="s">
        <v>433</v>
      </c>
      <c r="E23" s="153" t="s">
        <v>379</v>
      </c>
      <c r="F23" s="153" t="s">
        <v>389</v>
      </c>
      <c r="G23" s="154">
        <v>42824</v>
      </c>
      <c r="H23" s="154">
        <v>45865</v>
      </c>
      <c r="I23" s="152">
        <v>47016442701</v>
      </c>
      <c r="J23" s="152">
        <v>26884219110</v>
      </c>
      <c r="K23" s="152">
        <v>20132223591</v>
      </c>
      <c r="L23" s="155">
        <f>M23+N23</f>
        <v>3.1638800147909896</v>
      </c>
      <c r="M23" s="155">
        <v>1.8840997343892354</v>
      </c>
      <c r="N23" s="155">
        <v>1.2797802804017544</v>
      </c>
      <c r="O23" s="153" t="s">
        <v>381</v>
      </c>
      <c r="P23" s="153" t="s">
        <v>382</v>
      </c>
      <c r="Q23" s="153" t="s">
        <v>395</v>
      </c>
      <c r="R23" s="153" t="s">
        <v>428</v>
      </c>
      <c r="S23" s="153" t="s">
        <v>428</v>
      </c>
      <c r="T23" s="153" t="s">
        <v>428</v>
      </c>
      <c r="U23" s="156">
        <v>0</v>
      </c>
      <c r="V23" s="156">
        <v>0</v>
      </c>
      <c r="W23" s="156" t="s">
        <v>398</v>
      </c>
      <c r="X23" s="153" t="s">
        <v>459</v>
      </c>
      <c r="Y23" s="153" t="s">
        <v>436</v>
      </c>
      <c r="Z23" s="153" t="s">
        <v>437</v>
      </c>
    </row>
    <row r="24" spans="1:26" s="153" customFormat="1">
      <c r="A24" s="153">
        <v>19</v>
      </c>
      <c r="B24" s="153" t="s">
        <v>460</v>
      </c>
      <c r="C24" s="153" t="s">
        <v>461</v>
      </c>
      <c r="D24" s="153" t="s">
        <v>433</v>
      </c>
      <c r="E24" s="153" t="s">
        <v>379</v>
      </c>
      <c r="F24" s="153" t="s">
        <v>389</v>
      </c>
      <c r="G24" s="154">
        <v>41694</v>
      </c>
      <c r="H24" s="154">
        <v>45100</v>
      </c>
      <c r="I24" s="152">
        <v>35367296233</v>
      </c>
      <c r="J24" s="152">
        <v>17489740603</v>
      </c>
      <c r="K24" s="152">
        <v>17877555630</v>
      </c>
      <c r="L24" s="155">
        <v>2.3621697871996483</v>
      </c>
      <c r="M24" s="155">
        <v>1.2257159298479221</v>
      </c>
      <c r="N24" s="155">
        <v>1.136453857351726</v>
      </c>
      <c r="O24" s="153" t="s">
        <v>381</v>
      </c>
      <c r="P24" s="153" t="s">
        <v>382</v>
      </c>
      <c r="Q24" s="153" t="s">
        <v>395</v>
      </c>
      <c r="R24" s="153" t="s">
        <v>427</v>
      </c>
      <c r="S24" s="153" t="s">
        <v>444</v>
      </c>
      <c r="T24" s="153" t="s">
        <v>1698</v>
      </c>
      <c r="U24" s="156">
        <v>0</v>
      </c>
      <c r="V24" s="156">
        <v>0</v>
      </c>
      <c r="W24" s="156" t="s">
        <v>398</v>
      </c>
      <c r="X24" s="153" t="s">
        <v>445</v>
      </c>
      <c r="Y24" s="153" t="s">
        <v>436</v>
      </c>
      <c r="Z24" s="153" t="s">
        <v>437</v>
      </c>
    </row>
    <row r="25" spans="1:26" s="153" customFormat="1">
      <c r="A25" s="153">
        <v>20</v>
      </c>
      <c r="B25" s="153" t="s">
        <v>462</v>
      </c>
      <c r="C25" s="153" t="s">
        <v>463</v>
      </c>
      <c r="D25" s="153" t="s">
        <v>433</v>
      </c>
      <c r="E25" s="153" t="s">
        <v>379</v>
      </c>
      <c r="F25" s="153" t="s">
        <v>389</v>
      </c>
      <c r="G25" s="154">
        <v>43657</v>
      </c>
      <c r="H25" s="154">
        <v>46424</v>
      </c>
      <c r="I25" s="152">
        <v>111082874011</v>
      </c>
      <c r="J25" s="152">
        <v>69925356222</v>
      </c>
      <c r="K25" s="152">
        <v>41157517789</v>
      </c>
      <c r="L25" s="155">
        <v>7.516840473118128</v>
      </c>
      <c r="M25" s="155">
        <v>4.9005085305207094</v>
      </c>
      <c r="N25" s="155">
        <v>2.616331942597419</v>
      </c>
      <c r="O25" s="153" t="s">
        <v>381</v>
      </c>
      <c r="P25" s="153" t="s">
        <v>382</v>
      </c>
      <c r="Q25" s="153" t="s">
        <v>395</v>
      </c>
      <c r="R25" s="153" t="s">
        <v>396</v>
      </c>
      <c r="S25" s="153" t="s">
        <v>258</v>
      </c>
      <c r="T25" s="158" t="s">
        <v>397</v>
      </c>
      <c r="U25" s="156">
        <v>0</v>
      </c>
      <c r="V25" s="156">
        <v>0</v>
      </c>
      <c r="W25" s="156" t="s">
        <v>398</v>
      </c>
      <c r="X25" s="153" t="s">
        <v>464</v>
      </c>
      <c r="Y25" s="153" t="s">
        <v>436</v>
      </c>
      <c r="Z25" s="153" t="s">
        <v>437</v>
      </c>
    </row>
    <row r="26" spans="1:26" s="153" customFormat="1">
      <c r="A26" s="153">
        <v>21</v>
      </c>
      <c r="B26" s="153" t="s">
        <v>465</v>
      </c>
      <c r="C26" s="153" t="s">
        <v>466</v>
      </c>
      <c r="D26" s="153" t="s">
        <v>433</v>
      </c>
      <c r="E26" s="153" t="s">
        <v>379</v>
      </c>
      <c r="F26" s="153" t="s">
        <v>389</v>
      </c>
      <c r="G26" s="154">
        <v>42824</v>
      </c>
      <c r="H26" s="154">
        <v>45865</v>
      </c>
      <c r="I26" s="152">
        <v>84765697508</v>
      </c>
      <c r="J26" s="152">
        <v>34967503735</v>
      </c>
      <c r="K26" s="152">
        <v>49798193773</v>
      </c>
      <c r="L26" s="155">
        <v>5.6162013652442448</v>
      </c>
      <c r="M26" s="155">
        <v>2.450592454621908</v>
      </c>
      <c r="N26" s="155">
        <v>3.1656089106223377</v>
      </c>
      <c r="O26" s="153" t="s">
        <v>381</v>
      </c>
      <c r="P26" s="153" t="s">
        <v>382</v>
      </c>
      <c r="Q26" s="153" t="s">
        <v>395</v>
      </c>
      <c r="R26" s="153" t="s">
        <v>205</v>
      </c>
      <c r="S26" s="153" t="s">
        <v>384</v>
      </c>
      <c r="T26" s="153" t="s">
        <v>385</v>
      </c>
      <c r="U26" s="156">
        <v>0</v>
      </c>
      <c r="V26" s="156">
        <v>0</v>
      </c>
      <c r="W26" s="156" t="s">
        <v>398</v>
      </c>
      <c r="X26" s="153" t="s">
        <v>467</v>
      </c>
      <c r="Y26" s="153" t="s">
        <v>436</v>
      </c>
      <c r="Z26" s="153" t="s">
        <v>437</v>
      </c>
    </row>
    <row r="27" spans="1:26" s="153" customFormat="1">
      <c r="A27" s="153">
        <v>22</v>
      </c>
      <c r="B27" s="153" t="s">
        <v>468</v>
      </c>
      <c r="C27" s="153" t="s">
        <v>469</v>
      </c>
      <c r="D27" s="153" t="s">
        <v>433</v>
      </c>
      <c r="E27" s="153" t="s">
        <v>379</v>
      </c>
      <c r="F27" s="153" t="s">
        <v>389</v>
      </c>
      <c r="G27" s="154">
        <v>42824</v>
      </c>
      <c r="H27" s="154">
        <v>46230</v>
      </c>
      <c r="I27" s="152">
        <v>1618246993972</v>
      </c>
      <c r="J27" s="152">
        <v>811078138659</v>
      </c>
      <c r="K27" s="152">
        <v>807168855313</v>
      </c>
      <c r="L27" s="155">
        <v>108.1526896671518</v>
      </c>
      <c r="M27" s="155">
        <v>56.841974816665498</v>
      </c>
      <c r="N27" s="155">
        <v>51.310714850486299</v>
      </c>
      <c r="O27" s="153" t="s">
        <v>381</v>
      </c>
      <c r="P27" s="153" t="s">
        <v>382</v>
      </c>
      <c r="Q27" s="153" t="s">
        <v>395</v>
      </c>
      <c r="R27" s="153" t="s">
        <v>205</v>
      </c>
      <c r="S27" s="153" t="s">
        <v>384</v>
      </c>
      <c r="T27" s="153" t="s">
        <v>385</v>
      </c>
      <c r="U27" s="156">
        <v>0</v>
      </c>
      <c r="V27" s="156">
        <v>0</v>
      </c>
      <c r="W27" s="156" t="s">
        <v>398</v>
      </c>
      <c r="X27" s="153" t="s">
        <v>386</v>
      </c>
      <c r="Y27" s="153" t="s">
        <v>436</v>
      </c>
      <c r="Z27" s="153" t="s">
        <v>437</v>
      </c>
    </row>
    <row r="28" spans="1:26" s="153" customFormat="1">
      <c r="A28" s="153">
        <v>23</v>
      </c>
      <c r="B28" s="153" t="s">
        <v>470</v>
      </c>
      <c r="C28" s="153" t="s">
        <v>471</v>
      </c>
      <c r="D28" s="153" t="s">
        <v>433</v>
      </c>
      <c r="E28" s="153" t="s">
        <v>379</v>
      </c>
      <c r="F28" s="153" t="s">
        <v>389</v>
      </c>
      <c r="G28" s="154">
        <v>41361</v>
      </c>
      <c r="H28" s="154">
        <v>44402</v>
      </c>
      <c r="I28" s="152">
        <v>34837027911</v>
      </c>
      <c r="J28" s="152">
        <v>34837027911</v>
      </c>
      <c r="K28" s="152">
        <v>0</v>
      </c>
      <c r="L28" s="155">
        <v>2.4414484484546919</v>
      </c>
      <c r="M28" s="155">
        <v>2.4414484484546919</v>
      </c>
      <c r="N28" s="155">
        <v>0</v>
      </c>
      <c r="O28" s="153" t="s">
        <v>381</v>
      </c>
      <c r="P28" s="153" t="s">
        <v>382</v>
      </c>
      <c r="Q28" s="153" t="s">
        <v>395</v>
      </c>
      <c r="R28" s="153" t="s">
        <v>205</v>
      </c>
      <c r="S28" s="153" t="s">
        <v>334</v>
      </c>
      <c r="T28" s="153" t="s">
        <v>402</v>
      </c>
      <c r="U28" s="156">
        <v>0</v>
      </c>
      <c r="V28" s="156">
        <v>0</v>
      </c>
      <c r="W28" s="156" t="s">
        <v>398</v>
      </c>
      <c r="X28" s="153" t="s">
        <v>403</v>
      </c>
      <c r="Y28" s="153" t="s">
        <v>436</v>
      </c>
      <c r="Z28" s="153" t="s">
        <v>437</v>
      </c>
    </row>
    <row r="29" spans="1:26" s="153" customFormat="1">
      <c r="A29" s="153">
        <v>24</v>
      </c>
      <c r="B29" s="153" t="s">
        <v>472</v>
      </c>
      <c r="C29" s="153" t="s">
        <v>473</v>
      </c>
      <c r="D29" s="153" t="s">
        <v>433</v>
      </c>
      <c r="E29" s="153" t="s">
        <v>379</v>
      </c>
      <c r="F29" s="153" t="s">
        <v>389</v>
      </c>
      <c r="G29" s="154">
        <v>41396</v>
      </c>
      <c r="H29" s="154">
        <v>44742</v>
      </c>
      <c r="I29" s="152">
        <v>304028386393</v>
      </c>
      <c r="J29" s="152">
        <v>189963508967</v>
      </c>
      <c r="K29" s="152">
        <v>114064877426</v>
      </c>
      <c r="L29" s="155">
        <v>20.563983494825553</v>
      </c>
      <c r="M29" s="155">
        <v>13.313021863270025</v>
      </c>
      <c r="N29" s="155">
        <v>7.2509616315555272</v>
      </c>
      <c r="O29" s="153" t="s">
        <v>381</v>
      </c>
      <c r="P29" s="153" t="s">
        <v>382</v>
      </c>
      <c r="Q29" s="153" t="s">
        <v>395</v>
      </c>
      <c r="R29" s="153" t="s">
        <v>157</v>
      </c>
      <c r="S29" s="153" t="s">
        <v>258</v>
      </c>
      <c r="T29" s="153" t="s">
        <v>258</v>
      </c>
      <c r="U29" s="156">
        <v>0</v>
      </c>
      <c r="V29" s="156">
        <v>0</v>
      </c>
      <c r="W29" s="156" t="s">
        <v>398</v>
      </c>
      <c r="X29" s="153" t="s">
        <v>474</v>
      </c>
      <c r="Y29" s="153" t="s">
        <v>475</v>
      </c>
      <c r="Z29" s="153" t="s">
        <v>476</v>
      </c>
    </row>
    <row r="30" spans="1:26" s="159" customFormat="1">
      <c r="A30" s="153">
        <v>25</v>
      </c>
      <c r="B30" s="159" t="s">
        <v>477</v>
      </c>
      <c r="C30" s="159" t="s">
        <v>478</v>
      </c>
      <c r="D30" s="159" t="s">
        <v>433</v>
      </c>
      <c r="E30" s="159" t="s">
        <v>379</v>
      </c>
      <c r="F30" s="159" t="s">
        <v>389</v>
      </c>
      <c r="G30" s="160">
        <v>44244</v>
      </c>
      <c r="H30" s="160">
        <v>46387</v>
      </c>
      <c r="I30" s="161">
        <v>15437733374</v>
      </c>
      <c r="J30" s="161">
        <v>5577784995</v>
      </c>
      <c r="K30" s="161">
        <v>9859948379</v>
      </c>
      <c r="L30" s="162">
        <v>1.0176868949474089</v>
      </c>
      <c r="M30" s="162">
        <v>0.39090230534725628</v>
      </c>
      <c r="N30" s="162">
        <v>0.6267845896001526</v>
      </c>
      <c r="O30" s="159" t="s">
        <v>381</v>
      </c>
      <c r="P30" s="159" t="s">
        <v>382</v>
      </c>
      <c r="Q30" s="159" t="s">
        <v>395</v>
      </c>
      <c r="R30" s="153" t="s">
        <v>205</v>
      </c>
      <c r="S30" s="159" t="s">
        <v>444</v>
      </c>
      <c r="T30" s="153" t="s">
        <v>1698</v>
      </c>
      <c r="U30" s="156">
        <v>0</v>
      </c>
      <c r="V30" s="163">
        <v>1</v>
      </c>
      <c r="W30" s="163" t="s">
        <v>398</v>
      </c>
      <c r="X30" s="153" t="s">
        <v>479</v>
      </c>
      <c r="Y30" s="159" t="s">
        <v>475</v>
      </c>
      <c r="Z30" s="159" t="s">
        <v>480</v>
      </c>
    </row>
    <row r="31" spans="1:26" s="153" customFormat="1">
      <c r="A31" s="153">
        <v>26</v>
      </c>
      <c r="B31" s="153" t="s">
        <v>424</v>
      </c>
      <c r="C31" s="153" t="s">
        <v>425</v>
      </c>
      <c r="D31" s="153" t="s">
        <v>378</v>
      </c>
      <c r="E31" s="153" t="s">
        <v>379</v>
      </c>
      <c r="F31" s="153" t="s">
        <v>389</v>
      </c>
      <c r="G31" s="154">
        <v>43738</v>
      </c>
      <c r="H31" s="154">
        <v>45199</v>
      </c>
      <c r="I31" s="152">
        <v>1090612073931</v>
      </c>
      <c r="J31" s="152">
        <v>265544063590</v>
      </c>
      <c r="K31" s="152">
        <v>825068010341</v>
      </c>
      <c r="L31" s="155">
        <v>71.058399739703688</v>
      </c>
      <c r="M31" s="155">
        <v>18.609857985142618</v>
      </c>
      <c r="N31" s="155">
        <v>52.448541754561056</v>
      </c>
      <c r="O31" s="153" t="s">
        <v>381</v>
      </c>
      <c r="P31" s="153" t="s">
        <v>382</v>
      </c>
      <c r="Q31" s="153" t="s">
        <v>395</v>
      </c>
      <c r="R31" s="153" t="s">
        <v>427</v>
      </c>
      <c r="S31" s="153" t="s">
        <v>444</v>
      </c>
      <c r="T31" s="153" t="s">
        <v>429</v>
      </c>
      <c r="U31" s="156">
        <v>0</v>
      </c>
      <c r="V31" s="156">
        <v>0</v>
      </c>
      <c r="W31" s="156" t="s">
        <v>398</v>
      </c>
      <c r="X31" s="153" t="s">
        <v>481</v>
      </c>
      <c r="Y31" s="153" t="s">
        <v>405</v>
      </c>
      <c r="Z31" s="153" t="s">
        <v>405</v>
      </c>
    </row>
    <row r="32" spans="1:26" s="153" customFormat="1">
      <c r="A32" s="153">
        <v>27</v>
      </c>
      <c r="B32" s="153" t="s">
        <v>482</v>
      </c>
      <c r="C32" s="153" t="s">
        <v>483</v>
      </c>
      <c r="D32" s="153" t="s">
        <v>378</v>
      </c>
      <c r="E32" s="153" t="s">
        <v>379</v>
      </c>
      <c r="F32" s="153" t="s">
        <v>389</v>
      </c>
      <c r="G32" s="154">
        <v>42947</v>
      </c>
      <c r="H32" s="154">
        <v>45107</v>
      </c>
      <c r="I32" s="152">
        <v>2527167507538</v>
      </c>
      <c r="J32" s="152">
        <v>1459860235610</v>
      </c>
      <c r="K32" s="152">
        <v>1067307271928</v>
      </c>
      <c r="L32" s="155">
        <v>170.15730781637157</v>
      </c>
      <c r="M32" s="155">
        <v>102.3099190980447</v>
      </c>
      <c r="N32" s="155">
        <v>67.847388718326869</v>
      </c>
      <c r="O32" s="153" t="s">
        <v>381</v>
      </c>
      <c r="P32" s="153" t="s">
        <v>382</v>
      </c>
      <c r="Q32" s="153" t="s">
        <v>395</v>
      </c>
      <c r="R32" s="153" t="s">
        <v>205</v>
      </c>
      <c r="S32" s="153" t="s">
        <v>384</v>
      </c>
      <c r="T32" s="153" t="s">
        <v>385</v>
      </c>
      <c r="U32" s="156">
        <v>0</v>
      </c>
      <c r="V32" s="156">
        <v>0</v>
      </c>
      <c r="W32" s="156" t="s">
        <v>398</v>
      </c>
      <c r="X32" s="153" t="s">
        <v>484</v>
      </c>
      <c r="Y32" s="153" t="s">
        <v>405</v>
      </c>
      <c r="Z32" s="153" t="s">
        <v>405</v>
      </c>
    </row>
    <row r="33" spans="1:26" s="153" customFormat="1">
      <c r="A33" s="153">
        <v>28</v>
      </c>
      <c r="B33" s="153" t="s">
        <v>482</v>
      </c>
      <c r="C33" s="153" t="s">
        <v>483</v>
      </c>
      <c r="D33" s="153" t="s">
        <v>378</v>
      </c>
      <c r="E33" s="153" t="s">
        <v>379</v>
      </c>
      <c r="F33" s="153" t="s">
        <v>389</v>
      </c>
      <c r="G33" s="154">
        <v>42947</v>
      </c>
      <c r="H33" s="154">
        <v>45107</v>
      </c>
      <c r="I33" s="152">
        <v>511599965188</v>
      </c>
      <c r="J33" s="152">
        <v>292846035006</v>
      </c>
      <c r="K33" s="152">
        <v>218753930182</v>
      </c>
      <c r="L33" s="155">
        <v>34.429148447287929</v>
      </c>
      <c r="M33" s="155">
        <v>20.523234634942881</v>
      </c>
      <c r="N33" s="155">
        <v>13.905913812345052</v>
      </c>
      <c r="O33" s="153" t="s">
        <v>381</v>
      </c>
      <c r="P33" s="153" t="s">
        <v>382</v>
      </c>
      <c r="Q33" s="153" t="s">
        <v>395</v>
      </c>
      <c r="R33" s="153" t="s">
        <v>205</v>
      </c>
      <c r="S33" s="153" t="s">
        <v>384</v>
      </c>
      <c r="T33" s="153" t="s">
        <v>385</v>
      </c>
      <c r="U33" s="156">
        <v>0</v>
      </c>
      <c r="V33" s="156">
        <v>0</v>
      </c>
      <c r="W33" s="156" t="s">
        <v>398</v>
      </c>
      <c r="X33" s="153" t="s">
        <v>484</v>
      </c>
      <c r="Y33" s="153" t="s">
        <v>405</v>
      </c>
      <c r="Z33" s="153" t="s">
        <v>405</v>
      </c>
    </row>
    <row r="34" spans="1:26" s="153" customFormat="1">
      <c r="A34" s="153">
        <v>29</v>
      </c>
      <c r="B34" s="153" t="s">
        <v>485</v>
      </c>
      <c r="C34" s="153" t="s">
        <v>486</v>
      </c>
      <c r="D34" s="153" t="s">
        <v>378</v>
      </c>
      <c r="E34" s="153" t="s">
        <v>379</v>
      </c>
      <c r="F34" s="153" t="s">
        <v>389</v>
      </c>
      <c r="G34" s="154">
        <v>42884</v>
      </c>
      <c r="H34" s="154">
        <v>45107</v>
      </c>
      <c r="I34" s="152">
        <v>991677800003</v>
      </c>
      <c r="J34" s="152">
        <v>478488893279</v>
      </c>
      <c r="K34" s="152">
        <v>513188906724</v>
      </c>
      <c r="L34" s="155">
        <v>66.15623378425731</v>
      </c>
      <c r="M34" s="155">
        <v>33.533456673838394</v>
      </c>
      <c r="N34" s="155">
        <v>32.622777110418916</v>
      </c>
      <c r="O34" s="153" t="s">
        <v>381</v>
      </c>
      <c r="P34" s="153" t="s">
        <v>382</v>
      </c>
      <c r="Q34" s="153" t="s">
        <v>395</v>
      </c>
      <c r="R34" s="153" t="s">
        <v>427</v>
      </c>
      <c r="S34" s="153" t="s">
        <v>334</v>
      </c>
      <c r="T34" s="153" t="s">
        <v>402</v>
      </c>
      <c r="U34" s="156">
        <v>0</v>
      </c>
      <c r="V34" s="156">
        <v>0</v>
      </c>
      <c r="W34" s="156" t="s">
        <v>398</v>
      </c>
      <c r="X34" s="158" t="s">
        <v>451</v>
      </c>
      <c r="Y34" s="153" t="s">
        <v>387</v>
      </c>
      <c r="Z34" s="153" t="s">
        <v>387</v>
      </c>
    </row>
    <row r="35" spans="1:26" s="153" customFormat="1">
      <c r="A35" s="153">
        <v>30</v>
      </c>
      <c r="B35" s="153" t="s">
        <v>487</v>
      </c>
      <c r="C35" s="153" t="s">
        <v>488</v>
      </c>
      <c r="D35" s="153" t="s">
        <v>378</v>
      </c>
      <c r="E35" s="153" t="s">
        <v>379</v>
      </c>
      <c r="F35" s="153" t="s">
        <v>389</v>
      </c>
      <c r="G35" s="154">
        <v>42614</v>
      </c>
      <c r="H35" s="154">
        <v>44926</v>
      </c>
      <c r="I35" s="152">
        <v>1146236547876</v>
      </c>
      <c r="J35" s="152">
        <v>750614431957</v>
      </c>
      <c r="K35" s="152">
        <v>395622115919</v>
      </c>
      <c r="L35" s="155">
        <v>77.753760793489548</v>
      </c>
      <c r="M35" s="155">
        <v>52.604557569346127</v>
      </c>
      <c r="N35" s="155">
        <v>25.149203224143413</v>
      </c>
      <c r="O35" s="153" t="s">
        <v>381</v>
      </c>
      <c r="P35" s="153" t="s">
        <v>382</v>
      </c>
      <c r="Q35" s="153" t="s">
        <v>395</v>
      </c>
      <c r="R35" s="153" t="s">
        <v>427</v>
      </c>
      <c r="S35" s="153" t="s">
        <v>444</v>
      </c>
      <c r="T35" s="153" t="s">
        <v>1698</v>
      </c>
      <c r="U35" s="156">
        <v>0</v>
      </c>
      <c r="V35" s="156">
        <v>1</v>
      </c>
      <c r="W35" s="156" t="s">
        <v>398</v>
      </c>
      <c r="X35" s="153" t="s">
        <v>445</v>
      </c>
      <c r="Y35" s="153" t="s">
        <v>387</v>
      </c>
      <c r="Z35" s="153" t="s">
        <v>387</v>
      </c>
    </row>
    <row r="36" spans="1:26" s="153" customFormat="1">
      <c r="A36" s="153">
        <v>31</v>
      </c>
      <c r="B36" s="153" t="s">
        <v>489</v>
      </c>
      <c r="C36" s="153" t="s">
        <v>490</v>
      </c>
      <c r="D36" s="153" t="s">
        <v>378</v>
      </c>
      <c r="E36" s="153" t="s">
        <v>379</v>
      </c>
      <c r="F36" s="153" t="s">
        <v>389</v>
      </c>
      <c r="G36" s="154">
        <v>43987</v>
      </c>
      <c r="H36" s="154">
        <v>45473</v>
      </c>
      <c r="I36" s="152">
        <v>543059806423</v>
      </c>
      <c r="J36" s="152">
        <v>130580939305</v>
      </c>
      <c r="K36" s="152">
        <v>412478867118</v>
      </c>
      <c r="L36" s="155">
        <v>35.372138677820956</v>
      </c>
      <c r="M36" s="155">
        <v>9.1513728575933833</v>
      </c>
      <c r="N36" s="155">
        <v>26.220765820227573</v>
      </c>
      <c r="O36" s="153" t="s">
        <v>381</v>
      </c>
      <c r="P36" s="153" t="s">
        <v>382</v>
      </c>
      <c r="Q36" s="153" t="s">
        <v>395</v>
      </c>
      <c r="R36" s="153" t="s">
        <v>427</v>
      </c>
      <c r="S36" s="153" t="s">
        <v>444</v>
      </c>
      <c r="T36" s="153" t="s">
        <v>1698</v>
      </c>
      <c r="U36" s="156">
        <v>0</v>
      </c>
      <c r="V36" s="156">
        <v>0</v>
      </c>
      <c r="W36" s="156" t="s">
        <v>398</v>
      </c>
      <c r="X36" s="153" t="s">
        <v>445</v>
      </c>
      <c r="Y36" s="153" t="s">
        <v>391</v>
      </c>
      <c r="Z36" s="153" t="s">
        <v>392</v>
      </c>
    </row>
    <row r="37" spans="1:26" s="153" customFormat="1">
      <c r="A37" s="153">
        <v>32</v>
      </c>
      <c r="B37" s="153" t="s">
        <v>491</v>
      </c>
      <c r="C37" s="153" t="s">
        <v>492</v>
      </c>
      <c r="D37" s="153" t="s">
        <v>378</v>
      </c>
      <c r="E37" s="153" t="s">
        <v>379</v>
      </c>
      <c r="F37" s="153" t="s">
        <v>389</v>
      </c>
      <c r="G37" s="154">
        <v>42864</v>
      </c>
      <c r="H37" s="154">
        <v>45107</v>
      </c>
      <c r="I37" s="152">
        <v>991705111031</v>
      </c>
      <c r="J37" s="152">
        <v>478440247348</v>
      </c>
      <c r="K37" s="152">
        <v>513264863683</v>
      </c>
      <c r="L37" s="155">
        <v>66.157653069225958</v>
      </c>
      <c r="M37" s="155">
        <v>33.530047469899785</v>
      </c>
      <c r="N37" s="155">
        <v>32.627605599326174</v>
      </c>
      <c r="O37" s="153" t="s">
        <v>381</v>
      </c>
      <c r="P37" s="153" t="s">
        <v>382</v>
      </c>
      <c r="Q37" s="153" t="s">
        <v>395</v>
      </c>
      <c r="R37" s="153" t="s">
        <v>427</v>
      </c>
      <c r="S37" s="153" t="s">
        <v>334</v>
      </c>
      <c r="T37" s="153" t="s">
        <v>402</v>
      </c>
      <c r="U37" s="156">
        <v>0</v>
      </c>
      <c r="V37" s="156">
        <v>0</v>
      </c>
      <c r="W37" s="156" t="s">
        <v>398</v>
      </c>
      <c r="X37" s="158" t="s">
        <v>451</v>
      </c>
      <c r="Y37" s="153" t="s">
        <v>391</v>
      </c>
      <c r="Z37" s="153" t="s">
        <v>392</v>
      </c>
    </row>
    <row r="38" spans="1:26" s="153" customFormat="1">
      <c r="A38" s="153">
        <v>33</v>
      </c>
      <c r="B38" s="153" t="s">
        <v>493</v>
      </c>
      <c r="C38" s="153" t="s">
        <v>494</v>
      </c>
      <c r="D38" s="153" t="s">
        <v>378</v>
      </c>
      <c r="E38" s="153" t="s">
        <v>379</v>
      </c>
      <c r="F38" s="153" t="s">
        <v>389</v>
      </c>
      <c r="G38" s="154">
        <v>43397</v>
      </c>
      <c r="H38" s="154">
        <v>45291</v>
      </c>
      <c r="I38" s="152">
        <v>725896165001</v>
      </c>
      <c r="J38" s="152">
        <v>107067357368</v>
      </c>
      <c r="K38" s="152">
        <v>618828807633</v>
      </c>
      <c r="L38" s="155">
        <v>46.8416676232182</v>
      </c>
      <c r="M38" s="155">
        <v>7.5034941038615175</v>
      </c>
      <c r="N38" s="155">
        <v>39.33817351935668</v>
      </c>
      <c r="O38" s="153" t="s">
        <v>381</v>
      </c>
      <c r="P38" s="153" t="s">
        <v>382</v>
      </c>
      <c r="Q38" s="153" t="s">
        <v>395</v>
      </c>
      <c r="R38" s="153" t="s">
        <v>427</v>
      </c>
      <c r="S38" s="153" t="s">
        <v>444</v>
      </c>
      <c r="T38" s="153" t="s">
        <v>1698</v>
      </c>
      <c r="U38" s="156">
        <v>0</v>
      </c>
      <c r="V38" s="156">
        <v>0</v>
      </c>
      <c r="W38" s="156" t="s">
        <v>398</v>
      </c>
      <c r="X38" s="153" t="s">
        <v>445</v>
      </c>
      <c r="Y38" s="153" t="s">
        <v>391</v>
      </c>
      <c r="Z38" s="153" t="s">
        <v>392</v>
      </c>
    </row>
    <row r="39" spans="1:26" s="153" customFormat="1">
      <c r="A39" s="153">
        <v>34</v>
      </c>
      <c r="B39" s="153" t="s">
        <v>495</v>
      </c>
      <c r="C39" s="153" t="s">
        <v>496</v>
      </c>
      <c r="D39" s="153" t="s">
        <v>378</v>
      </c>
      <c r="E39" s="153" t="s">
        <v>379</v>
      </c>
      <c r="F39" s="153" t="s">
        <v>389</v>
      </c>
      <c r="G39" s="154">
        <v>43069</v>
      </c>
      <c r="H39" s="154">
        <v>44985</v>
      </c>
      <c r="I39" s="152">
        <v>2772652779942</v>
      </c>
      <c r="J39" s="152">
        <v>528078042526</v>
      </c>
      <c r="K39" s="152">
        <v>2244574737416</v>
      </c>
      <c r="L39" s="155">
        <v>179.69357267713212</v>
      </c>
      <c r="M39" s="155">
        <v>37.008763229798866</v>
      </c>
      <c r="N39" s="155">
        <v>142.68480944733327</v>
      </c>
      <c r="O39" s="153" t="s">
        <v>381</v>
      </c>
      <c r="P39" s="153" t="s">
        <v>382</v>
      </c>
      <c r="Q39" s="153" t="s">
        <v>395</v>
      </c>
      <c r="R39" s="153" t="s">
        <v>427</v>
      </c>
      <c r="S39" s="153" t="s">
        <v>444</v>
      </c>
      <c r="T39" s="153" t="s">
        <v>1698</v>
      </c>
      <c r="U39" s="156">
        <v>0</v>
      </c>
      <c r="V39" s="156">
        <v>0</v>
      </c>
      <c r="W39" s="156" t="s">
        <v>398</v>
      </c>
      <c r="X39" s="153" t="s">
        <v>445</v>
      </c>
      <c r="Y39" s="153" t="s">
        <v>391</v>
      </c>
      <c r="Z39" s="153" t="s">
        <v>392</v>
      </c>
    </row>
    <row r="40" spans="1:26" s="153" customFormat="1">
      <c r="A40" s="153">
        <v>35</v>
      </c>
      <c r="B40" s="153" t="s">
        <v>487</v>
      </c>
      <c r="C40" s="153" t="s">
        <v>488</v>
      </c>
      <c r="D40" s="153" t="s">
        <v>378</v>
      </c>
      <c r="E40" s="153" t="s">
        <v>379</v>
      </c>
      <c r="F40" s="153" t="s">
        <v>389</v>
      </c>
      <c r="G40" s="154">
        <v>42604</v>
      </c>
      <c r="H40" s="154">
        <v>44926</v>
      </c>
      <c r="I40" s="152">
        <v>1073855009656</v>
      </c>
      <c r="J40" s="152">
        <v>790967981752</v>
      </c>
      <c r="K40" s="152">
        <v>282887027904</v>
      </c>
      <c r="L40" s="155">
        <v>73.415389524732049</v>
      </c>
      <c r="M40" s="155">
        <v>55.432614882052007</v>
      </c>
      <c r="N40" s="155">
        <v>17.982774642680056</v>
      </c>
      <c r="O40" s="153" t="s">
        <v>381</v>
      </c>
      <c r="P40" s="153" t="s">
        <v>382</v>
      </c>
      <c r="Q40" s="153" t="s">
        <v>395</v>
      </c>
      <c r="R40" s="153" t="s">
        <v>427</v>
      </c>
      <c r="S40" s="153" t="s">
        <v>444</v>
      </c>
      <c r="T40" s="153" t="s">
        <v>1698</v>
      </c>
      <c r="U40" s="156">
        <v>0</v>
      </c>
      <c r="V40" s="156">
        <v>1</v>
      </c>
      <c r="W40" s="156" t="s">
        <v>398</v>
      </c>
      <c r="X40" s="153" t="s">
        <v>445</v>
      </c>
      <c r="Y40" s="153" t="s">
        <v>391</v>
      </c>
      <c r="Z40" s="153" t="s">
        <v>392</v>
      </c>
    </row>
    <row r="41" spans="1:26" s="153" customFormat="1">
      <c r="A41" s="153">
        <v>36</v>
      </c>
      <c r="B41" s="153" t="s">
        <v>497</v>
      </c>
      <c r="C41" s="153" t="s">
        <v>498</v>
      </c>
      <c r="D41" s="153" t="s">
        <v>378</v>
      </c>
      <c r="E41" s="153" t="s">
        <v>379</v>
      </c>
      <c r="F41" s="153" t="s">
        <v>389</v>
      </c>
      <c r="G41" s="154">
        <v>43314</v>
      </c>
      <c r="H41" s="154">
        <v>44926</v>
      </c>
      <c r="I41" s="152">
        <v>777071644631</v>
      </c>
      <c r="J41" s="152">
        <v>375524613938</v>
      </c>
      <c r="K41" s="152">
        <v>401547030693</v>
      </c>
      <c r="L41" s="155">
        <v>51.843357115416197</v>
      </c>
      <c r="M41" s="155">
        <v>26.317514467587078</v>
      </c>
      <c r="N41" s="155">
        <v>25.525842647829126</v>
      </c>
      <c r="O41" s="153" t="s">
        <v>381</v>
      </c>
      <c r="P41" s="153" t="s">
        <v>382</v>
      </c>
      <c r="Q41" s="153" t="s">
        <v>395</v>
      </c>
      <c r="R41" s="153" t="s">
        <v>427</v>
      </c>
      <c r="S41" s="159" t="s">
        <v>444</v>
      </c>
      <c r="T41" s="153" t="s">
        <v>1698</v>
      </c>
      <c r="U41" s="156">
        <v>0</v>
      </c>
      <c r="V41" s="156">
        <v>1</v>
      </c>
      <c r="W41" s="156" t="s">
        <v>206</v>
      </c>
      <c r="X41" s="153" t="s">
        <v>499</v>
      </c>
      <c r="Y41" s="159" t="s">
        <v>391</v>
      </c>
      <c r="Z41" s="153" t="s">
        <v>392</v>
      </c>
    </row>
    <row r="42" spans="1:26" s="153" customFormat="1">
      <c r="A42" s="153">
        <v>37</v>
      </c>
      <c r="B42" s="153" t="s">
        <v>500</v>
      </c>
      <c r="C42" s="153" t="s">
        <v>501</v>
      </c>
      <c r="D42" s="153" t="s">
        <v>378</v>
      </c>
      <c r="E42" s="153" t="s">
        <v>379</v>
      </c>
      <c r="F42" s="153" t="s">
        <v>389</v>
      </c>
      <c r="G42" s="154">
        <v>42551</v>
      </c>
      <c r="H42" s="154">
        <v>44561</v>
      </c>
      <c r="I42" s="152">
        <v>781351878316</v>
      </c>
      <c r="J42" s="152">
        <v>781351878316</v>
      </c>
      <c r="K42" s="152">
        <v>0</v>
      </c>
      <c r="L42" s="155">
        <v>54.758699160137361</v>
      </c>
      <c r="M42" s="155">
        <v>54.758699160137361</v>
      </c>
      <c r="N42" s="155">
        <v>0</v>
      </c>
      <c r="O42" s="153" t="s">
        <v>381</v>
      </c>
      <c r="P42" s="153" t="s">
        <v>382</v>
      </c>
      <c r="Q42" s="153" t="s">
        <v>395</v>
      </c>
      <c r="R42" s="153" t="s">
        <v>427</v>
      </c>
      <c r="S42" s="153" t="s">
        <v>444</v>
      </c>
      <c r="T42" s="153" t="s">
        <v>1698</v>
      </c>
      <c r="U42" s="156">
        <v>0</v>
      </c>
      <c r="V42" s="156">
        <v>0</v>
      </c>
      <c r="W42" s="156" t="s">
        <v>398</v>
      </c>
      <c r="X42" s="153" t="s">
        <v>445</v>
      </c>
      <c r="Y42" s="153" t="s">
        <v>391</v>
      </c>
      <c r="Z42" s="153" t="s">
        <v>392</v>
      </c>
    </row>
    <row r="43" spans="1:26" s="153" customFormat="1">
      <c r="A43" s="153">
        <v>38</v>
      </c>
      <c r="B43" s="153" t="s">
        <v>487</v>
      </c>
      <c r="C43" s="153" t="s">
        <v>488</v>
      </c>
      <c r="D43" s="153" t="s">
        <v>378</v>
      </c>
      <c r="E43" s="153" t="s">
        <v>379</v>
      </c>
      <c r="F43" s="153" t="s">
        <v>389</v>
      </c>
      <c r="G43" s="154">
        <v>42509</v>
      </c>
      <c r="H43" s="154">
        <v>44926</v>
      </c>
      <c r="I43" s="152">
        <v>49971796892</v>
      </c>
      <c r="J43" s="152">
        <v>17627768446</v>
      </c>
      <c r="K43" s="152">
        <v>32344028446</v>
      </c>
      <c r="L43" s="155">
        <v>3.2914586420062268</v>
      </c>
      <c r="M43" s="155">
        <v>1.2353891965799986</v>
      </c>
      <c r="N43" s="155">
        <v>2.0560694454262283</v>
      </c>
      <c r="O43" s="153" t="s">
        <v>381</v>
      </c>
      <c r="P43" s="153" t="s">
        <v>382</v>
      </c>
      <c r="Q43" s="153" t="s">
        <v>395</v>
      </c>
      <c r="R43" s="153" t="s">
        <v>427</v>
      </c>
      <c r="S43" s="153" t="s">
        <v>444</v>
      </c>
      <c r="T43" s="153" t="s">
        <v>1698</v>
      </c>
      <c r="U43" s="156">
        <v>0</v>
      </c>
      <c r="V43" s="156">
        <v>1</v>
      </c>
      <c r="W43" s="156" t="s">
        <v>398</v>
      </c>
      <c r="X43" s="153" t="s">
        <v>445</v>
      </c>
      <c r="Y43" s="153" t="s">
        <v>391</v>
      </c>
      <c r="Z43" s="153" t="s">
        <v>392</v>
      </c>
    </row>
    <row r="44" spans="1:26" s="153" customFormat="1">
      <c r="A44" s="153">
        <v>39</v>
      </c>
      <c r="B44" s="153" t="s">
        <v>487</v>
      </c>
      <c r="C44" s="153" t="s">
        <v>488</v>
      </c>
      <c r="D44" s="153" t="s">
        <v>378</v>
      </c>
      <c r="E44" s="153" t="s">
        <v>379</v>
      </c>
      <c r="F44" s="153" t="s">
        <v>389</v>
      </c>
      <c r="G44" s="154">
        <v>42509</v>
      </c>
      <c r="H44" s="154">
        <v>44926</v>
      </c>
      <c r="I44" s="152">
        <v>1212047287167</v>
      </c>
      <c r="J44" s="152">
        <v>868090248170</v>
      </c>
      <c r="K44" s="152">
        <v>343957038997</v>
      </c>
      <c r="L44" s="155">
        <v>82.702416129759911</v>
      </c>
      <c r="M44" s="155">
        <v>60.837497243675095</v>
      </c>
      <c r="N44" s="155">
        <v>21.864918886084801</v>
      </c>
      <c r="O44" s="153" t="s">
        <v>381</v>
      </c>
      <c r="P44" s="153" t="s">
        <v>382</v>
      </c>
      <c r="Q44" s="153" t="s">
        <v>395</v>
      </c>
      <c r="R44" s="153" t="s">
        <v>427</v>
      </c>
      <c r="S44" s="153" t="s">
        <v>444</v>
      </c>
      <c r="T44" s="153" t="s">
        <v>1698</v>
      </c>
      <c r="U44" s="156">
        <v>0</v>
      </c>
      <c r="V44" s="156">
        <v>1</v>
      </c>
      <c r="W44" s="156" t="s">
        <v>398</v>
      </c>
      <c r="X44" s="153" t="s">
        <v>445</v>
      </c>
      <c r="Y44" s="153" t="s">
        <v>391</v>
      </c>
      <c r="Z44" s="153" t="s">
        <v>392</v>
      </c>
    </row>
    <row r="45" spans="1:26" s="153" customFormat="1">
      <c r="A45" s="153">
        <v>40</v>
      </c>
      <c r="B45" s="153" t="s">
        <v>487</v>
      </c>
      <c r="C45" s="153" t="s">
        <v>488</v>
      </c>
      <c r="D45" s="153" t="s">
        <v>378</v>
      </c>
      <c r="E45" s="153" t="s">
        <v>379</v>
      </c>
      <c r="F45" s="153" t="s">
        <v>389</v>
      </c>
      <c r="G45" s="154">
        <v>42509</v>
      </c>
      <c r="H45" s="154">
        <v>44926</v>
      </c>
      <c r="I45" s="152">
        <v>75510000000</v>
      </c>
      <c r="J45" s="152">
        <v>45510000000</v>
      </c>
      <c r="K45" s="152">
        <v>30000000000</v>
      </c>
      <c r="L45" s="155">
        <v>5.0964941230938248</v>
      </c>
      <c r="M45" s="155">
        <v>3.1894316350129652</v>
      </c>
      <c r="N45" s="155">
        <v>1.9070624880808593</v>
      </c>
      <c r="O45" s="153" t="s">
        <v>381</v>
      </c>
      <c r="P45" s="153" t="s">
        <v>382</v>
      </c>
      <c r="Q45" s="153" t="s">
        <v>395</v>
      </c>
      <c r="R45" s="153" t="s">
        <v>427</v>
      </c>
      <c r="S45" s="153" t="s">
        <v>444</v>
      </c>
      <c r="T45" s="153" t="s">
        <v>1698</v>
      </c>
      <c r="U45" s="156">
        <v>0</v>
      </c>
      <c r="V45" s="156">
        <v>1</v>
      </c>
      <c r="W45" s="156" t="s">
        <v>398</v>
      </c>
      <c r="X45" s="153" t="s">
        <v>445</v>
      </c>
      <c r="Y45" s="153" t="s">
        <v>391</v>
      </c>
      <c r="Z45" s="153" t="s">
        <v>392</v>
      </c>
    </row>
    <row r="46" spans="1:26" s="153" customFormat="1">
      <c r="A46" s="153">
        <v>41</v>
      </c>
      <c r="B46" s="153" t="s">
        <v>502</v>
      </c>
      <c r="C46" s="153" t="s">
        <v>503</v>
      </c>
      <c r="D46" s="153" t="s">
        <v>433</v>
      </c>
      <c r="E46" s="153" t="s">
        <v>379</v>
      </c>
      <c r="F46" s="153" t="s">
        <v>389</v>
      </c>
      <c r="G46" s="154">
        <v>41694</v>
      </c>
      <c r="H46" s="154">
        <v>45649</v>
      </c>
      <c r="I46" s="152">
        <v>119489873114</v>
      </c>
      <c r="J46" s="152">
        <v>69024778812</v>
      </c>
      <c r="K46" s="152">
        <v>50465094302</v>
      </c>
      <c r="L46" s="155">
        <v>8.0453972114939614</v>
      </c>
      <c r="M46" s="155">
        <v>4.8373942681337168</v>
      </c>
      <c r="N46" s="155">
        <v>3.2080029433602437</v>
      </c>
      <c r="O46" s="153" t="s">
        <v>381</v>
      </c>
      <c r="P46" s="153" t="s">
        <v>382</v>
      </c>
      <c r="Q46" s="153" t="s">
        <v>395</v>
      </c>
      <c r="R46" s="153" t="s">
        <v>205</v>
      </c>
      <c r="S46" s="153" t="s">
        <v>334</v>
      </c>
      <c r="T46" s="153" t="s">
        <v>402</v>
      </c>
      <c r="U46" s="156">
        <v>0</v>
      </c>
      <c r="V46" s="156">
        <v>0</v>
      </c>
      <c r="W46" s="156" t="s">
        <v>398</v>
      </c>
      <c r="X46" s="153" t="s">
        <v>403</v>
      </c>
      <c r="Y46" s="153" t="s">
        <v>436</v>
      </c>
      <c r="Z46" s="153" t="s">
        <v>437</v>
      </c>
    </row>
    <row r="47" spans="1:26" s="153" customFormat="1">
      <c r="A47" s="153">
        <v>42</v>
      </c>
      <c r="B47" s="153" t="s">
        <v>504</v>
      </c>
      <c r="C47" s="153" t="s">
        <v>505</v>
      </c>
      <c r="D47" s="153" t="s">
        <v>378</v>
      </c>
      <c r="E47" s="153" t="s">
        <v>379</v>
      </c>
      <c r="F47" s="153" t="s">
        <v>506</v>
      </c>
      <c r="G47" s="154">
        <v>41376</v>
      </c>
      <c r="H47" s="154">
        <v>44561</v>
      </c>
      <c r="I47" s="152">
        <v>41416418144</v>
      </c>
      <c r="J47" s="152">
        <v>41416418144</v>
      </c>
      <c r="K47" s="152">
        <v>0</v>
      </c>
      <c r="L47" s="155">
        <f>M47+N47</f>
        <v>2.9025452480201839</v>
      </c>
      <c r="M47" s="155">
        <v>2.9025452480201839</v>
      </c>
      <c r="N47" s="155">
        <v>0</v>
      </c>
      <c r="O47" s="153" t="s">
        <v>381</v>
      </c>
      <c r="P47" s="153" t="s">
        <v>382</v>
      </c>
      <c r="Q47" s="153" t="s">
        <v>395</v>
      </c>
      <c r="R47" s="153" t="s">
        <v>428</v>
      </c>
      <c r="S47" s="153" t="s">
        <v>428</v>
      </c>
      <c r="T47" s="153" t="s">
        <v>428</v>
      </c>
      <c r="U47" s="156">
        <v>0</v>
      </c>
      <c r="V47" s="156">
        <v>0</v>
      </c>
      <c r="W47" s="156" t="s">
        <v>398</v>
      </c>
      <c r="X47" s="153" t="s">
        <v>507</v>
      </c>
      <c r="Y47" s="153" t="s">
        <v>391</v>
      </c>
      <c r="Z47" s="153" t="s">
        <v>392</v>
      </c>
    </row>
    <row r="48" spans="1:26" s="153" customFormat="1">
      <c r="A48" s="153">
        <v>43</v>
      </c>
      <c r="B48" s="153" t="s">
        <v>508</v>
      </c>
      <c r="C48" s="153" t="s">
        <v>509</v>
      </c>
      <c r="D48" s="153" t="s">
        <v>378</v>
      </c>
      <c r="E48" s="153" t="s">
        <v>379</v>
      </c>
      <c r="F48" s="153" t="s">
        <v>510</v>
      </c>
      <c r="G48" s="154">
        <v>41715</v>
      </c>
      <c r="H48" s="154">
        <v>44742</v>
      </c>
      <c r="I48" s="152">
        <v>183969829401</v>
      </c>
      <c r="J48" s="152">
        <v>102711065805</v>
      </c>
      <c r="K48" s="152">
        <v>81258763596</v>
      </c>
      <c r="L48" s="155">
        <v>12.36371449230935</v>
      </c>
      <c r="M48" s="155">
        <v>7.1981964962506133</v>
      </c>
      <c r="N48" s="155">
        <v>5.1655179960587381</v>
      </c>
      <c r="O48" s="153" t="s">
        <v>381</v>
      </c>
      <c r="P48" s="153" t="s">
        <v>382</v>
      </c>
      <c r="Q48" s="153" t="s">
        <v>395</v>
      </c>
      <c r="R48" s="153" t="s">
        <v>205</v>
      </c>
      <c r="S48" s="153" t="s">
        <v>334</v>
      </c>
      <c r="T48" s="153" t="s">
        <v>511</v>
      </c>
      <c r="U48" s="156">
        <v>0</v>
      </c>
      <c r="V48" s="156">
        <v>0</v>
      </c>
      <c r="W48" s="156" t="s">
        <v>398</v>
      </c>
      <c r="X48" s="153" t="s">
        <v>512</v>
      </c>
      <c r="Y48" s="153" t="s">
        <v>391</v>
      </c>
      <c r="Z48" s="153" t="s">
        <v>392</v>
      </c>
    </row>
    <row r="49" spans="1:26" s="153" customFormat="1">
      <c r="A49" s="153">
        <v>44</v>
      </c>
      <c r="B49" s="153" t="s">
        <v>513</v>
      </c>
      <c r="C49" s="153" t="s">
        <v>514</v>
      </c>
      <c r="D49" s="153" t="s">
        <v>456</v>
      </c>
      <c r="E49" s="153" t="s">
        <v>379</v>
      </c>
      <c r="F49" s="153" t="s">
        <v>515</v>
      </c>
      <c r="G49" s="154">
        <v>43325</v>
      </c>
      <c r="H49" s="154">
        <v>45869</v>
      </c>
      <c r="I49" s="152">
        <v>225580118742</v>
      </c>
      <c r="J49" s="152">
        <v>133391152467</v>
      </c>
      <c r="K49" s="152">
        <v>225580118742</v>
      </c>
      <c r="L49" s="155">
        <f>M49+N49</f>
        <v>23.689999999999998</v>
      </c>
      <c r="M49" s="155">
        <v>9.35</v>
      </c>
      <c r="N49" s="155">
        <v>14.34</v>
      </c>
      <c r="O49" s="153" t="s">
        <v>381</v>
      </c>
      <c r="P49" s="153" t="s">
        <v>450</v>
      </c>
      <c r="Q49" s="153" t="s">
        <v>395</v>
      </c>
      <c r="R49" s="153" t="s">
        <v>205</v>
      </c>
      <c r="S49" s="153" t="s">
        <v>428</v>
      </c>
      <c r="T49" s="153" t="s">
        <v>428</v>
      </c>
      <c r="U49" s="156">
        <v>0</v>
      </c>
      <c r="V49" s="156">
        <v>0</v>
      </c>
      <c r="W49" s="156" t="s">
        <v>398</v>
      </c>
      <c r="X49" s="153" t="s">
        <v>516</v>
      </c>
      <c r="Y49" s="153" t="s">
        <v>517</v>
      </c>
      <c r="Z49" s="153" t="s">
        <v>518</v>
      </c>
    </row>
    <row r="50" spans="1:26" s="153" customFormat="1">
      <c r="A50" s="153">
        <v>45</v>
      </c>
      <c r="B50" s="153" t="s">
        <v>519</v>
      </c>
      <c r="C50" s="153" t="s">
        <v>520</v>
      </c>
      <c r="D50" s="153" t="s">
        <v>378</v>
      </c>
      <c r="E50" s="153" t="s">
        <v>379</v>
      </c>
      <c r="F50" s="153" t="s">
        <v>515</v>
      </c>
      <c r="G50" s="154">
        <v>44111</v>
      </c>
      <c r="H50" s="154">
        <v>45657</v>
      </c>
      <c r="I50" s="152">
        <v>147949844421</v>
      </c>
      <c r="J50" s="152">
        <v>22484055924</v>
      </c>
      <c r="K50" s="152">
        <v>125465788497</v>
      </c>
      <c r="L50" s="155">
        <v>9.5514308085440955</v>
      </c>
      <c r="M50" s="155">
        <v>1.5757275158735722</v>
      </c>
      <c r="N50" s="155">
        <v>7.9757032926705236</v>
      </c>
      <c r="O50" s="153" t="s">
        <v>381</v>
      </c>
      <c r="P50" s="153" t="s">
        <v>382</v>
      </c>
      <c r="Q50" s="153" t="s">
        <v>395</v>
      </c>
      <c r="R50" s="153" t="s">
        <v>205</v>
      </c>
      <c r="S50" s="153" t="s">
        <v>444</v>
      </c>
      <c r="T50" s="153" t="s">
        <v>1699</v>
      </c>
      <c r="U50" s="156">
        <v>0</v>
      </c>
      <c r="V50" s="156">
        <v>0</v>
      </c>
      <c r="W50" s="156" t="s">
        <v>398</v>
      </c>
      <c r="X50" s="153" t="s">
        <v>521</v>
      </c>
      <c r="Y50" s="153" t="s">
        <v>391</v>
      </c>
      <c r="Z50" s="153" t="s">
        <v>392</v>
      </c>
    </row>
    <row r="51" spans="1:26" s="153" customFormat="1">
      <c r="A51" s="153">
        <v>46</v>
      </c>
      <c r="B51" s="153" t="s">
        <v>522</v>
      </c>
      <c r="C51" s="153" t="s">
        <v>523</v>
      </c>
      <c r="D51" s="153" t="s">
        <v>433</v>
      </c>
      <c r="E51" s="153" t="s">
        <v>379</v>
      </c>
      <c r="F51" s="153" t="s">
        <v>506</v>
      </c>
      <c r="G51" s="154">
        <v>44355</v>
      </c>
      <c r="H51" s="154">
        <v>46546</v>
      </c>
      <c r="I51" s="152">
        <v>1352462783</v>
      </c>
      <c r="J51" s="152">
        <v>194841000</v>
      </c>
      <c r="K51" s="152">
        <v>1157621783</v>
      </c>
      <c r="L51" s="155">
        <v>8.7243415428171614E-2</v>
      </c>
      <c r="M51" s="155">
        <v>1.3654846170018923E-2</v>
      </c>
      <c r="N51" s="155">
        <v>7.35885692581527E-2</v>
      </c>
      <c r="O51" s="153" t="s">
        <v>381</v>
      </c>
      <c r="P51" s="153" t="s">
        <v>382</v>
      </c>
      <c r="Q51" s="153" t="s">
        <v>395</v>
      </c>
      <c r="R51" s="153" t="s">
        <v>205</v>
      </c>
      <c r="S51" s="153" t="s">
        <v>428</v>
      </c>
      <c r="T51" s="153" t="s">
        <v>428</v>
      </c>
      <c r="U51" s="156">
        <v>0</v>
      </c>
      <c r="V51" s="156">
        <v>0</v>
      </c>
      <c r="W51" s="156" t="s">
        <v>398</v>
      </c>
      <c r="X51" s="153" t="s">
        <v>524</v>
      </c>
      <c r="Y51" s="153" t="s">
        <v>517</v>
      </c>
      <c r="Z51" s="153" t="s">
        <v>525</v>
      </c>
    </row>
    <row r="52" spans="1:26" s="153" customFormat="1">
      <c r="A52" s="153">
        <v>47</v>
      </c>
      <c r="B52" s="153" t="s">
        <v>526</v>
      </c>
      <c r="C52" s="153" t="s">
        <v>527</v>
      </c>
      <c r="D52" s="153" t="s">
        <v>456</v>
      </c>
      <c r="E52" s="153" t="s">
        <v>379</v>
      </c>
      <c r="F52" s="153" t="s">
        <v>528</v>
      </c>
      <c r="G52" s="154">
        <v>41719</v>
      </c>
      <c r="H52" s="154">
        <v>44926</v>
      </c>
      <c r="I52" s="152">
        <v>52041182861</v>
      </c>
      <c r="J52" s="152">
        <v>44997443507</v>
      </c>
      <c r="K52" s="152">
        <v>7043739354</v>
      </c>
      <c r="L52" s="155">
        <v>3.6012723562150333</v>
      </c>
      <c r="M52" s="155">
        <v>3.1535106529539565</v>
      </c>
      <c r="N52" s="155">
        <v>0.44776170326107689</v>
      </c>
      <c r="O52" s="153" t="s">
        <v>381</v>
      </c>
      <c r="P52" s="153" t="s">
        <v>450</v>
      </c>
      <c r="Q52" s="153" t="s">
        <v>395</v>
      </c>
      <c r="R52" s="153" t="s">
        <v>396</v>
      </c>
      <c r="S52" s="153" t="s">
        <v>258</v>
      </c>
      <c r="T52" s="158" t="s">
        <v>397</v>
      </c>
      <c r="U52" s="156">
        <v>0</v>
      </c>
      <c r="V52" s="156">
        <v>0</v>
      </c>
      <c r="W52" s="156" t="s">
        <v>529</v>
      </c>
      <c r="X52" s="153" t="s">
        <v>530</v>
      </c>
      <c r="Y52" s="153" t="s">
        <v>452</v>
      </c>
      <c r="Z52" s="153" t="s">
        <v>453</v>
      </c>
    </row>
    <row r="53" spans="1:26" s="153" customFormat="1">
      <c r="A53" s="153">
        <v>48</v>
      </c>
      <c r="B53" s="153" t="s">
        <v>531</v>
      </c>
      <c r="C53" s="153" t="s">
        <v>532</v>
      </c>
      <c r="D53" s="153" t="s">
        <v>378</v>
      </c>
      <c r="E53" s="153" t="s">
        <v>379</v>
      </c>
      <c r="F53" s="153" t="s">
        <v>389</v>
      </c>
      <c r="G53" s="154">
        <v>43494</v>
      </c>
      <c r="H53" s="154">
        <v>44804</v>
      </c>
      <c r="I53" s="152">
        <v>292919288083</v>
      </c>
      <c r="J53" s="152">
        <v>244352313885</v>
      </c>
      <c r="K53" s="152">
        <v>48566974198</v>
      </c>
      <c r="L53" s="155">
        <f>M53+N53</f>
        <v>20.212039690209323</v>
      </c>
      <c r="M53" s="155">
        <v>17.124697868456096</v>
      </c>
      <c r="N53" s="155">
        <v>3.0873418217532262</v>
      </c>
      <c r="O53" s="153" t="s">
        <v>381</v>
      </c>
      <c r="P53" s="153" t="s">
        <v>533</v>
      </c>
      <c r="Q53" s="153" t="s">
        <v>383</v>
      </c>
      <c r="R53" s="153" t="s">
        <v>427</v>
      </c>
      <c r="S53" s="153" t="s">
        <v>444</v>
      </c>
      <c r="T53" s="153" t="s">
        <v>1698</v>
      </c>
      <c r="U53" s="156">
        <v>0</v>
      </c>
      <c r="V53" s="156">
        <v>0</v>
      </c>
      <c r="W53" s="156" t="s">
        <v>206</v>
      </c>
      <c r="X53" s="153" t="s">
        <v>534</v>
      </c>
      <c r="Y53" s="153" t="s">
        <v>391</v>
      </c>
      <c r="Z53" s="153" t="s">
        <v>392</v>
      </c>
    </row>
    <row r="54" spans="1:26" s="153" customFormat="1">
      <c r="A54" s="153">
        <v>49</v>
      </c>
      <c r="B54" s="153" t="s">
        <v>535</v>
      </c>
      <c r="C54" s="153" t="s">
        <v>536</v>
      </c>
      <c r="D54" s="153" t="s">
        <v>378</v>
      </c>
      <c r="E54" s="153" t="s">
        <v>379</v>
      </c>
      <c r="F54" s="153" t="s">
        <v>408</v>
      </c>
      <c r="G54" s="154">
        <v>43633</v>
      </c>
      <c r="H54" s="154">
        <v>46022</v>
      </c>
      <c r="I54" s="152">
        <v>8843724300</v>
      </c>
      <c r="J54" s="152">
        <v>1129381000</v>
      </c>
      <c r="K54" s="152">
        <v>7714343300</v>
      </c>
      <c r="L54" s="155">
        <f>M54+N54</f>
        <v>0.56954043223827233</v>
      </c>
      <c r="M54" s="155">
        <v>7.9149274651342069E-2</v>
      </c>
      <c r="N54" s="155">
        <v>0.49039115758693025</v>
      </c>
      <c r="O54" s="153" t="s">
        <v>381</v>
      </c>
      <c r="P54" s="153" t="s">
        <v>533</v>
      </c>
      <c r="Q54" s="153" t="s">
        <v>383</v>
      </c>
      <c r="R54" s="153" t="s">
        <v>205</v>
      </c>
      <c r="S54" s="153" t="s">
        <v>384</v>
      </c>
      <c r="T54" s="153" t="s">
        <v>385</v>
      </c>
      <c r="U54" s="156">
        <v>0</v>
      </c>
      <c r="V54" s="156">
        <v>0</v>
      </c>
      <c r="W54" s="156" t="s">
        <v>206</v>
      </c>
      <c r="X54" s="153" t="s">
        <v>423</v>
      </c>
      <c r="Y54" s="153" t="s">
        <v>414</v>
      </c>
      <c r="Z54" s="153" t="s">
        <v>414</v>
      </c>
    </row>
    <row r="55" spans="1:26" s="153" customFormat="1">
      <c r="A55" s="153">
        <v>50</v>
      </c>
      <c r="B55" s="153" t="s">
        <v>537</v>
      </c>
      <c r="C55" s="153" t="s">
        <v>538</v>
      </c>
      <c r="D55" s="153" t="s">
        <v>433</v>
      </c>
      <c r="E55" s="153" t="s">
        <v>379</v>
      </c>
      <c r="F55" s="153" t="s">
        <v>539</v>
      </c>
      <c r="G55" s="154">
        <v>37930</v>
      </c>
      <c r="H55" s="154">
        <v>45176</v>
      </c>
      <c r="I55" s="152">
        <v>45122983431</v>
      </c>
      <c r="J55" s="152">
        <v>44470055049</v>
      </c>
      <c r="K55" s="152">
        <v>652928382</v>
      </c>
      <c r="L55" s="155">
        <f>M55+N55</f>
        <v>3.1580560580079564</v>
      </c>
      <c r="M55" s="155">
        <v>3.1165502171841055</v>
      </c>
      <c r="N55" s="155">
        <v>4.1505840823850997E-2</v>
      </c>
      <c r="O55" s="153" t="s">
        <v>381</v>
      </c>
      <c r="P55" s="153" t="s">
        <v>533</v>
      </c>
      <c r="Q55" s="153" t="s">
        <v>383</v>
      </c>
      <c r="R55" s="153" t="s">
        <v>428</v>
      </c>
      <c r="S55" s="153" t="s">
        <v>428</v>
      </c>
      <c r="T55" s="153" t="s">
        <v>428</v>
      </c>
      <c r="U55" s="156">
        <v>0</v>
      </c>
      <c r="V55" s="156">
        <v>0</v>
      </c>
      <c r="W55" s="156" t="s">
        <v>206</v>
      </c>
      <c r="Y55" s="153" t="s">
        <v>436</v>
      </c>
      <c r="Z55" s="153" t="s">
        <v>437</v>
      </c>
    </row>
    <row r="56" spans="1:26" s="153" customFormat="1">
      <c r="A56" s="153">
        <v>51</v>
      </c>
      <c r="B56" s="153" t="s">
        <v>540</v>
      </c>
      <c r="C56" s="153" t="s">
        <v>541</v>
      </c>
      <c r="D56" s="153" t="s">
        <v>378</v>
      </c>
      <c r="E56" s="153" t="s">
        <v>379</v>
      </c>
      <c r="F56" s="153" t="s">
        <v>542</v>
      </c>
      <c r="G56" s="154">
        <v>43404</v>
      </c>
      <c r="H56" s="154">
        <v>44469</v>
      </c>
      <c r="I56" s="152">
        <v>5695085700</v>
      </c>
      <c r="J56" s="152">
        <v>5695085700</v>
      </c>
      <c r="K56" s="152">
        <v>0</v>
      </c>
      <c r="L56" s="155">
        <f t="shared" ref="L56:L59" si="0">M56+N56</f>
        <v>0.39912297287826759</v>
      </c>
      <c r="M56" s="155">
        <v>0.39912297287826759</v>
      </c>
      <c r="N56" s="155">
        <v>0</v>
      </c>
      <c r="O56" s="153" t="s">
        <v>381</v>
      </c>
      <c r="P56" s="153" t="s">
        <v>533</v>
      </c>
      <c r="Q56" s="153" t="s">
        <v>383</v>
      </c>
      <c r="R56" s="153" t="s">
        <v>157</v>
      </c>
      <c r="S56" s="153" t="s">
        <v>543</v>
      </c>
      <c r="T56" s="153" t="s">
        <v>543</v>
      </c>
      <c r="U56" s="156">
        <v>0</v>
      </c>
      <c r="V56" s="156">
        <v>1</v>
      </c>
      <c r="W56" s="156" t="s">
        <v>206</v>
      </c>
      <c r="X56" s="153" t="s">
        <v>544</v>
      </c>
      <c r="Y56" s="153" t="s">
        <v>391</v>
      </c>
      <c r="Z56" s="153" t="s">
        <v>392</v>
      </c>
    </row>
    <row r="57" spans="1:26" s="153" customFormat="1">
      <c r="A57" s="153">
        <v>52</v>
      </c>
      <c r="B57" s="153" t="s">
        <v>545</v>
      </c>
      <c r="C57" s="153" t="s">
        <v>541</v>
      </c>
      <c r="D57" s="153" t="s">
        <v>378</v>
      </c>
      <c r="E57" s="153" t="s">
        <v>379</v>
      </c>
      <c r="F57" s="153" t="s">
        <v>542</v>
      </c>
      <c r="G57" s="154">
        <v>44188</v>
      </c>
      <c r="H57" s="154">
        <v>46203</v>
      </c>
      <c r="I57" s="152">
        <v>36444605062</v>
      </c>
      <c r="J57" s="152">
        <v>14648282350</v>
      </c>
      <c r="K57" s="152">
        <v>21796322712</v>
      </c>
      <c r="L57" s="155">
        <f t="shared" si="0"/>
        <v>2.4121458448496789</v>
      </c>
      <c r="M57" s="155">
        <v>1.0265808641110099</v>
      </c>
      <c r="N57" s="155">
        <v>1.385564980738669</v>
      </c>
      <c r="O57" s="153" t="s">
        <v>381</v>
      </c>
      <c r="P57" s="153" t="s">
        <v>533</v>
      </c>
      <c r="Q57" s="153" t="s">
        <v>383</v>
      </c>
      <c r="R57" s="153" t="s">
        <v>157</v>
      </c>
      <c r="S57" s="153" t="s">
        <v>543</v>
      </c>
      <c r="T57" s="153" t="s">
        <v>543</v>
      </c>
      <c r="U57" s="156">
        <v>0</v>
      </c>
      <c r="V57" s="156">
        <v>1</v>
      </c>
      <c r="W57" s="156" t="s">
        <v>206</v>
      </c>
      <c r="X57" s="153" t="s">
        <v>544</v>
      </c>
      <c r="Y57" s="153" t="s">
        <v>391</v>
      </c>
      <c r="Z57" s="153" t="s">
        <v>392</v>
      </c>
    </row>
    <row r="58" spans="1:26" s="153" customFormat="1">
      <c r="A58" s="153">
        <v>53</v>
      </c>
      <c r="B58" s="153" t="s">
        <v>546</v>
      </c>
      <c r="C58" s="153" t="s">
        <v>547</v>
      </c>
      <c r="D58" s="153" t="s">
        <v>378</v>
      </c>
      <c r="E58" s="153" t="s">
        <v>379</v>
      </c>
      <c r="F58" s="153" t="s">
        <v>542</v>
      </c>
      <c r="G58" s="154">
        <v>42669</v>
      </c>
      <c r="H58" s="154">
        <v>45107</v>
      </c>
      <c r="I58" s="152">
        <v>116518556773</v>
      </c>
      <c r="J58" s="152">
        <v>66708196187</v>
      </c>
      <c r="K58" s="152">
        <v>49810360586</v>
      </c>
      <c r="L58" s="155">
        <f t="shared" si="0"/>
        <v>7.8414258737362079</v>
      </c>
      <c r="M58" s="155">
        <v>4.6750435340248098</v>
      </c>
      <c r="N58" s="155">
        <v>3.1663823397113977</v>
      </c>
      <c r="O58" s="153" t="s">
        <v>381</v>
      </c>
      <c r="P58" s="153" t="s">
        <v>533</v>
      </c>
      <c r="Q58" s="153" t="s">
        <v>383</v>
      </c>
      <c r="R58" s="153" t="s">
        <v>157</v>
      </c>
      <c r="S58" s="153" t="s">
        <v>543</v>
      </c>
      <c r="T58" s="153" t="s">
        <v>543</v>
      </c>
      <c r="U58" s="156">
        <v>0</v>
      </c>
      <c r="V58" s="156">
        <v>0</v>
      </c>
      <c r="W58" s="156" t="s">
        <v>206</v>
      </c>
      <c r="X58" s="153" t="s">
        <v>548</v>
      </c>
      <c r="Y58" s="153" t="s">
        <v>404</v>
      </c>
      <c r="Z58" s="153" t="s">
        <v>405</v>
      </c>
    </row>
    <row r="59" spans="1:26" s="153" customFormat="1">
      <c r="A59" s="153">
        <v>54</v>
      </c>
      <c r="B59" s="153" t="s">
        <v>549</v>
      </c>
      <c r="C59" s="153" t="s">
        <v>550</v>
      </c>
      <c r="D59" s="153" t="s">
        <v>378</v>
      </c>
      <c r="E59" s="153" t="s">
        <v>379</v>
      </c>
      <c r="F59" s="153" t="s">
        <v>542</v>
      </c>
      <c r="G59" s="154">
        <v>42550</v>
      </c>
      <c r="H59" s="154">
        <v>44926</v>
      </c>
      <c r="I59" s="152">
        <v>138183888784</v>
      </c>
      <c r="J59" s="152">
        <v>65944274654</v>
      </c>
      <c r="K59" s="152">
        <v>72239614130</v>
      </c>
      <c r="L59" s="155">
        <f t="shared" si="0"/>
        <v>9.2136883302795596</v>
      </c>
      <c r="M59" s="155">
        <v>4.6215063882542582</v>
      </c>
      <c r="N59" s="155">
        <v>4.5921819420253005</v>
      </c>
      <c r="O59" s="153" t="s">
        <v>381</v>
      </c>
      <c r="P59" s="153" t="s">
        <v>533</v>
      </c>
      <c r="Q59" s="153" t="s">
        <v>383</v>
      </c>
      <c r="R59" s="153" t="s">
        <v>157</v>
      </c>
      <c r="S59" s="153" t="s">
        <v>543</v>
      </c>
      <c r="T59" s="153" t="s">
        <v>543</v>
      </c>
      <c r="U59" s="156">
        <v>0</v>
      </c>
      <c r="V59" s="156">
        <v>0</v>
      </c>
      <c r="W59" s="156" t="s">
        <v>206</v>
      </c>
      <c r="X59" s="153" t="s">
        <v>551</v>
      </c>
      <c r="Y59" s="153" t="s">
        <v>391</v>
      </c>
      <c r="Z59" s="153" t="s">
        <v>392</v>
      </c>
    </row>
    <row r="60" spans="1:26" s="153" customFormat="1">
      <c r="A60" s="153">
        <v>55</v>
      </c>
      <c r="B60" s="153" t="s">
        <v>552</v>
      </c>
      <c r="C60" s="153" t="s">
        <v>553</v>
      </c>
      <c r="D60" s="153" t="s">
        <v>433</v>
      </c>
      <c r="E60" s="153" t="s">
        <v>379</v>
      </c>
      <c r="F60" s="153" t="s">
        <v>542</v>
      </c>
      <c r="G60" s="154">
        <v>40470</v>
      </c>
      <c r="H60" s="154">
        <v>44545</v>
      </c>
      <c r="I60" s="152">
        <v>49815515125</v>
      </c>
      <c r="J60" s="152">
        <v>23157310392</v>
      </c>
      <c r="K60" s="152">
        <v>26658204733</v>
      </c>
      <c r="L60" s="155">
        <v>3.3175392742927969</v>
      </c>
      <c r="M60" s="155">
        <v>1.6229105327633331</v>
      </c>
      <c r="N60" s="155">
        <v>1.6946287415294641</v>
      </c>
      <c r="O60" s="153" t="s">
        <v>381</v>
      </c>
      <c r="P60" s="153" t="s">
        <v>533</v>
      </c>
      <c r="Q60" s="153" t="s">
        <v>383</v>
      </c>
      <c r="R60" s="153" t="s">
        <v>157</v>
      </c>
      <c r="S60" s="153" t="s">
        <v>543</v>
      </c>
      <c r="T60" s="153" t="s">
        <v>543</v>
      </c>
      <c r="U60" s="156">
        <v>0</v>
      </c>
      <c r="V60" s="156">
        <v>0</v>
      </c>
      <c r="W60" s="156" t="s">
        <v>206</v>
      </c>
      <c r="X60" s="153" t="s">
        <v>554</v>
      </c>
      <c r="Y60" s="153" t="s">
        <v>475</v>
      </c>
      <c r="Z60" s="153" t="s">
        <v>476</v>
      </c>
    </row>
    <row r="61" spans="1:26" s="153" customFormat="1">
      <c r="A61" s="153">
        <v>56</v>
      </c>
      <c r="B61" s="153" t="s">
        <v>555</v>
      </c>
      <c r="C61" s="153" t="s">
        <v>556</v>
      </c>
      <c r="D61" s="153" t="s">
        <v>433</v>
      </c>
      <c r="E61" s="153" t="s">
        <v>379</v>
      </c>
      <c r="F61" s="153" t="s">
        <v>542</v>
      </c>
      <c r="G61" s="154">
        <v>43578</v>
      </c>
      <c r="H61" s="154">
        <v>46386</v>
      </c>
      <c r="I61" s="152">
        <v>52375789368</v>
      </c>
      <c r="J61" s="152">
        <v>28641659487</v>
      </c>
      <c r="K61" s="152">
        <v>23734129881</v>
      </c>
      <c r="L61" s="155">
        <v>3.5160136231897212</v>
      </c>
      <c r="M61" s="155">
        <v>2.0072646637465836</v>
      </c>
      <c r="N61" s="155">
        <v>1.5087489594431378</v>
      </c>
      <c r="O61" s="153" t="s">
        <v>381</v>
      </c>
      <c r="P61" s="153" t="s">
        <v>533</v>
      </c>
      <c r="Q61" s="153" t="s">
        <v>383</v>
      </c>
      <c r="R61" s="153" t="s">
        <v>157</v>
      </c>
      <c r="S61" s="153" t="s">
        <v>543</v>
      </c>
      <c r="T61" s="153" t="s">
        <v>543</v>
      </c>
      <c r="U61" s="156">
        <v>0</v>
      </c>
      <c r="V61" s="156">
        <v>1</v>
      </c>
      <c r="W61" s="156" t="s">
        <v>206</v>
      </c>
      <c r="X61" s="153" t="s">
        <v>557</v>
      </c>
      <c r="Y61" s="153" t="s">
        <v>475</v>
      </c>
      <c r="Z61" s="153" t="s">
        <v>476</v>
      </c>
    </row>
    <row r="62" spans="1:26" s="153" customFormat="1">
      <c r="A62" s="153">
        <v>57</v>
      </c>
      <c r="B62" s="153" t="s">
        <v>558</v>
      </c>
      <c r="C62" s="153" t="s">
        <v>559</v>
      </c>
      <c r="D62" s="153" t="s">
        <v>433</v>
      </c>
      <c r="E62" s="153" t="s">
        <v>379</v>
      </c>
      <c r="F62" s="153" t="s">
        <v>542</v>
      </c>
      <c r="G62" s="154">
        <v>43822</v>
      </c>
      <c r="H62" s="154">
        <v>46386</v>
      </c>
      <c r="I62" s="152">
        <v>22114842344</v>
      </c>
      <c r="J62" s="152">
        <v>9075809847</v>
      </c>
      <c r="K62" s="152">
        <v>13039032497</v>
      </c>
      <c r="L62" s="155">
        <v>1.4649258606697038</v>
      </c>
      <c r="M62" s="155">
        <v>0.63605086880650363</v>
      </c>
      <c r="N62" s="155">
        <v>0.82887499186320013</v>
      </c>
      <c r="O62" s="153" t="s">
        <v>381</v>
      </c>
      <c r="P62" s="153" t="s">
        <v>533</v>
      </c>
      <c r="Q62" s="153" t="s">
        <v>383</v>
      </c>
      <c r="R62" s="153" t="s">
        <v>157</v>
      </c>
      <c r="S62" s="153" t="s">
        <v>543</v>
      </c>
      <c r="T62" s="153" t="s">
        <v>543</v>
      </c>
      <c r="U62" s="156">
        <v>0</v>
      </c>
      <c r="V62" s="156">
        <v>1</v>
      </c>
      <c r="W62" s="156" t="s">
        <v>206</v>
      </c>
      <c r="X62" s="153" t="s">
        <v>560</v>
      </c>
      <c r="Y62" s="153" t="s">
        <v>475</v>
      </c>
      <c r="Z62" s="153" t="s">
        <v>480</v>
      </c>
    </row>
    <row r="63" spans="1:26" s="153" customFormat="1">
      <c r="A63" s="153">
        <v>58</v>
      </c>
      <c r="B63" s="153" t="s">
        <v>561</v>
      </c>
      <c r="C63" s="153" t="s">
        <v>562</v>
      </c>
      <c r="D63" s="153" t="s">
        <v>378</v>
      </c>
      <c r="E63" s="153" t="s">
        <v>379</v>
      </c>
      <c r="F63" s="153" t="s">
        <v>542</v>
      </c>
      <c r="G63" s="154">
        <v>44188</v>
      </c>
      <c r="H63" s="154">
        <v>47117</v>
      </c>
      <c r="I63" s="152">
        <v>10034715041</v>
      </c>
      <c r="J63" s="152">
        <v>575026291</v>
      </c>
      <c r="K63" s="152">
        <v>9459688750</v>
      </c>
      <c r="L63" s="155">
        <f>M63+N63</f>
        <v>0.64163957565670438</v>
      </c>
      <c r="M63" s="155">
        <v>4.0298990188520567E-2</v>
      </c>
      <c r="N63" s="155">
        <v>0.60134058546818381</v>
      </c>
      <c r="O63" s="153" t="s">
        <v>381</v>
      </c>
      <c r="P63" s="153" t="s">
        <v>533</v>
      </c>
      <c r="Q63" s="153" t="s">
        <v>383</v>
      </c>
      <c r="R63" s="153" t="s">
        <v>157</v>
      </c>
      <c r="S63" s="153" t="s">
        <v>543</v>
      </c>
      <c r="T63" s="153" t="s">
        <v>543</v>
      </c>
      <c r="U63" s="156">
        <v>0</v>
      </c>
      <c r="V63" s="156">
        <v>1</v>
      </c>
      <c r="W63" s="156" t="s">
        <v>563</v>
      </c>
      <c r="X63" s="153" t="s">
        <v>564</v>
      </c>
      <c r="Y63" s="153" t="s">
        <v>475</v>
      </c>
      <c r="Z63" s="153" t="s">
        <v>480</v>
      </c>
    </row>
    <row r="64" spans="1:26" s="153" customFormat="1">
      <c r="A64" s="153">
        <v>59</v>
      </c>
      <c r="B64" s="153" t="s">
        <v>565</v>
      </c>
      <c r="C64" s="153" t="s">
        <v>566</v>
      </c>
      <c r="D64" s="153" t="s">
        <v>433</v>
      </c>
      <c r="E64" s="153" t="s">
        <v>379</v>
      </c>
      <c r="F64" s="153" t="s">
        <v>542</v>
      </c>
      <c r="G64" s="154">
        <v>41836</v>
      </c>
      <c r="H64" s="154">
        <v>44926</v>
      </c>
      <c r="I64" s="152">
        <v>106760977753</v>
      </c>
      <c r="J64" s="152">
        <v>59616239312</v>
      </c>
      <c r="K64" s="152">
        <v>47144738441</v>
      </c>
      <c r="L64" s="155">
        <v>7.1749571141786248</v>
      </c>
      <c r="M64" s="155">
        <v>4.1780250411381319</v>
      </c>
      <c r="N64" s="155">
        <v>2.9969320730404934</v>
      </c>
      <c r="O64" s="153" t="s">
        <v>381</v>
      </c>
      <c r="P64" s="153" t="s">
        <v>533</v>
      </c>
      <c r="Q64" s="153" t="s">
        <v>383</v>
      </c>
      <c r="R64" s="153" t="s">
        <v>157</v>
      </c>
      <c r="S64" s="153" t="s">
        <v>543</v>
      </c>
      <c r="T64" s="153" t="s">
        <v>543</v>
      </c>
      <c r="U64" s="156">
        <v>0</v>
      </c>
      <c r="V64" s="156">
        <v>1</v>
      </c>
      <c r="W64" s="156" t="s">
        <v>206</v>
      </c>
      <c r="X64" s="153" t="s">
        <v>567</v>
      </c>
      <c r="Y64" s="153" t="s">
        <v>475</v>
      </c>
      <c r="Z64" s="153" t="s">
        <v>476</v>
      </c>
    </row>
    <row r="65" spans="1:28" s="153" customFormat="1">
      <c r="A65" s="153">
        <v>60</v>
      </c>
      <c r="B65" s="153" t="s">
        <v>568</v>
      </c>
      <c r="C65" s="153" t="s">
        <v>569</v>
      </c>
      <c r="D65" s="153" t="s">
        <v>433</v>
      </c>
      <c r="E65" s="153" t="s">
        <v>379</v>
      </c>
      <c r="F65" s="153" t="s">
        <v>542</v>
      </c>
      <c r="G65" s="154">
        <v>42367</v>
      </c>
      <c r="H65" s="154">
        <v>45657</v>
      </c>
      <c r="I65" s="152">
        <v>61115746792</v>
      </c>
      <c r="J65" s="152">
        <v>32395946358</v>
      </c>
      <c r="K65" s="152">
        <v>28719800434</v>
      </c>
      <c r="L65" s="155">
        <v>4.096054383408072</v>
      </c>
      <c r="M65" s="155">
        <v>2.2703725809797461</v>
      </c>
      <c r="N65" s="155">
        <v>1.8256818024283263</v>
      </c>
      <c r="O65" s="153" t="s">
        <v>381</v>
      </c>
      <c r="P65" s="153" t="s">
        <v>533</v>
      </c>
      <c r="Q65" s="153" t="s">
        <v>383</v>
      </c>
      <c r="R65" s="153" t="s">
        <v>157</v>
      </c>
      <c r="S65" s="153" t="s">
        <v>543</v>
      </c>
      <c r="T65" s="153" t="s">
        <v>543</v>
      </c>
      <c r="U65" s="156">
        <v>0</v>
      </c>
      <c r="V65" s="156">
        <v>1</v>
      </c>
      <c r="W65" s="156" t="s">
        <v>206</v>
      </c>
      <c r="X65" s="153" t="s">
        <v>570</v>
      </c>
      <c r="Y65" s="153" t="s">
        <v>475</v>
      </c>
      <c r="Z65" s="153" t="s">
        <v>480</v>
      </c>
    </row>
    <row r="66" spans="1:28" s="153" customFormat="1">
      <c r="A66" s="153">
        <v>61</v>
      </c>
      <c r="B66" s="153" t="s">
        <v>571</v>
      </c>
      <c r="C66" s="153" t="s">
        <v>572</v>
      </c>
      <c r="D66" s="153" t="s">
        <v>378</v>
      </c>
      <c r="E66" s="153" t="s">
        <v>379</v>
      </c>
      <c r="F66" s="153" t="s">
        <v>542</v>
      </c>
      <c r="G66" s="154">
        <v>44000</v>
      </c>
      <c r="H66" s="154">
        <v>45838</v>
      </c>
      <c r="I66" s="152">
        <v>47021659502</v>
      </c>
      <c r="J66" s="152">
        <v>13223501390</v>
      </c>
      <c r="K66" s="152">
        <v>33798158112</v>
      </c>
      <c r="L66" s="155">
        <f>M66+N66</f>
        <v>3.0752360207177101</v>
      </c>
      <c r="M66" s="155">
        <v>0.92672937066367655</v>
      </c>
      <c r="N66" s="155">
        <v>2.1485066500540335</v>
      </c>
      <c r="O66" s="153" t="s">
        <v>381</v>
      </c>
      <c r="P66" s="153" t="s">
        <v>533</v>
      </c>
      <c r="Q66" s="153" t="s">
        <v>383</v>
      </c>
      <c r="R66" s="153" t="s">
        <v>157</v>
      </c>
      <c r="S66" s="153" t="s">
        <v>543</v>
      </c>
      <c r="T66" s="153" t="s">
        <v>543</v>
      </c>
      <c r="U66" s="156">
        <v>0</v>
      </c>
      <c r="V66" s="156">
        <v>1</v>
      </c>
      <c r="W66" s="156" t="s">
        <v>563</v>
      </c>
      <c r="X66" s="153" t="s">
        <v>573</v>
      </c>
      <c r="Y66" s="153" t="s">
        <v>574</v>
      </c>
      <c r="Z66" s="153" t="s">
        <v>574</v>
      </c>
    </row>
    <row r="67" spans="1:28" s="153" customFormat="1">
      <c r="A67" s="153">
        <v>62</v>
      </c>
      <c r="B67" s="153" t="s">
        <v>575</v>
      </c>
      <c r="C67" s="153" t="s">
        <v>576</v>
      </c>
      <c r="D67" s="153" t="s">
        <v>433</v>
      </c>
      <c r="E67" s="153" t="s">
        <v>379</v>
      </c>
      <c r="F67" s="153" t="s">
        <v>389</v>
      </c>
      <c r="G67" s="154">
        <v>41396</v>
      </c>
      <c r="H67" s="154">
        <v>44926</v>
      </c>
      <c r="I67" s="152">
        <v>20103899518</v>
      </c>
      <c r="J67" s="152">
        <v>15606419512</v>
      </c>
      <c r="K67" s="152">
        <v>4497480006</v>
      </c>
      <c r="L67" s="155">
        <v>1.379628209148243</v>
      </c>
      <c r="M67" s="155">
        <v>1.0937290288037003</v>
      </c>
      <c r="N67" s="155">
        <v>0.28589918034454259</v>
      </c>
      <c r="O67" s="153" t="s">
        <v>381</v>
      </c>
      <c r="P67" s="153" t="s">
        <v>382</v>
      </c>
      <c r="Q67" s="153" t="s">
        <v>395</v>
      </c>
      <c r="R67" s="153" t="s">
        <v>157</v>
      </c>
      <c r="S67" s="153" t="s">
        <v>258</v>
      </c>
      <c r="T67" s="153" t="s">
        <v>258</v>
      </c>
      <c r="U67" s="156">
        <v>0</v>
      </c>
      <c r="V67" s="156">
        <v>0</v>
      </c>
      <c r="W67" s="156" t="s">
        <v>398</v>
      </c>
      <c r="X67" s="153" t="s">
        <v>577</v>
      </c>
      <c r="Y67" s="153" t="s">
        <v>475</v>
      </c>
      <c r="Z67" s="153" t="s">
        <v>480</v>
      </c>
    </row>
    <row r="68" spans="1:28" s="153" customFormat="1">
      <c r="A68" s="153">
        <v>63</v>
      </c>
      <c r="B68" s="153" t="s">
        <v>578</v>
      </c>
      <c r="C68" s="153" t="s">
        <v>579</v>
      </c>
      <c r="D68" s="153" t="s">
        <v>433</v>
      </c>
      <c r="E68" s="153" t="s">
        <v>379</v>
      </c>
      <c r="F68" s="153" t="s">
        <v>389</v>
      </c>
      <c r="G68" s="154">
        <v>42681</v>
      </c>
      <c r="H68" s="154">
        <v>44064</v>
      </c>
      <c r="I68" s="152">
        <v>8364722172</v>
      </c>
      <c r="J68" s="152">
        <v>8364722172</v>
      </c>
      <c r="K68" s="152">
        <v>0</v>
      </c>
      <c r="L68" s="155">
        <v>0.58621642525755135</v>
      </c>
      <c r="M68" s="155">
        <v>0.58621642525755135</v>
      </c>
      <c r="N68" s="155">
        <v>0</v>
      </c>
      <c r="O68" s="153" t="s">
        <v>381</v>
      </c>
      <c r="P68" s="153" t="s">
        <v>533</v>
      </c>
      <c r="Q68" s="153" t="s">
        <v>383</v>
      </c>
      <c r="R68" s="153" t="s">
        <v>157</v>
      </c>
      <c r="S68" s="153" t="s">
        <v>258</v>
      </c>
      <c r="T68" s="153" t="s">
        <v>258</v>
      </c>
      <c r="U68" s="156">
        <v>0</v>
      </c>
      <c r="V68" s="156">
        <v>0</v>
      </c>
      <c r="W68" s="156" t="s">
        <v>206</v>
      </c>
      <c r="X68" s="153" t="s">
        <v>580</v>
      </c>
      <c r="Y68" s="153" t="s">
        <v>475</v>
      </c>
      <c r="Z68" s="153" t="s">
        <v>480</v>
      </c>
    </row>
    <row r="69" spans="1:28" s="153" customFormat="1">
      <c r="A69" s="153">
        <v>64</v>
      </c>
      <c r="B69" s="153" t="s">
        <v>581</v>
      </c>
      <c r="C69" s="153" t="s">
        <v>532</v>
      </c>
      <c r="D69" s="153" t="s">
        <v>378</v>
      </c>
      <c r="E69" s="153" t="s">
        <v>379</v>
      </c>
      <c r="F69" s="153" t="s">
        <v>389</v>
      </c>
      <c r="G69" s="154">
        <v>44165</v>
      </c>
      <c r="H69" s="154">
        <v>44742</v>
      </c>
      <c r="I69" s="152">
        <v>77000000000</v>
      </c>
      <c r="J69" s="152">
        <v>77000000000</v>
      </c>
      <c r="K69" s="152">
        <v>0</v>
      </c>
      <c r="L69" s="155">
        <f t="shared" ref="L69:L70" si="1">M69+N69</f>
        <v>5.396313687013806</v>
      </c>
      <c r="M69" s="155">
        <v>5.396313687013806</v>
      </c>
      <c r="N69" s="155">
        <v>0</v>
      </c>
      <c r="O69" s="153" t="s">
        <v>381</v>
      </c>
      <c r="P69" s="153" t="s">
        <v>533</v>
      </c>
      <c r="Q69" s="153" t="s">
        <v>383</v>
      </c>
      <c r="R69" s="153" t="s">
        <v>427</v>
      </c>
      <c r="S69" s="153" t="s">
        <v>444</v>
      </c>
      <c r="T69" s="153" t="s">
        <v>1698</v>
      </c>
      <c r="U69" s="156">
        <v>0</v>
      </c>
      <c r="V69" s="156">
        <v>0</v>
      </c>
      <c r="W69" s="156" t="s">
        <v>206</v>
      </c>
      <c r="X69" s="153" t="s">
        <v>534</v>
      </c>
      <c r="Y69" s="153" t="s">
        <v>391</v>
      </c>
      <c r="Z69" s="153" t="s">
        <v>392</v>
      </c>
    </row>
    <row r="70" spans="1:28" s="153" customFormat="1">
      <c r="A70" s="153">
        <v>65</v>
      </c>
      <c r="B70" s="153" t="s">
        <v>582</v>
      </c>
      <c r="C70" s="153" t="s">
        <v>583</v>
      </c>
      <c r="D70" s="153" t="s">
        <v>378</v>
      </c>
      <c r="E70" s="153" t="s">
        <v>379</v>
      </c>
      <c r="F70" s="153" t="s">
        <v>389</v>
      </c>
      <c r="G70" s="154">
        <v>42779</v>
      </c>
      <c r="H70" s="154">
        <v>45199</v>
      </c>
      <c r="I70" s="152">
        <v>9252140746</v>
      </c>
      <c r="J70" s="152">
        <v>4761051042</v>
      </c>
      <c r="K70" s="152">
        <v>4491089704</v>
      </c>
      <c r="L70" s="155">
        <f t="shared" si="1"/>
        <v>0.61915691660975336</v>
      </c>
      <c r="M70" s="155">
        <v>0.33366395977293434</v>
      </c>
      <c r="N70" s="155">
        <v>0.28549295683681902</v>
      </c>
      <c r="O70" s="153" t="s">
        <v>381</v>
      </c>
      <c r="P70" s="153" t="s">
        <v>533</v>
      </c>
      <c r="Q70" s="153" t="s">
        <v>383</v>
      </c>
      <c r="R70" s="153" t="s">
        <v>205</v>
      </c>
      <c r="S70" s="153" t="s">
        <v>384</v>
      </c>
      <c r="T70" s="153" t="s">
        <v>385</v>
      </c>
      <c r="U70" s="156">
        <v>0</v>
      </c>
      <c r="V70" s="156">
        <v>0</v>
      </c>
      <c r="W70" s="156" t="s">
        <v>398</v>
      </c>
      <c r="X70" s="153" t="s">
        <v>584</v>
      </c>
      <c r="Y70" s="153" t="s">
        <v>414</v>
      </c>
      <c r="Z70" s="153" t="s">
        <v>414</v>
      </c>
    </row>
    <row r="71" spans="1:28" s="153" customFormat="1">
      <c r="A71" s="153">
        <v>66</v>
      </c>
      <c r="B71" s="153" t="s">
        <v>585</v>
      </c>
      <c r="C71" s="153" t="s">
        <v>586</v>
      </c>
      <c r="D71" s="153" t="s">
        <v>433</v>
      </c>
      <c r="E71" s="153" t="s">
        <v>379</v>
      </c>
      <c r="F71" s="153" t="s">
        <v>389</v>
      </c>
      <c r="G71" s="154">
        <v>43921</v>
      </c>
      <c r="H71" s="154">
        <v>46658</v>
      </c>
      <c r="I71" s="152">
        <v>31838706250</v>
      </c>
      <c r="J71" s="152">
        <v>0</v>
      </c>
      <c r="K71" s="152">
        <v>31838706250</v>
      </c>
      <c r="L71" s="155">
        <v>2.0239467452800204</v>
      </c>
      <c r="M71" s="155">
        <v>0</v>
      </c>
      <c r="N71" s="155">
        <v>2.0239467452800204</v>
      </c>
      <c r="O71" s="153" t="s">
        <v>381</v>
      </c>
      <c r="P71" s="153" t="s">
        <v>382</v>
      </c>
      <c r="Q71" s="153" t="s">
        <v>383</v>
      </c>
      <c r="R71" s="153" t="s">
        <v>396</v>
      </c>
      <c r="S71" s="153" t="s">
        <v>258</v>
      </c>
      <c r="T71" s="158" t="s">
        <v>397</v>
      </c>
      <c r="U71" s="156">
        <v>0</v>
      </c>
      <c r="V71" s="156">
        <v>0</v>
      </c>
      <c r="W71" s="156" t="s">
        <v>206</v>
      </c>
      <c r="X71" s="153" t="s">
        <v>464</v>
      </c>
      <c r="Y71" s="153" t="s">
        <v>436</v>
      </c>
      <c r="Z71" s="153" t="s">
        <v>437</v>
      </c>
    </row>
    <row r="72" spans="1:28" s="153" customFormat="1">
      <c r="A72" s="153">
        <v>67</v>
      </c>
      <c r="B72" s="153" t="s">
        <v>587</v>
      </c>
      <c r="C72" s="153" t="s">
        <v>588</v>
      </c>
      <c r="D72" s="153" t="s">
        <v>433</v>
      </c>
      <c r="E72" s="153" t="s">
        <v>379</v>
      </c>
      <c r="F72" s="153" t="s">
        <v>389</v>
      </c>
      <c r="G72" s="154">
        <v>38442</v>
      </c>
      <c r="H72" s="154">
        <v>42397</v>
      </c>
      <c r="I72" s="152">
        <v>4072070759</v>
      </c>
      <c r="J72" s="152">
        <v>0</v>
      </c>
      <c r="K72" s="152">
        <v>4072070759</v>
      </c>
      <c r="L72" s="155">
        <v>0.25885644644332845</v>
      </c>
      <c r="M72" s="155">
        <v>0</v>
      </c>
      <c r="N72" s="155">
        <v>0.25885644644332845</v>
      </c>
      <c r="O72" s="153" t="s">
        <v>381</v>
      </c>
      <c r="P72" s="153" t="s">
        <v>382</v>
      </c>
      <c r="Q72" s="153" t="s">
        <v>395</v>
      </c>
      <c r="R72" s="153" t="s">
        <v>205</v>
      </c>
      <c r="S72" s="153" t="s">
        <v>384</v>
      </c>
      <c r="T72" s="153" t="s">
        <v>385</v>
      </c>
      <c r="U72" s="156">
        <v>0</v>
      </c>
      <c r="V72" s="156">
        <v>0</v>
      </c>
      <c r="W72" s="156" t="s">
        <v>398</v>
      </c>
      <c r="X72" s="153" t="s">
        <v>589</v>
      </c>
      <c r="Y72" s="153" t="s">
        <v>436</v>
      </c>
      <c r="Z72" s="153" t="s">
        <v>437</v>
      </c>
    </row>
    <row r="73" spans="1:28" s="153" customFormat="1">
      <c r="A73" s="153">
        <v>68</v>
      </c>
      <c r="B73" s="153" t="s">
        <v>590</v>
      </c>
      <c r="C73" s="153" t="s">
        <v>591</v>
      </c>
      <c r="D73" s="153" t="s">
        <v>433</v>
      </c>
      <c r="E73" s="153" t="s">
        <v>379</v>
      </c>
      <c r="F73" s="153" t="s">
        <v>389</v>
      </c>
      <c r="G73" s="154">
        <v>39654</v>
      </c>
      <c r="H73" s="154">
        <v>43033</v>
      </c>
      <c r="I73" s="152">
        <v>13897260800</v>
      </c>
      <c r="J73" s="152">
        <v>0</v>
      </c>
      <c r="K73" s="152">
        <v>13897260800</v>
      </c>
      <c r="L73" s="155">
        <v>0.88343149195855319</v>
      </c>
      <c r="M73" s="155">
        <v>0</v>
      </c>
      <c r="N73" s="155">
        <v>0.88343149195855319</v>
      </c>
      <c r="O73" s="153" t="s">
        <v>381</v>
      </c>
      <c r="P73" s="153" t="s">
        <v>382</v>
      </c>
      <c r="Q73" s="153" t="s">
        <v>395</v>
      </c>
      <c r="R73" s="153" t="s">
        <v>205</v>
      </c>
      <c r="S73" s="153" t="s">
        <v>384</v>
      </c>
      <c r="T73" s="153" t="s">
        <v>385</v>
      </c>
      <c r="U73" s="156">
        <v>0</v>
      </c>
      <c r="V73" s="156">
        <v>0</v>
      </c>
      <c r="W73" s="156" t="s">
        <v>398</v>
      </c>
      <c r="Y73" s="153" t="s">
        <v>436</v>
      </c>
      <c r="Z73" s="153" t="s">
        <v>437</v>
      </c>
    </row>
    <row r="74" spans="1:28" s="153" customFormat="1">
      <c r="A74" s="153">
        <v>69</v>
      </c>
      <c r="B74" s="153" t="s">
        <v>592</v>
      </c>
      <c r="C74" s="153" t="s">
        <v>593</v>
      </c>
      <c r="D74" s="153" t="s">
        <v>433</v>
      </c>
      <c r="E74" s="153" t="s">
        <v>379</v>
      </c>
      <c r="F74" s="153" t="s">
        <v>389</v>
      </c>
      <c r="G74" s="154">
        <v>39535</v>
      </c>
      <c r="H74" s="154">
        <v>42576</v>
      </c>
      <c r="I74" s="152">
        <v>117536000</v>
      </c>
      <c r="J74" s="152">
        <v>0</v>
      </c>
      <c r="K74" s="152">
        <v>117536000</v>
      </c>
      <c r="L74" s="155">
        <v>7.4716165533023965E-3</v>
      </c>
      <c r="M74" s="155">
        <v>0</v>
      </c>
      <c r="N74" s="155">
        <v>7.4716165533023965E-3</v>
      </c>
      <c r="O74" s="153" t="s">
        <v>381</v>
      </c>
      <c r="P74" s="153" t="s">
        <v>382</v>
      </c>
      <c r="Q74" s="153" t="s">
        <v>395</v>
      </c>
      <c r="R74" s="153" t="s">
        <v>205</v>
      </c>
      <c r="S74" s="153" t="s">
        <v>384</v>
      </c>
      <c r="T74" s="153" t="s">
        <v>385</v>
      </c>
      <c r="U74" s="156">
        <v>0</v>
      </c>
      <c r="V74" s="156">
        <v>0</v>
      </c>
      <c r="W74" s="156" t="s">
        <v>398</v>
      </c>
      <c r="X74" s="153" t="s">
        <v>594</v>
      </c>
      <c r="Y74" s="153" t="s">
        <v>436</v>
      </c>
      <c r="Z74" s="153" t="s">
        <v>437</v>
      </c>
    </row>
    <row r="75" spans="1:28" s="153" customFormat="1">
      <c r="A75" s="153">
        <v>70</v>
      </c>
      <c r="B75" s="153" t="s">
        <v>595</v>
      </c>
      <c r="C75" s="153" t="s">
        <v>596</v>
      </c>
      <c r="D75" s="153" t="s">
        <v>456</v>
      </c>
      <c r="E75" s="153" t="s">
        <v>379</v>
      </c>
      <c r="F75" s="153" t="s">
        <v>389</v>
      </c>
      <c r="G75" s="154">
        <v>41520</v>
      </c>
      <c r="H75" s="154">
        <v>42744</v>
      </c>
      <c r="I75" s="152">
        <v>409954367888</v>
      </c>
      <c r="J75" s="152">
        <v>0</v>
      </c>
      <c r="K75" s="152">
        <v>409954367888</v>
      </c>
      <c r="L75" s="155">
        <v>26.06</v>
      </c>
      <c r="M75" s="155">
        <v>0</v>
      </c>
      <c r="N75" s="155">
        <v>26.06</v>
      </c>
      <c r="O75" s="153" t="s">
        <v>381</v>
      </c>
      <c r="P75" s="153" t="s">
        <v>450</v>
      </c>
      <c r="Q75" s="153" t="s">
        <v>395</v>
      </c>
      <c r="R75" s="153" t="s">
        <v>205</v>
      </c>
      <c r="S75" s="153" t="s">
        <v>334</v>
      </c>
      <c r="T75" s="153" t="s">
        <v>402</v>
      </c>
      <c r="U75" s="156">
        <v>0</v>
      </c>
      <c r="V75" s="156">
        <v>0</v>
      </c>
      <c r="W75" s="156" t="s">
        <v>563</v>
      </c>
      <c r="X75" s="153" t="s">
        <v>597</v>
      </c>
      <c r="Y75" s="153" t="s">
        <v>598</v>
      </c>
      <c r="Z75" s="153" t="s">
        <v>599</v>
      </c>
    </row>
    <row r="76" spans="1:28" s="153" customFormat="1">
      <c r="A76" s="153">
        <v>71</v>
      </c>
      <c r="B76" s="153" t="s">
        <v>600</v>
      </c>
      <c r="C76" s="153" t="s">
        <v>601</v>
      </c>
      <c r="D76" s="153" t="s">
        <v>378</v>
      </c>
      <c r="E76" s="153" t="s">
        <v>379</v>
      </c>
      <c r="F76" s="153" t="s">
        <v>389</v>
      </c>
      <c r="G76" s="154">
        <v>44372</v>
      </c>
      <c r="H76" s="154">
        <v>44742</v>
      </c>
      <c r="I76" s="152">
        <v>32054652403</v>
      </c>
      <c r="J76" s="152">
        <v>8335714000</v>
      </c>
      <c r="K76" s="152">
        <v>23718938403</v>
      </c>
      <c r="L76" s="155">
        <f>M76+N76</f>
        <v>2.0919667308474192</v>
      </c>
      <c r="M76" s="155">
        <v>0.58418347466535847</v>
      </c>
      <c r="N76" s="155">
        <v>1.5077832561820608</v>
      </c>
      <c r="O76" s="153" t="s">
        <v>381</v>
      </c>
      <c r="P76" s="153" t="s">
        <v>533</v>
      </c>
      <c r="Q76" s="153" t="s">
        <v>383</v>
      </c>
      <c r="R76" s="153" t="s">
        <v>427</v>
      </c>
      <c r="S76" s="153" t="s">
        <v>444</v>
      </c>
      <c r="T76" s="153" t="s">
        <v>1698</v>
      </c>
      <c r="U76" s="156">
        <v>0</v>
      </c>
      <c r="V76" s="156">
        <v>0</v>
      </c>
      <c r="W76" s="156" t="s">
        <v>206</v>
      </c>
      <c r="X76" s="153" t="s">
        <v>445</v>
      </c>
      <c r="Y76" s="153" t="s">
        <v>391</v>
      </c>
      <c r="Z76" s="153" t="s">
        <v>392</v>
      </c>
    </row>
    <row r="77" spans="1:28" s="153" customFormat="1">
      <c r="A77" s="153">
        <v>72</v>
      </c>
      <c r="B77" s="153" t="s">
        <v>602</v>
      </c>
      <c r="C77" s="153" t="s">
        <v>603</v>
      </c>
      <c r="D77" s="153" t="s">
        <v>433</v>
      </c>
      <c r="E77" s="153" t="s">
        <v>379</v>
      </c>
      <c r="F77" s="153" t="s">
        <v>389</v>
      </c>
      <c r="G77" s="154">
        <v>42681</v>
      </c>
      <c r="H77" s="154">
        <v>44315</v>
      </c>
      <c r="I77" s="152">
        <v>4156355397</v>
      </c>
      <c r="J77" s="152">
        <v>0</v>
      </c>
      <c r="K77" s="152">
        <v>4156355397</v>
      </c>
      <c r="L77" s="155">
        <v>0.26421431549170427</v>
      </c>
      <c r="M77" s="155">
        <v>0</v>
      </c>
      <c r="N77" s="155">
        <v>0.26421431549170427</v>
      </c>
      <c r="O77" s="153" t="s">
        <v>381</v>
      </c>
      <c r="P77" s="153" t="s">
        <v>533</v>
      </c>
      <c r="Q77" s="153" t="s">
        <v>383</v>
      </c>
      <c r="R77" s="153" t="s">
        <v>157</v>
      </c>
      <c r="S77" s="153" t="s">
        <v>258</v>
      </c>
      <c r="T77" s="153" t="s">
        <v>258</v>
      </c>
      <c r="U77" s="156">
        <v>0</v>
      </c>
      <c r="V77" s="156">
        <v>0</v>
      </c>
      <c r="W77" s="156" t="s">
        <v>206</v>
      </c>
      <c r="X77" s="153" t="s">
        <v>604</v>
      </c>
      <c r="Y77" s="153" t="s">
        <v>475</v>
      </c>
      <c r="Z77" s="153" t="s">
        <v>476</v>
      </c>
    </row>
    <row r="78" spans="1:28" s="153" customFormat="1">
      <c r="A78" s="153">
        <v>73</v>
      </c>
      <c r="B78" s="153" t="s">
        <v>605</v>
      </c>
      <c r="C78" s="153" t="s">
        <v>606</v>
      </c>
      <c r="D78" s="153" t="s">
        <v>456</v>
      </c>
      <c r="E78" s="153" t="s">
        <v>379</v>
      </c>
      <c r="F78" s="153" t="s">
        <v>515</v>
      </c>
      <c r="G78" s="154">
        <v>43490</v>
      </c>
      <c r="H78" s="154">
        <v>45504</v>
      </c>
      <c r="I78" s="152">
        <v>67358669467</v>
      </c>
      <c r="J78" s="152">
        <v>0</v>
      </c>
      <c r="K78" s="152">
        <v>67358669467</v>
      </c>
      <c r="L78" s="155">
        <v>4.2819063929184411</v>
      </c>
      <c r="M78" s="155">
        <v>0</v>
      </c>
      <c r="N78" s="155">
        <v>4.2819063929184411</v>
      </c>
      <c r="O78" s="153" t="s">
        <v>381</v>
      </c>
      <c r="P78" s="153" t="s">
        <v>450</v>
      </c>
      <c r="Q78" s="153" t="s">
        <v>395</v>
      </c>
      <c r="R78" s="153" t="s">
        <v>205</v>
      </c>
      <c r="S78" s="153" t="s">
        <v>428</v>
      </c>
      <c r="T78" s="153" t="s">
        <v>428</v>
      </c>
      <c r="U78" s="156">
        <v>0</v>
      </c>
      <c r="V78" s="156">
        <v>0</v>
      </c>
      <c r="W78" s="156" t="s">
        <v>398</v>
      </c>
      <c r="X78" s="153" t="s">
        <v>607</v>
      </c>
      <c r="Y78" s="153" t="s">
        <v>517</v>
      </c>
      <c r="Z78" s="153" t="s">
        <v>518</v>
      </c>
    </row>
    <row r="79" spans="1:28" s="153" customFormat="1">
      <c r="A79" s="153">
        <v>74</v>
      </c>
      <c r="B79" s="153" t="s">
        <v>608</v>
      </c>
      <c r="C79" s="153" t="s">
        <v>609</v>
      </c>
      <c r="D79" s="153" t="s">
        <v>433</v>
      </c>
      <c r="E79" s="153" t="s">
        <v>379</v>
      </c>
      <c r="F79" s="153" t="s">
        <v>389</v>
      </c>
      <c r="G79" s="154">
        <v>43921</v>
      </c>
      <c r="H79" s="154">
        <v>46293</v>
      </c>
      <c r="I79" s="152">
        <v>10704035000</v>
      </c>
      <c r="J79" s="152">
        <v>0</v>
      </c>
      <c r="K79" s="152">
        <v>10704035000</v>
      </c>
      <c r="L79" s="155">
        <v>0.68044212065348675</v>
      </c>
      <c r="M79" s="155">
        <v>0</v>
      </c>
      <c r="N79" s="155">
        <v>0.68044212065348675</v>
      </c>
      <c r="O79" s="153" t="s">
        <v>381</v>
      </c>
      <c r="P79" s="153" t="s">
        <v>382</v>
      </c>
      <c r="Q79" s="153" t="s">
        <v>395</v>
      </c>
      <c r="R79" s="153" t="s">
        <v>205</v>
      </c>
      <c r="S79" s="153" t="s">
        <v>334</v>
      </c>
      <c r="T79" s="153" t="s">
        <v>402</v>
      </c>
      <c r="U79" s="156">
        <v>0</v>
      </c>
      <c r="V79" s="156">
        <v>0</v>
      </c>
      <c r="W79" s="156" t="s">
        <v>398</v>
      </c>
      <c r="X79" s="153" t="s">
        <v>403</v>
      </c>
      <c r="Y79" s="153" t="s">
        <v>436</v>
      </c>
      <c r="Z79" s="153" t="s">
        <v>437</v>
      </c>
    </row>
    <row r="80" spans="1:28" s="153" customFormat="1">
      <c r="A80" s="153">
        <v>75</v>
      </c>
      <c r="B80" s="153" t="s">
        <v>610</v>
      </c>
      <c r="C80" s="153" t="s">
        <v>611</v>
      </c>
      <c r="D80" s="153" t="s">
        <v>378</v>
      </c>
      <c r="E80" s="153" t="s">
        <v>379</v>
      </c>
      <c r="F80" s="153" t="s">
        <v>510</v>
      </c>
      <c r="G80" s="154" t="s">
        <v>612</v>
      </c>
      <c r="H80" s="154" t="s">
        <v>612</v>
      </c>
      <c r="I80" s="152">
        <v>2629020000</v>
      </c>
      <c r="J80" s="152">
        <v>0</v>
      </c>
      <c r="K80" s="152">
        <v>2629020000</v>
      </c>
      <c r="L80" s="155">
        <f t="shared" ref="L80:L84" si="2">M80+N80</f>
        <v>0.16712351408047801</v>
      </c>
      <c r="M80" s="164"/>
      <c r="N80" s="164">
        <v>0.16712351408047801</v>
      </c>
      <c r="O80" s="153" t="s">
        <v>381</v>
      </c>
      <c r="P80" s="153" t="s">
        <v>533</v>
      </c>
      <c r="Q80" s="153" t="s">
        <v>383</v>
      </c>
      <c r="R80" s="153" t="s">
        <v>157</v>
      </c>
      <c r="S80" s="153" t="s">
        <v>288</v>
      </c>
      <c r="T80" s="153" t="s">
        <v>613</v>
      </c>
      <c r="U80" s="156">
        <v>0</v>
      </c>
      <c r="V80" s="156">
        <v>0</v>
      </c>
      <c r="W80" s="156" t="s">
        <v>206</v>
      </c>
      <c r="X80" s="153" t="s">
        <v>614</v>
      </c>
      <c r="Y80" s="153" t="s">
        <v>574</v>
      </c>
      <c r="Z80" s="153" t="s">
        <v>574</v>
      </c>
      <c r="AB80" s="157"/>
    </row>
    <row r="81" spans="1:28" s="153" customFormat="1">
      <c r="A81" s="153">
        <v>76</v>
      </c>
      <c r="B81" s="153" t="s">
        <v>615</v>
      </c>
      <c r="C81" s="153" t="s">
        <v>616</v>
      </c>
      <c r="D81" s="153" t="s">
        <v>378</v>
      </c>
      <c r="E81" s="153" t="s">
        <v>379</v>
      </c>
      <c r="F81" s="153" t="s">
        <v>617</v>
      </c>
      <c r="G81" s="154" t="s">
        <v>612</v>
      </c>
      <c r="H81" s="154" t="s">
        <v>618</v>
      </c>
      <c r="I81" s="165">
        <v>6916616794</v>
      </c>
      <c r="J81" s="152">
        <v>0</v>
      </c>
      <c r="K81" s="152">
        <v>212363</v>
      </c>
      <c r="L81" s="155">
        <f>M81+N81</f>
        <v>0.44997832242534641</v>
      </c>
      <c r="M81" s="155">
        <v>0.44997832242534641</v>
      </c>
      <c r="N81" s="164">
        <v>0</v>
      </c>
      <c r="O81" s="153" t="s">
        <v>381</v>
      </c>
      <c r="P81" s="153" t="s">
        <v>533</v>
      </c>
      <c r="Q81" s="153" t="s">
        <v>395</v>
      </c>
      <c r="R81" s="153" t="s">
        <v>428</v>
      </c>
      <c r="S81" s="153" t="s">
        <v>428</v>
      </c>
      <c r="T81" s="153" t="s">
        <v>428</v>
      </c>
      <c r="U81" s="156">
        <v>0</v>
      </c>
      <c r="V81" s="156">
        <v>0</v>
      </c>
      <c r="W81" s="156" t="s">
        <v>563</v>
      </c>
      <c r="Y81" s="153" t="s">
        <v>391</v>
      </c>
      <c r="Z81" s="153" t="s">
        <v>392</v>
      </c>
      <c r="AB81" s="157"/>
    </row>
    <row r="82" spans="1:28" s="153" customFormat="1">
      <c r="A82" s="153">
        <v>77</v>
      </c>
      <c r="B82" s="153" t="s">
        <v>619</v>
      </c>
      <c r="C82" s="153" t="s">
        <v>1700</v>
      </c>
      <c r="D82" s="153" t="s">
        <v>378</v>
      </c>
      <c r="E82" s="153" t="s">
        <v>379</v>
      </c>
      <c r="F82" s="153" t="s">
        <v>617</v>
      </c>
      <c r="G82" s="154" t="s">
        <v>612</v>
      </c>
      <c r="H82" s="154" t="s">
        <v>618</v>
      </c>
      <c r="I82" s="166">
        <v>7363097606</v>
      </c>
      <c r="J82" s="152">
        <v>0</v>
      </c>
      <c r="K82" s="152">
        <v>0</v>
      </c>
      <c r="L82" s="155">
        <f>M82+N82</f>
        <v>0.47902528176436149</v>
      </c>
      <c r="M82" s="155">
        <v>0.47902528176436149</v>
      </c>
      <c r="N82" s="164">
        <v>0</v>
      </c>
      <c r="O82" s="153" t="s">
        <v>381</v>
      </c>
      <c r="P82" s="153" t="s">
        <v>533</v>
      </c>
      <c r="Q82" s="153" t="s">
        <v>395</v>
      </c>
      <c r="R82" s="153" t="s">
        <v>205</v>
      </c>
      <c r="S82" s="153" t="s">
        <v>384</v>
      </c>
      <c r="T82" s="153" t="s">
        <v>1701</v>
      </c>
      <c r="U82" s="156">
        <v>0</v>
      </c>
      <c r="V82" s="156">
        <v>0</v>
      </c>
      <c r="W82" s="156" t="s">
        <v>563</v>
      </c>
      <c r="X82" s="153" t="s">
        <v>621</v>
      </c>
      <c r="Y82" s="153" t="s">
        <v>622</v>
      </c>
      <c r="Z82" s="153" t="s">
        <v>622</v>
      </c>
    </row>
    <row r="83" spans="1:28" s="153" customFormat="1">
      <c r="A83" s="153">
        <v>78</v>
      </c>
      <c r="B83" s="153" t="s">
        <v>627</v>
      </c>
      <c r="C83" s="153" t="s">
        <v>624</v>
      </c>
      <c r="D83" s="153" t="s">
        <v>378</v>
      </c>
      <c r="E83" s="153" t="s">
        <v>379</v>
      </c>
      <c r="F83" s="153" t="s">
        <v>617</v>
      </c>
      <c r="G83" s="154"/>
      <c r="H83" s="154"/>
      <c r="I83" s="152">
        <v>1733651856</v>
      </c>
      <c r="J83" s="152">
        <v>0</v>
      </c>
      <c r="K83" s="152">
        <v>0</v>
      </c>
      <c r="L83" s="155">
        <f t="shared" si="2"/>
        <v>0.11278718730076118</v>
      </c>
      <c r="M83" s="164"/>
      <c r="N83" s="155">
        <v>0.11278718730076118</v>
      </c>
      <c r="O83" s="153" t="s">
        <v>381</v>
      </c>
      <c r="P83" s="153" t="s">
        <v>533</v>
      </c>
      <c r="Q83" s="153" t="s">
        <v>395</v>
      </c>
      <c r="R83" s="153" t="s">
        <v>157</v>
      </c>
      <c r="S83" s="153" t="s">
        <v>543</v>
      </c>
      <c r="T83" s="153" t="s">
        <v>543</v>
      </c>
      <c r="U83" s="156">
        <v>0</v>
      </c>
      <c r="V83" s="156">
        <v>0</v>
      </c>
      <c r="W83" s="156" t="s">
        <v>398</v>
      </c>
      <c r="X83" s="153" t="s">
        <v>625</v>
      </c>
      <c r="Y83" s="153" t="s">
        <v>626</v>
      </c>
      <c r="Z83" s="153" t="s">
        <v>626</v>
      </c>
    </row>
    <row r="84" spans="1:28" s="153" customFormat="1">
      <c r="A84" s="153">
        <v>79</v>
      </c>
      <c r="B84" s="153" t="s">
        <v>637</v>
      </c>
      <c r="C84" s="153" t="s">
        <v>616</v>
      </c>
      <c r="D84" s="153" t="s">
        <v>378</v>
      </c>
      <c r="E84" s="153" t="s">
        <v>379</v>
      </c>
      <c r="F84" s="153" t="s">
        <v>617</v>
      </c>
      <c r="G84" s="154" t="s">
        <v>612</v>
      </c>
      <c r="H84" s="154" t="s">
        <v>618</v>
      </c>
      <c r="I84" s="167">
        <v>702861000</v>
      </c>
      <c r="J84" s="152">
        <v>0</v>
      </c>
      <c r="K84" s="152">
        <v>0</v>
      </c>
      <c r="L84" s="155">
        <f t="shared" si="2"/>
        <v>4.5726432893110402E-2</v>
      </c>
      <c r="M84" s="164"/>
      <c r="N84" s="155">
        <v>4.5726432893110402E-2</v>
      </c>
      <c r="O84" s="153" t="s">
        <v>381</v>
      </c>
      <c r="P84" s="153" t="s">
        <v>533</v>
      </c>
      <c r="Q84" s="153" t="s">
        <v>395</v>
      </c>
      <c r="R84" s="153" t="s">
        <v>157</v>
      </c>
      <c r="S84" s="153" t="s">
        <v>288</v>
      </c>
      <c r="T84" s="153" t="s">
        <v>613</v>
      </c>
      <c r="U84" s="156">
        <v>0</v>
      </c>
      <c r="V84" s="156">
        <v>0</v>
      </c>
      <c r="W84" s="156" t="s">
        <v>563</v>
      </c>
      <c r="Y84" s="153" t="s">
        <v>391</v>
      </c>
      <c r="Z84" s="153" t="s">
        <v>392</v>
      </c>
    </row>
    <row r="85" spans="1:28" s="153" customFormat="1">
      <c r="A85" s="153">
        <v>80</v>
      </c>
      <c r="B85" s="153" t="s">
        <v>619</v>
      </c>
      <c r="C85" s="153" t="s">
        <v>1700</v>
      </c>
      <c r="D85" s="153" t="s">
        <v>378</v>
      </c>
      <c r="E85" s="153" t="s">
        <v>379</v>
      </c>
      <c r="F85" s="153" t="s">
        <v>617</v>
      </c>
      <c r="G85" s="154" t="s">
        <v>612</v>
      </c>
      <c r="H85" s="154" t="s">
        <v>612</v>
      </c>
      <c r="I85" s="152">
        <v>1285173900</v>
      </c>
      <c r="J85" s="152">
        <v>0</v>
      </c>
      <c r="K85" s="152">
        <v>0</v>
      </c>
      <c r="L85" s="155">
        <f>M85+N85</f>
        <v>8.3610298614273632E-2</v>
      </c>
      <c r="M85" s="164"/>
      <c r="N85" s="155">
        <v>8.3610298614273632E-2</v>
      </c>
      <c r="O85" s="153" t="s">
        <v>381</v>
      </c>
      <c r="P85" s="153" t="s">
        <v>533</v>
      </c>
      <c r="Q85" s="153" t="s">
        <v>395</v>
      </c>
      <c r="R85" s="153" t="s">
        <v>205</v>
      </c>
      <c r="S85" s="153" t="s">
        <v>384</v>
      </c>
      <c r="T85" s="153" t="s">
        <v>1701</v>
      </c>
      <c r="U85" s="156">
        <v>0</v>
      </c>
      <c r="V85" s="156">
        <v>1</v>
      </c>
      <c r="W85" s="156" t="s">
        <v>398</v>
      </c>
      <c r="X85" s="153" t="s">
        <v>628</v>
      </c>
      <c r="Y85" s="153" t="s">
        <v>629</v>
      </c>
      <c r="Z85" s="153" t="s">
        <v>629</v>
      </c>
    </row>
    <row r="86" spans="1:28" s="153" customFormat="1">
      <c r="A86" s="153">
        <v>81</v>
      </c>
      <c r="B86" s="153" t="s">
        <v>623</v>
      </c>
      <c r="C86" s="153" t="s">
        <v>620</v>
      </c>
      <c r="D86" s="153" t="s">
        <v>433</v>
      </c>
      <c r="E86" s="153" t="s">
        <v>379</v>
      </c>
      <c r="F86" s="153" t="s">
        <v>617</v>
      </c>
      <c r="G86" s="154"/>
      <c r="H86" s="154"/>
      <c r="I86" s="152">
        <v>300000000</v>
      </c>
      <c r="J86" s="152">
        <v>0</v>
      </c>
      <c r="K86" s="152">
        <v>0</v>
      </c>
      <c r="L86" s="155">
        <f>M86+N86</f>
        <v>1.951727278641598E-2</v>
      </c>
      <c r="M86" s="164"/>
      <c r="N86" s="155">
        <v>1.951727278641598E-2</v>
      </c>
      <c r="O86" s="153" t="s">
        <v>381</v>
      </c>
      <c r="P86" s="153" t="s">
        <v>533</v>
      </c>
      <c r="Q86" s="153" t="s">
        <v>395</v>
      </c>
      <c r="R86" s="153" t="s">
        <v>157</v>
      </c>
      <c r="S86" s="153" t="s">
        <v>543</v>
      </c>
      <c r="T86" s="153" t="s">
        <v>1702</v>
      </c>
      <c r="U86" s="156">
        <v>0</v>
      </c>
      <c r="V86" s="156">
        <v>0</v>
      </c>
      <c r="W86" s="156" t="s">
        <v>563</v>
      </c>
      <c r="X86" s="153" t="s">
        <v>1702</v>
      </c>
      <c r="Y86" s="153" t="s">
        <v>626</v>
      </c>
      <c r="Z86" s="153" t="s">
        <v>626</v>
      </c>
    </row>
    <row r="87" spans="1:28" s="153" customFormat="1">
      <c r="A87" s="153">
        <v>82</v>
      </c>
      <c r="B87" s="153" t="s">
        <v>615</v>
      </c>
      <c r="C87" s="153" t="s">
        <v>631</v>
      </c>
      <c r="D87" s="153" t="s">
        <v>378</v>
      </c>
      <c r="E87" s="153" t="s">
        <v>379</v>
      </c>
      <c r="F87" s="153" t="s">
        <v>617</v>
      </c>
      <c r="G87" s="154"/>
      <c r="H87" s="154"/>
      <c r="I87" s="165">
        <v>3264236899</v>
      </c>
      <c r="J87" s="152">
        <v>0</v>
      </c>
      <c r="K87" s="152">
        <v>0</v>
      </c>
      <c r="L87" s="155">
        <f>M87+N87</f>
        <v>0.21236333999089196</v>
      </c>
      <c r="M87" s="164"/>
      <c r="N87" s="155">
        <v>0.21236333999089196</v>
      </c>
      <c r="O87" s="153" t="s">
        <v>381</v>
      </c>
      <c r="P87" s="153" t="s">
        <v>533</v>
      </c>
      <c r="Q87" s="153" t="s">
        <v>395</v>
      </c>
      <c r="R87" s="153" t="s">
        <v>428</v>
      </c>
      <c r="S87" s="153" t="s">
        <v>428</v>
      </c>
      <c r="T87" s="153" t="s">
        <v>428</v>
      </c>
      <c r="U87" s="156">
        <v>0</v>
      </c>
      <c r="V87" s="156">
        <v>0</v>
      </c>
      <c r="W87" s="156" t="s">
        <v>398</v>
      </c>
      <c r="X87" s="153" t="s">
        <v>614</v>
      </c>
      <c r="Y87" s="153" t="s">
        <v>574</v>
      </c>
      <c r="Z87" s="153" t="s">
        <v>574</v>
      </c>
    </row>
    <row r="88" spans="1:28" s="153" customFormat="1">
      <c r="A88" s="153">
        <v>83</v>
      </c>
      <c r="B88" s="153" t="s">
        <v>627</v>
      </c>
      <c r="C88" s="153" t="s">
        <v>633</v>
      </c>
      <c r="D88" s="153" t="s">
        <v>378</v>
      </c>
      <c r="E88" s="153" t="s">
        <v>379</v>
      </c>
      <c r="F88" s="153" t="s">
        <v>617</v>
      </c>
      <c r="G88" s="154" t="s">
        <v>618</v>
      </c>
      <c r="H88" s="154" t="s">
        <v>618</v>
      </c>
      <c r="I88" s="165">
        <v>38628370913</v>
      </c>
      <c r="J88" s="152">
        <v>0</v>
      </c>
      <c r="K88" s="152">
        <v>0</v>
      </c>
      <c r="L88" s="155">
        <f t="shared" ref="L88:L91" si="3">M88+N88</f>
        <v>2.5130681746795913</v>
      </c>
      <c r="M88" s="164"/>
      <c r="N88" s="155">
        <v>2.5130681746795913</v>
      </c>
      <c r="O88" s="153" t="s">
        <v>381</v>
      </c>
      <c r="P88" s="153" t="s">
        <v>533</v>
      </c>
      <c r="Q88" s="153" t="s">
        <v>395</v>
      </c>
      <c r="R88" s="153" t="s">
        <v>157</v>
      </c>
      <c r="S88" s="153" t="s">
        <v>543</v>
      </c>
      <c r="T88" s="153" t="s">
        <v>543</v>
      </c>
      <c r="U88" s="156">
        <v>1</v>
      </c>
      <c r="V88" s="156">
        <v>1</v>
      </c>
      <c r="W88" s="156" t="s">
        <v>398</v>
      </c>
      <c r="X88" s="153" t="s">
        <v>634</v>
      </c>
      <c r="Y88" s="153" t="s">
        <v>391</v>
      </c>
      <c r="Z88" s="153" t="s">
        <v>391</v>
      </c>
    </row>
    <row r="89" spans="1:28" s="153" customFormat="1">
      <c r="B89" s="153" t="s">
        <v>630</v>
      </c>
      <c r="C89" s="153" t="s">
        <v>1700</v>
      </c>
      <c r="D89" s="153" t="s">
        <v>378</v>
      </c>
      <c r="E89" s="153" t="s">
        <v>379</v>
      </c>
      <c r="F89" s="153" t="s">
        <v>617</v>
      </c>
      <c r="G89" s="154" t="s">
        <v>612</v>
      </c>
      <c r="H89" s="154" t="s">
        <v>618</v>
      </c>
      <c r="I89" s="165">
        <v>5939543704</v>
      </c>
      <c r="J89" s="152"/>
      <c r="K89" s="152"/>
      <c r="L89" s="155">
        <f>M89+N89</f>
        <v>0.38641231565935852</v>
      </c>
      <c r="M89" s="164"/>
      <c r="N89" s="155">
        <v>0.38641231565935852</v>
      </c>
      <c r="O89" s="153" t="s">
        <v>381</v>
      </c>
      <c r="P89" s="153" t="s">
        <v>533</v>
      </c>
      <c r="Q89" s="153" t="s">
        <v>395</v>
      </c>
      <c r="R89" s="153" t="s">
        <v>205</v>
      </c>
      <c r="S89" s="153" t="s">
        <v>384</v>
      </c>
      <c r="T89" s="153" t="s">
        <v>1701</v>
      </c>
      <c r="U89" s="156">
        <v>0</v>
      </c>
      <c r="V89" s="156">
        <v>0</v>
      </c>
      <c r="W89" s="156" t="s">
        <v>563</v>
      </c>
      <c r="X89" s="168" t="s">
        <v>621</v>
      </c>
      <c r="Y89" s="153" t="s">
        <v>622</v>
      </c>
      <c r="Z89" s="153" t="s">
        <v>622</v>
      </c>
    </row>
    <row r="90" spans="1:28" s="153" customFormat="1">
      <c r="B90" s="153" t="s">
        <v>610</v>
      </c>
      <c r="C90" s="153" t="s">
        <v>635</v>
      </c>
      <c r="D90" s="153" t="s">
        <v>378</v>
      </c>
      <c r="E90" s="153" t="s">
        <v>379</v>
      </c>
      <c r="F90" s="153" t="s">
        <v>617</v>
      </c>
      <c r="G90" s="154"/>
      <c r="H90" s="154"/>
      <c r="I90" s="165">
        <v>23371796931</v>
      </c>
      <c r="J90" s="152"/>
      <c r="K90" s="152"/>
      <c r="L90" s="155">
        <f t="shared" si="3"/>
        <v>1.5205124540368224</v>
      </c>
      <c r="M90" s="164"/>
      <c r="N90" s="155">
        <v>1.5205124540368224</v>
      </c>
      <c r="O90" s="153" t="s">
        <v>381</v>
      </c>
      <c r="P90" s="153" t="s">
        <v>533</v>
      </c>
      <c r="Q90" s="153" t="s">
        <v>395</v>
      </c>
      <c r="R90" s="153" t="s">
        <v>157</v>
      </c>
      <c r="S90" s="153" t="s">
        <v>543</v>
      </c>
      <c r="T90" s="153" t="s">
        <v>543</v>
      </c>
      <c r="U90" s="156">
        <v>0</v>
      </c>
      <c r="V90" s="156">
        <v>1</v>
      </c>
      <c r="W90" s="156" t="s">
        <v>398</v>
      </c>
      <c r="X90" s="169" t="s">
        <v>628</v>
      </c>
      <c r="Y90" s="153" t="s">
        <v>636</v>
      </c>
      <c r="Z90" s="153" t="s">
        <v>636</v>
      </c>
    </row>
    <row r="91" spans="1:28" s="153" customFormat="1">
      <c r="B91" s="153" t="s">
        <v>632</v>
      </c>
      <c r="C91" s="153" t="s">
        <v>631</v>
      </c>
      <c r="D91" s="153" t="s">
        <v>378</v>
      </c>
      <c r="E91" s="153" t="s">
        <v>379</v>
      </c>
      <c r="F91" s="153" t="s">
        <v>617</v>
      </c>
      <c r="G91" s="154"/>
      <c r="H91" s="154"/>
      <c r="I91" s="165">
        <v>281085000</v>
      </c>
      <c r="J91" s="152"/>
      <c r="K91" s="152"/>
      <c r="L91" s="155">
        <f t="shared" si="3"/>
        <v>1.8286708737232451E-2</v>
      </c>
      <c r="M91" s="164"/>
      <c r="N91" s="155">
        <v>1.8286708737232451E-2</v>
      </c>
      <c r="O91" s="153" t="s">
        <v>381</v>
      </c>
      <c r="P91" s="153" t="s">
        <v>533</v>
      </c>
      <c r="Q91" s="153" t="s">
        <v>395</v>
      </c>
      <c r="R91" s="153" t="s">
        <v>205</v>
      </c>
      <c r="S91" s="153" t="s">
        <v>334</v>
      </c>
      <c r="T91" s="153" t="s">
        <v>1703</v>
      </c>
      <c r="U91" s="156">
        <v>0</v>
      </c>
      <c r="V91" s="156">
        <v>0</v>
      </c>
      <c r="W91" s="156" t="s">
        <v>398</v>
      </c>
      <c r="X91" s="153" t="s">
        <v>614</v>
      </c>
      <c r="Y91" s="153" t="s">
        <v>574</v>
      </c>
      <c r="Z91" s="153" t="s">
        <v>574</v>
      </c>
    </row>
    <row r="92" spans="1:28">
      <c r="B92" s="27"/>
      <c r="C92" s="27"/>
      <c r="D92" s="79"/>
      <c r="E92" s="27"/>
      <c r="F92" s="27"/>
      <c r="G92" s="27"/>
      <c r="H92" s="27"/>
      <c r="I92" s="80">
        <f t="shared" ref="I92:N92" si="4">SUM(I6:I91)</f>
        <v>26657349219009</v>
      </c>
      <c r="J92" s="80">
        <f t="shared" si="4"/>
        <v>12147571296199</v>
      </c>
      <c r="K92" s="80">
        <f t="shared" si="4"/>
        <v>14553382853037</v>
      </c>
      <c r="L92" s="172">
        <f t="shared" si="4"/>
        <v>1782.3088043305099</v>
      </c>
      <c r="M92" s="172">
        <f t="shared" si="4"/>
        <v>852.2587420243309</v>
      </c>
      <c r="N92" s="172">
        <f t="shared" si="4"/>
        <v>930.05006230617869</v>
      </c>
      <c r="O92" s="27"/>
      <c r="P92" s="27"/>
      <c r="Q92" s="27"/>
      <c r="R92" s="27"/>
      <c r="S92" s="27"/>
      <c r="T92" s="27"/>
      <c r="U92" s="121"/>
      <c r="V92" s="27"/>
      <c r="W92" s="27"/>
      <c r="X92" s="27"/>
      <c r="Y92" s="27"/>
      <c r="Z92" s="27"/>
      <c r="AA92" s="27"/>
    </row>
    <row r="93" spans="1:28">
      <c r="B93" s="27"/>
      <c r="C93" s="27"/>
      <c r="D93" s="81"/>
      <c r="E93" s="27"/>
      <c r="F93" s="27"/>
      <c r="G93" s="27"/>
      <c r="H93" s="27"/>
      <c r="I93" s="27"/>
      <c r="J93" s="27"/>
      <c r="K93" s="27"/>
      <c r="L93" s="173"/>
      <c r="M93" s="173"/>
      <c r="N93" s="173"/>
      <c r="O93" s="27"/>
      <c r="P93" s="27"/>
      <c r="Q93" s="27"/>
      <c r="R93" s="27"/>
      <c r="S93" s="27"/>
      <c r="T93" s="27"/>
      <c r="U93" s="121"/>
      <c r="V93" s="27"/>
      <c r="W93" s="27"/>
      <c r="X93" s="27"/>
      <c r="Y93" s="27"/>
      <c r="Z93" s="27"/>
      <c r="AA93" s="27"/>
    </row>
    <row r="94" spans="1:28">
      <c r="B94" s="28"/>
      <c r="C94" s="28"/>
      <c r="D94" s="28"/>
      <c r="E94" s="28"/>
      <c r="F94" s="28"/>
      <c r="G94" s="28"/>
      <c r="H94" s="28"/>
      <c r="I94" s="28"/>
      <c r="J94" s="28"/>
      <c r="K94" s="28"/>
      <c r="L94" s="174"/>
      <c r="M94" s="174"/>
      <c r="N94" s="174"/>
      <c r="O94" s="28"/>
      <c r="P94" s="28"/>
      <c r="Q94" s="28"/>
      <c r="R94" s="28"/>
      <c r="S94" s="28"/>
      <c r="T94" s="28"/>
      <c r="U94" s="122"/>
      <c r="V94" s="28"/>
      <c r="W94" s="28"/>
      <c r="X94" s="28"/>
      <c r="Y94" s="28"/>
      <c r="Z94" s="28"/>
      <c r="AA94" s="28"/>
    </row>
    <row r="96" spans="1:28" ht="128.25" customHeight="1">
      <c r="B96" s="183" t="s">
        <v>638</v>
      </c>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row>
  </sheetData>
  <autoFilter ref="A5:AB92" xr:uid="{1725D390-1DBD-4462-8A52-62ACACDA354F}"/>
  <mergeCells count="4">
    <mergeCell ref="B1:Z1"/>
    <mergeCell ref="I4:M4"/>
    <mergeCell ref="B96:Z96"/>
    <mergeCell ref="G4:H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D140-3780-42F2-BFE4-6D7874666659}">
  <sheetPr>
    <tabColor rgb="FF00B050"/>
  </sheetPr>
  <dimension ref="A1:L56"/>
  <sheetViews>
    <sheetView topLeftCell="A47" zoomScale="70" zoomScaleNormal="70" workbookViewId="0">
      <selection activeCell="D47" sqref="D47"/>
    </sheetView>
  </sheetViews>
  <sheetFormatPr baseColWidth="10" defaultColWidth="9.1640625" defaultRowHeight="15"/>
  <cols>
    <col min="1" max="1" width="19.5" style="83" customWidth="1"/>
    <col min="2" max="2" width="11.5" style="83" customWidth="1"/>
    <col min="3" max="3" width="30.5" style="83" customWidth="1"/>
    <col min="4" max="4" width="41.5" style="83" customWidth="1"/>
    <col min="5" max="5" width="15.5" style="83" customWidth="1"/>
    <col min="6" max="6" width="13.83203125" style="83" customWidth="1"/>
    <col min="7" max="7" width="13.5" style="83" customWidth="1"/>
    <col min="8" max="8" width="48.1640625" style="83" customWidth="1"/>
    <col min="9" max="9" width="30.5" style="83" customWidth="1"/>
    <col min="10" max="16384" width="9.1640625" style="83"/>
  </cols>
  <sheetData>
    <row r="1" spans="1:11" ht="22">
      <c r="A1" s="208" t="s">
        <v>639</v>
      </c>
      <c r="B1" s="208"/>
      <c r="C1" s="208"/>
      <c r="D1" s="208"/>
      <c r="E1" s="208"/>
      <c r="F1" s="208"/>
      <c r="G1" s="208"/>
      <c r="H1" s="208"/>
      <c r="I1" s="208"/>
      <c r="J1" s="208"/>
      <c r="K1" s="208"/>
    </row>
    <row r="3" spans="1:11" ht="34">
      <c r="A3" s="84" t="s">
        <v>640</v>
      </c>
      <c r="B3" s="85" t="s">
        <v>641</v>
      </c>
      <c r="C3" s="86" t="s">
        <v>642</v>
      </c>
      <c r="D3" s="87" t="s">
        <v>643</v>
      </c>
      <c r="E3" s="84" t="s">
        <v>644</v>
      </c>
      <c r="F3" s="88" t="s">
        <v>645</v>
      </c>
      <c r="G3" s="88" t="s">
        <v>646</v>
      </c>
      <c r="H3" s="86" t="s">
        <v>647</v>
      </c>
      <c r="I3" s="88" t="s">
        <v>648</v>
      </c>
    </row>
    <row r="4" spans="1:11" ht="130">
      <c r="A4" s="89" t="s">
        <v>649</v>
      </c>
      <c r="B4" s="90"/>
      <c r="C4" s="90"/>
      <c r="D4" s="90"/>
      <c r="E4" s="91" t="s">
        <v>650</v>
      </c>
      <c r="F4" s="90"/>
      <c r="G4" s="90"/>
      <c r="H4" s="90"/>
      <c r="I4" s="90"/>
    </row>
    <row r="5" spans="1:11" ht="48">
      <c r="A5" s="126" t="s">
        <v>288</v>
      </c>
      <c r="B5" s="127"/>
      <c r="C5" s="128" t="s">
        <v>651</v>
      </c>
      <c r="D5" s="128" t="s">
        <v>652</v>
      </c>
      <c r="E5" s="127" t="s">
        <v>157</v>
      </c>
      <c r="F5" s="128" t="s">
        <v>653</v>
      </c>
      <c r="G5" s="127" t="s">
        <v>654</v>
      </c>
      <c r="H5" s="129" t="s">
        <v>655</v>
      </c>
      <c r="I5" s="129" t="s">
        <v>656</v>
      </c>
    </row>
    <row r="6" spans="1:11" ht="144">
      <c r="A6" s="126" t="s">
        <v>288</v>
      </c>
      <c r="B6" s="127"/>
      <c r="C6" s="128" t="s">
        <v>651</v>
      </c>
      <c r="D6" s="128" t="s">
        <v>657</v>
      </c>
      <c r="E6" s="127" t="s">
        <v>157</v>
      </c>
      <c r="F6" s="128" t="s">
        <v>658</v>
      </c>
      <c r="G6" s="127" t="s">
        <v>654</v>
      </c>
      <c r="H6" s="129" t="s">
        <v>659</v>
      </c>
      <c r="I6" s="129" t="s">
        <v>656</v>
      </c>
    </row>
    <row r="7" spans="1:11" ht="48">
      <c r="A7" s="126" t="s">
        <v>288</v>
      </c>
      <c r="B7" s="127"/>
      <c r="C7" s="128" t="s">
        <v>651</v>
      </c>
      <c r="D7" s="128" t="s">
        <v>660</v>
      </c>
      <c r="E7" s="127" t="s">
        <v>157</v>
      </c>
      <c r="F7" s="128" t="s">
        <v>661</v>
      </c>
      <c r="G7" s="127" t="s">
        <v>654</v>
      </c>
      <c r="H7" s="129" t="s">
        <v>662</v>
      </c>
      <c r="I7" s="129" t="s">
        <v>656</v>
      </c>
    </row>
    <row r="8" spans="1:11" ht="144">
      <c r="A8" s="130" t="s">
        <v>288</v>
      </c>
      <c r="B8" s="131"/>
      <c r="C8" s="132" t="s">
        <v>663</v>
      </c>
      <c r="D8" s="133" t="s">
        <v>664</v>
      </c>
      <c r="E8" s="127" t="s">
        <v>157</v>
      </c>
      <c r="F8" s="132" t="s">
        <v>665</v>
      </c>
      <c r="G8" s="131" t="s">
        <v>666</v>
      </c>
      <c r="H8" s="132" t="s">
        <v>667</v>
      </c>
      <c r="I8" s="132" t="s">
        <v>668</v>
      </c>
    </row>
    <row r="9" spans="1:11" ht="48">
      <c r="A9" s="130" t="s">
        <v>288</v>
      </c>
      <c r="B9" s="131"/>
      <c r="C9" s="132" t="s">
        <v>669</v>
      </c>
      <c r="D9" s="134" t="s">
        <v>670</v>
      </c>
      <c r="E9" s="127" t="s">
        <v>157</v>
      </c>
      <c r="F9" s="132" t="s">
        <v>671</v>
      </c>
      <c r="G9" s="131" t="s">
        <v>672</v>
      </c>
      <c r="H9" s="132" t="s">
        <v>673</v>
      </c>
      <c r="I9" s="132" t="s">
        <v>668</v>
      </c>
    </row>
    <row r="10" spans="1:11" ht="32">
      <c r="A10" s="130" t="s">
        <v>288</v>
      </c>
      <c r="B10" s="131"/>
      <c r="C10" s="132" t="s">
        <v>674</v>
      </c>
      <c r="D10" s="132" t="s">
        <v>675</v>
      </c>
      <c r="E10" s="127" t="s">
        <v>157</v>
      </c>
      <c r="F10" s="132" t="s">
        <v>676</v>
      </c>
      <c r="G10" s="131" t="s">
        <v>677</v>
      </c>
      <c r="H10" s="132" t="s">
        <v>673</v>
      </c>
      <c r="I10" s="132" t="s">
        <v>668</v>
      </c>
    </row>
    <row r="11" spans="1:11" ht="96">
      <c r="A11" s="135" t="s">
        <v>61</v>
      </c>
      <c r="B11" s="134"/>
      <c r="C11" s="134" t="s">
        <v>678</v>
      </c>
      <c r="D11" s="134" t="s">
        <v>679</v>
      </c>
      <c r="E11" s="134" t="s">
        <v>157</v>
      </c>
      <c r="F11" s="134" t="s">
        <v>680</v>
      </c>
      <c r="G11" s="134" t="s">
        <v>681</v>
      </c>
      <c r="H11" s="134" t="s">
        <v>682</v>
      </c>
      <c r="I11" s="134" t="s">
        <v>683</v>
      </c>
    </row>
    <row r="12" spans="1:11" ht="64">
      <c r="A12" s="135" t="s">
        <v>61</v>
      </c>
      <c r="B12" s="134"/>
      <c r="C12" s="134" t="s">
        <v>684</v>
      </c>
      <c r="D12" s="134" t="s">
        <v>685</v>
      </c>
      <c r="E12" s="134" t="s">
        <v>157</v>
      </c>
      <c r="F12" s="134" t="s">
        <v>686</v>
      </c>
      <c r="G12" s="134" t="s">
        <v>681</v>
      </c>
      <c r="H12" s="132" t="s">
        <v>673</v>
      </c>
      <c r="I12" s="134" t="s">
        <v>683</v>
      </c>
    </row>
    <row r="13" spans="1:11" ht="272">
      <c r="A13" s="135" t="s">
        <v>61</v>
      </c>
      <c r="B13" s="134"/>
      <c r="C13" s="134" t="s">
        <v>687</v>
      </c>
      <c r="D13" s="134" t="s">
        <v>688</v>
      </c>
      <c r="E13" s="134" t="s">
        <v>157</v>
      </c>
      <c r="F13" s="134" t="s">
        <v>689</v>
      </c>
      <c r="G13" s="134" t="s">
        <v>690</v>
      </c>
      <c r="H13" s="134" t="s">
        <v>691</v>
      </c>
      <c r="I13" s="134" t="s">
        <v>683</v>
      </c>
    </row>
    <row r="14" spans="1:11" ht="64">
      <c r="A14" s="135" t="s">
        <v>61</v>
      </c>
      <c r="B14" s="134"/>
      <c r="C14" s="134" t="s">
        <v>692</v>
      </c>
      <c r="D14" s="134" t="s">
        <v>693</v>
      </c>
      <c r="E14" s="136" t="s">
        <v>694</v>
      </c>
      <c r="F14" s="134" t="s">
        <v>695</v>
      </c>
      <c r="G14" s="134" t="s">
        <v>690</v>
      </c>
      <c r="H14" s="132" t="s">
        <v>696</v>
      </c>
      <c r="I14" s="134" t="s">
        <v>683</v>
      </c>
    </row>
    <row r="15" spans="1:11" ht="48">
      <c r="A15" s="135" t="s">
        <v>61</v>
      </c>
      <c r="B15" s="134"/>
      <c r="C15" s="134" t="s">
        <v>697</v>
      </c>
      <c r="D15" s="134" t="s">
        <v>698</v>
      </c>
      <c r="E15" s="136" t="s">
        <v>694</v>
      </c>
      <c r="F15" s="134" t="s">
        <v>699</v>
      </c>
      <c r="G15" s="134" t="s">
        <v>690</v>
      </c>
      <c r="H15" s="132" t="s">
        <v>696</v>
      </c>
      <c r="I15" s="134" t="s">
        <v>700</v>
      </c>
    </row>
    <row r="16" spans="1:11" ht="64">
      <c r="A16" s="135" t="s">
        <v>61</v>
      </c>
      <c r="B16" s="134"/>
      <c r="C16" s="134" t="s">
        <v>701</v>
      </c>
      <c r="D16" s="134" t="s">
        <v>702</v>
      </c>
      <c r="E16" s="136" t="s">
        <v>694</v>
      </c>
      <c r="F16" s="134" t="s">
        <v>703</v>
      </c>
      <c r="G16" s="134" t="s">
        <v>690</v>
      </c>
      <c r="H16" s="132" t="s">
        <v>696</v>
      </c>
      <c r="I16" s="134" t="s">
        <v>704</v>
      </c>
    </row>
    <row r="17" spans="1:9" ht="64">
      <c r="A17" s="135" t="s">
        <v>61</v>
      </c>
      <c r="B17" s="134"/>
      <c r="C17" s="134" t="s">
        <v>705</v>
      </c>
      <c r="D17" s="134" t="s">
        <v>706</v>
      </c>
      <c r="E17" s="136" t="s">
        <v>694</v>
      </c>
      <c r="F17" s="134" t="s">
        <v>707</v>
      </c>
      <c r="G17" s="134" t="s">
        <v>690</v>
      </c>
      <c r="H17" s="132" t="s">
        <v>696</v>
      </c>
      <c r="I17" s="134" t="s">
        <v>708</v>
      </c>
    </row>
    <row r="18" spans="1:9" ht="112">
      <c r="A18" s="135" t="s">
        <v>61</v>
      </c>
      <c r="B18" s="134"/>
      <c r="C18" s="134" t="s">
        <v>709</v>
      </c>
      <c r="D18" s="134" t="s">
        <v>710</v>
      </c>
      <c r="E18" s="136" t="s">
        <v>694</v>
      </c>
      <c r="F18" s="134" t="s">
        <v>711</v>
      </c>
      <c r="G18" s="134" t="s">
        <v>690</v>
      </c>
      <c r="H18" s="132" t="s">
        <v>696</v>
      </c>
      <c r="I18" s="134" t="s">
        <v>708</v>
      </c>
    </row>
    <row r="19" spans="1:9" ht="64">
      <c r="A19" s="135" t="s">
        <v>61</v>
      </c>
      <c r="B19" s="134"/>
      <c r="C19" s="134" t="s">
        <v>712</v>
      </c>
      <c r="D19" s="134" t="s">
        <v>713</v>
      </c>
      <c r="E19" s="136" t="s">
        <v>694</v>
      </c>
      <c r="F19" s="134" t="s">
        <v>714</v>
      </c>
      <c r="G19" s="134" t="s">
        <v>690</v>
      </c>
      <c r="H19" s="132" t="s">
        <v>696</v>
      </c>
      <c r="I19" s="134" t="s">
        <v>715</v>
      </c>
    </row>
    <row r="20" spans="1:9" ht="224">
      <c r="A20" s="96" t="s">
        <v>716</v>
      </c>
      <c r="B20" s="97" t="s">
        <v>717</v>
      </c>
      <c r="C20" s="97" t="s">
        <v>718</v>
      </c>
      <c r="D20" s="97" t="s">
        <v>719</v>
      </c>
      <c r="E20" s="136" t="s">
        <v>694</v>
      </c>
      <c r="F20" s="97" t="s">
        <v>720</v>
      </c>
      <c r="G20" s="97" t="s">
        <v>654</v>
      </c>
      <c r="H20" s="97" t="s">
        <v>721</v>
      </c>
      <c r="I20" s="93" t="s">
        <v>317</v>
      </c>
    </row>
    <row r="21" spans="1:9" ht="64">
      <c r="A21" s="96" t="s">
        <v>258</v>
      </c>
      <c r="B21" s="97" t="s">
        <v>717</v>
      </c>
      <c r="C21" s="97" t="s">
        <v>722</v>
      </c>
      <c r="D21" s="97" t="s">
        <v>723</v>
      </c>
      <c r="E21" s="136" t="s">
        <v>694</v>
      </c>
      <c r="F21" s="97" t="s">
        <v>720</v>
      </c>
      <c r="G21" s="97" t="s">
        <v>654</v>
      </c>
      <c r="H21" s="97" t="s">
        <v>721</v>
      </c>
      <c r="I21" s="93" t="s">
        <v>317</v>
      </c>
    </row>
    <row r="22" spans="1:9" ht="48">
      <c r="A22" s="96" t="s">
        <v>258</v>
      </c>
      <c r="B22" s="97" t="s">
        <v>717</v>
      </c>
      <c r="C22" s="97" t="s">
        <v>724</v>
      </c>
      <c r="D22" s="97" t="s">
        <v>725</v>
      </c>
      <c r="E22" s="98" t="s">
        <v>726</v>
      </c>
      <c r="F22" s="97" t="s">
        <v>727</v>
      </c>
      <c r="G22" s="97" t="s">
        <v>654</v>
      </c>
      <c r="H22" s="97" t="s">
        <v>728</v>
      </c>
      <c r="I22" s="93" t="s">
        <v>317</v>
      </c>
    </row>
    <row r="23" spans="1:9" ht="48">
      <c r="A23" s="96" t="s">
        <v>258</v>
      </c>
      <c r="B23" s="97" t="s">
        <v>717</v>
      </c>
      <c r="C23" s="97" t="s">
        <v>729</v>
      </c>
      <c r="D23" s="97" t="s">
        <v>730</v>
      </c>
      <c r="E23" s="98" t="s">
        <v>726</v>
      </c>
      <c r="F23" s="97" t="s">
        <v>727</v>
      </c>
      <c r="G23" s="97" t="s">
        <v>654</v>
      </c>
      <c r="H23" s="97" t="s">
        <v>728</v>
      </c>
      <c r="I23" s="93" t="s">
        <v>317</v>
      </c>
    </row>
    <row r="24" spans="1:9" ht="48">
      <c r="A24" s="96" t="s">
        <v>258</v>
      </c>
      <c r="B24" s="97" t="s">
        <v>717</v>
      </c>
      <c r="C24" s="97" t="s">
        <v>731</v>
      </c>
      <c r="D24" s="97" t="s">
        <v>732</v>
      </c>
      <c r="E24" s="136" t="s">
        <v>694</v>
      </c>
      <c r="F24" s="97" t="s">
        <v>727</v>
      </c>
      <c r="G24" s="97" t="s">
        <v>654</v>
      </c>
      <c r="H24" s="98" t="s">
        <v>733</v>
      </c>
      <c r="I24" s="93" t="s">
        <v>317</v>
      </c>
    </row>
    <row r="25" spans="1:9" ht="64">
      <c r="A25" s="96" t="s">
        <v>258</v>
      </c>
      <c r="B25" s="97" t="s">
        <v>734</v>
      </c>
      <c r="C25" s="97" t="s">
        <v>735</v>
      </c>
      <c r="D25" s="97" t="s">
        <v>736</v>
      </c>
      <c r="E25" s="136" t="s">
        <v>694</v>
      </c>
      <c r="F25" s="97" t="s">
        <v>737</v>
      </c>
      <c r="G25" s="97" t="s">
        <v>654</v>
      </c>
      <c r="H25" s="98" t="s">
        <v>738</v>
      </c>
      <c r="I25" s="93" t="s">
        <v>317</v>
      </c>
    </row>
    <row r="26" spans="1:9" ht="48">
      <c r="A26" s="96" t="s">
        <v>258</v>
      </c>
      <c r="B26" s="97" t="s">
        <v>734</v>
      </c>
      <c r="C26" s="97" t="s">
        <v>739</v>
      </c>
      <c r="D26" s="97" t="s">
        <v>740</v>
      </c>
      <c r="E26" s="136" t="s">
        <v>694</v>
      </c>
      <c r="F26" s="97" t="s">
        <v>741</v>
      </c>
      <c r="G26" s="97" t="s">
        <v>654</v>
      </c>
      <c r="H26" s="97" t="s">
        <v>742</v>
      </c>
      <c r="I26" s="93" t="s">
        <v>317</v>
      </c>
    </row>
    <row r="27" spans="1:9" ht="64">
      <c r="A27" s="96" t="s">
        <v>258</v>
      </c>
      <c r="B27" s="97" t="s">
        <v>717</v>
      </c>
      <c r="C27" s="97" t="s">
        <v>743</v>
      </c>
      <c r="D27" s="97" t="s">
        <v>744</v>
      </c>
      <c r="E27" s="136" t="s">
        <v>694</v>
      </c>
      <c r="F27" s="97" t="s">
        <v>741</v>
      </c>
      <c r="G27" s="97" t="s">
        <v>654</v>
      </c>
      <c r="H27" s="98" t="s">
        <v>745</v>
      </c>
      <c r="I27" s="93" t="s">
        <v>317</v>
      </c>
    </row>
    <row r="28" spans="1:9" ht="96">
      <c r="A28" s="96" t="s">
        <v>258</v>
      </c>
      <c r="B28" s="97" t="s">
        <v>717</v>
      </c>
      <c r="C28" s="97" t="s">
        <v>746</v>
      </c>
      <c r="D28" s="97" t="s">
        <v>747</v>
      </c>
      <c r="E28" s="136" t="s">
        <v>694</v>
      </c>
      <c r="F28" s="97" t="s">
        <v>741</v>
      </c>
      <c r="G28" s="97" t="s">
        <v>654</v>
      </c>
      <c r="H28" s="98" t="s">
        <v>748</v>
      </c>
      <c r="I28" s="93" t="s">
        <v>317</v>
      </c>
    </row>
    <row r="29" spans="1:9" ht="48">
      <c r="A29" s="96" t="s">
        <v>258</v>
      </c>
      <c r="B29" s="97" t="s">
        <v>717</v>
      </c>
      <c r="C29" s="97" t="s">
        <v>749</v>
      </c>
      <c r="D29" s="97" t="s">
        <v>750</v>
      </c>
      <c r="E29" s="98" t="s">
        <v>751</v>
      </c>
      <c r="F29" s="97" t="s">
        <v>752</v>
      </c>
      <c r="G29" s="97" t="s">
        <v>654</v>
      </c>
      <c r="H29" s="98" t="s">
        <v>753</v>
      </c>
      <c r="I29" s="93" t="s">
        <v>317</v>
      </c>
    </row>
    <row r="30" spans="1:9" ht="64">
      <c r="A30" s="96" t="s">
        <v>258</v>
      </c>
      <c r="B30" s="97" t="s">
        <v>717</v>
      </c>
      <c r="C30" s="97" t="s">
        <v>754</v>
      </c>
      <c r="D30" s="97" t="s">
        <v>754</v>
      </c>
      <c r="E30" s="98" t="s">
        <v>726</v>
      </c>
      <c r="F30" s="97" t="s">
        <v>755</v>
      </c>
      <c r="G30" s="97" t="s">
        <v>654</v>
      </c>
      <c r="H30" s="98" t="s">
        <v>756</v>
      </c>
      <c r="I30" s="93" t="s">
        <v>317</v>
      </c>
    </row>
    <row r="31" spans="1:9" ht="80">
      <c r="A31" s="96" t="s">
        <v>61</v>
      </c>
      <c r="B31" s="97"/>
      <c r="C31" s="97" t="s">
        <v>757</v>
      </c>
      <c r="D31" s="97" t="s">
        <v>319</v>
      </c>
      <c r="E31" s="98" t="s">
        <v>124</v>
      </c>
      <c r="F31" s="97"/>
      <c r="G31" s="97" t="s">
        <v>654</v>
      </c>
      <c r="H31" s="97" t="s">
        <v>320</v>
      </c>
      <c r="I31" s="93" t="s">
        <v>317</v>
      </c>
    </row>
    <row r="32" spans="1:9" ht="80">
      <c r="A32" s="96" t="s">
        <v>61</v>
      </c>
      <c r="B32" s="97"/>
      <c r="C32" s="97" t="s">
        <v>758</v>
      </c>
      <c r="D32" s="97" t="s">
        <v>325</v>
      </c>
      <c r="E32" s="98" t="s">
        <v>124</v>
      </c>
      <c r="F32" s="97"/>
      <c r="G32" s="97" t="s">
        <v>654</v>
      </c>
      <c r="H32" s="98" t="s">
        <v>326</v>
      </c>
      <c r="I32" s="93" t="s">
        <v>317</v>
      </c>
    </row>
    <row r="33" spans="1:9" ht="80">
      <c r="A33" s="96" t="s">
        <v>327</v>
      </c>
      <c r="B33" s="97"/>
      <c r="C33" s="97" t="s">
        <v>758</v>
      </c>
      <c r="D33" s="97" t="s">
        <v>759</v>
      </c>
      <c r="E33" s="98" t="s">
        <v>124</v>
      </c>
      <c r="F33" s="97"/>
      <c r="G33" s="97" t="s">
        <v>654</v>
      </c>
      <c r="H33" s="98" t="s">
        <v>760</v>
      </c>
      <c r="I33" s="93" t="s">
        <v>317</v>
      </c>
    </row>
    <row r="34" spans="1:9" ht="48">
      <c r="A34" s="96" t="s">
        <v>761</v>
      </c>
      <c r="B34" s="97"/>
      <c r="C34" s="97" t="s">
        <v>762</v>
      </c>
      <c r="D34" s="97" t="s">
        <v>763</v>
      </c>
      <c r="E34" s="98" t="s">
        <v>124</v>
      </c>
      <c r="F34" s="97"/>
      <c r="G34" s="97" t="s">
        <v>654</v>
      </c>
      <c r="H34" s="98" t="s">
        <v>764</v>
      </c>
      <c r="I34" s="93" t="s">
        <v>317</v>
      </c>
    </row>
    <row r="35" spans="1:9" ht="128">
      <c r="A35" s="96" t="s">
        <v>761</v>
      </c>
      <c r="B35" s="97"/>
      <c r="C35" s="97" t="s">
        <v>338</v>
      </c>
      <c r="D35" s="97" t="s">
        <v>339</v>
      </c>
      <c r="E35" s="98" t="s">
        <v>124</v>
      </c>
      <c r="F35" s="97"/>
      <c r="G35" s="97" t="s">
        <v>654</v>
      </c>
      <c r="H35" s="98" t="s">
        <v>340</v>
      </c>
      <c r="I35" s="93" t="s">
        <v>317</v>
      </c>
    </row>
    <row r="36" spans="1:9" ht="80">
      <c r="A36" s="96" t="s">
        <v>136</v>
      </c>
      <c r="B36" s="97"/>
      <c r="C36" s="97" t="s">
        <v>765</v>
      </c>
      <c r="D36" s="97" t="s">
        <v>766</v>
      </c>
      <c r="E36" s="98" t="s">
        <v>124</v>
      </c>
      <c r="F36" s="97"/>
      <c r="G36" s="97" t="s">
        <v>654</v>
      </c>
      <c r="H36" s="98" t="s">
        <v>767</v>
      </c>
      <c r="I36" s="93" t="s">
        <v>317</v>
      </c>
    </row>
    <row r="37" spans="1:9" ht="48">
      <c r="A37" s="96" t="s">
        <v>136</v>
      </c>
      <c r="B37" s="97"/>
      <c r="C37" s="97" t="s">
        <v>768</v>
      </c>
      <c r="D37" s="97" t="s">
        <v>769</v>
      </c>
      <c r="E37" s="98" t="s">
        <v>124</v>
      </c>
      <c r="F37" s="97"/>
      <c r="G37" s="97" t="s">
        <v>654</v>
      </c>
      <c r="H37" s="98" t="s">
        <v>770</v>
      </c>
      <c r="I37" s="93" t="s">
        <v>317</v>
      </c>
    </row>
    <row r="38" spans="1:9" ht="96">
      <c r="A38" s="96" t="s">
        <v>350</v>
      </c>
      <c r="B38" s="97"/>
      <c r="C38" s="97" t="s">
        <v>771</v>
      </c>
      <c r="D38" s="97" t="s">
        <v>772</v>
      </c>
      <c r="E38" s="98" t="s">
        <v>124</v>
      </c>
      <c r="F38" s="97"/>
      <c r="G38" s="97" t="s">
        <v>654</v>
      </c>
      <c r="H38" s="98" t="s">
        <v>773</v>
      </c>
      <c r="I38" s="93" t="s">
        <v>317</v>
      </c>
    </row>
    <row r="39" spans="1:9" ht="80">
      <c r="A39" s="96" t="s">
        <v>350</v>
      </c>
      <c r="B39" s="97"/>
      <c r="C39" s="97" t="s">
        <v>774</v>
      </c>
      <c r="D39" s="97" t="s">
        <v>775</v>
      </c>
      <c r="E39" s="98" t="s">
        <v>124</v>
      </c>
      <c r="F39" s="97"/>
      <c r="G39" s="97" t="s">
        <v>654</v>
      </c>
      <c r="H39" s="98" t="s">
        <v>776</v>
      </c>
      <c r="I39" s="93" t="s">
        <v>317</v>
      </c>
    </row>
    <row r="40" spans="1:9" ht="32">
      <c r="A40" s="96" t="s">
        <v>1524</v>
      </c>
      <c r="B40" s="96"/>
      <c r="C40" s="97" t="s">
        <v>1525</v>
      </c>
      <c r="D40" s="97" t="s">
        <v>1526</v>
      </c>
      <c r="E40" s="97" t="s">
        <v>1527</v>
      </c>
      <c r="F40" s="97" t="s">
        <v>1528</v>
      </c>
      <c r="G40" s="97" t="s">
        <v>1529</v>
      </c>
      <c r="H40" s="97"/>
      <c r="I40" s="93" t="s">
        <v>317</v>
      </c>
    </row>
    <row r="41" spans="1:9" ht="128">
      <c r="A41" s="96" t="s">
        <v>288</v>
      </c>
      <c r="B41" s="96"/>
      <c r="C41" s="97" t="s">
        <v>1530</v>
      </c>
      <c r="D41" s="97" t="s">
        <v>1531</v>
      </c>
      <c r="E41" s="97" t="s">
        <v>1527</v>
      </c>
      <c r="F41" s="97" t="s">
        <v>1532</v>
      </c>
      <c r="G41" s="97" t="s">
        <v>1533</v>
      </c>
      <c r="H41" s="97" t="s">
        <v>1534</v>
      </c>
      <c r="I41" s="93" t="s">
        <v>317</v>
      </c>
    </row>
    <row r="42" spans="1:9" ht="320">
      <c r="A42" s="96" t="s">
        <v>1535</v>
      </c>
      <c r="B42" s="96"/>
      <c r="C42" s="97" t="s">
        <v>1536</v>
      </c>
      <c r="D42" s="97" t="s">
        <v>1537</v>
      </c>
      <c r="E42" s="97"/>
      <c r="F42" s="97"/>
      <c r="G42" s="97" t="s">
        <v>1529</v>
      </c>
      <c r="H42" s="97" t="s">
        <v>1538</v>
      </c>
      <c r="I42" s="93" t="s">
        <v>317</v>
      </c>
    </row>
    <row r="43" spans="1:9" ht="144">
      <c r="A43" s="96" t="s">
        <v>1524</v>
      </c>
      <c r="B43" s="96"/>
      <c r="C43" s="97" t="s">
        <v>1539</v>
      </c>
      <c r="D43" s="97" t="s">
        <v>1540</v>
      </c>
      <c r="E43" s="97" t="s">
        <v>1527</v>
      </c>
      <c r="F43" s="97" t="s">
        <v>1541</v>
      </c>
      <c r="G43" s="97" t="s">
        <v>1542</v>
      </c>
      <c r="H43" s="97"/>
      <c r="I43" s="93" t="s">
        <v>317</v>
      </c>
    </row>
    <row r="44" spans="1:9" ht="144">
      <c r="A44" s="96" t="s">
        <v>1543</v>
      </c>
      <c r="B44" s="96"/>
      <c r="C44" s="97" t="s">
        <v>1544</v>
      </c>
      <c r="D44" s="97" t="s">
        <v>1545</v>
      </c>
      <c r="E44" s="97" t="s">
        <v>1527</v>
      </c>
      <c r="F44" s="97" t="s">
        <v>1528</v>
      </c>
      <c r="G44" s="97" t="s">
        <v>1529</v>
      </c>
      <c r="H44" s="97" t="s">
        <v>1546</v>
      </c>
      <c r="I44" s="93" t="s">
        <v>317</v>
      </c>
    </row>
    <row r="45" spans="1:9" ht="192">
      <c r="A45" s="96" t="s">
        <v>288</v>
      </c>
      <c r="B45" s="96"/>
      <c r="C45" s="97" t="s">
        <v>1547</v>
      </c>
      <c r="D45" s="97" t="s">
        <v>1548</v>
      </c>
      <c r="E45" s="97"/>
      <c r="F45" s="97" t="s">
        <v>1549</v>
      </c>
      <c r="G45" s="97"/>
      <c r="H45" s="97" t="s">
        <v>1550</v>
      </c>
      <c r="I45" s="93" t="s">
        <v>317</v>
      </c>
    </row>
    <row r="46" spans="1:9" ht="32">
      <c r="A46" s="96" t="s">
        <v>288</v>
      </c>
      <c r="B46" s="96"/>
      <c r="C46" s="97" t="s">
        <v>1551</v>
      </c>
      <c r="D46" s="97" t="s">
        <v>1552</v>
      </c>
      <c r="E46" s="97"/>
      <c r="F46" s="97"/>
      <c r="G46" s="97"/>
      <c r="H46" s="97"/>
      <c r="I46" s="93" t="s">
        <v>317</v>
      </c>
    </row>
    <row r="47" spans="1:9" ht="304">
      <c r="A47" s="96" t="s">
        <v>1543</v>
      </c>
      <c r="B47" s="96"/>
      <c r="C47" s="97" t="s">
        <v>1553</v>
      </c>
      <c r="D47" s="97" t="s">
        <v>1554</v>
      </c>
      <c r="E47" s="97" t="s">
        <v>1527</v>
      </c>
      <c r="F47" s="97" t="s">
        <v>1555</v>
      </c>
      <c r="G47" s="97" t="s">
        <v>1529</v>
      </c>
      <c r="H47" s="97" t="s">
        <v>1556</v>
      </c>
      <c r="I47" s="93" t="s">
        <v>317</v>
      </c>
    </row>
    <row r="48" spans="1:9">
      <c r="A48" s="96"/>
      <c r="B48" s="96"/>
      <c r="C48" s="97"/>
      <c r="D48" s="97"/>
      <c r="E48" s="97"/>
      <c r="F48" s="97"/>
      <c r="G48" s="97"/>
      <c r="H48" s="97"/>
      <c r="I48" s="96"/>
    </row>
    <row r="49" spans="1:12" ht="335">
      <c r="A49" s="96" t="s">
        <v>1524</v>
      </c>
      <c r="B49" s="96"/>
      <c r="C49" s="97" t="s">
        <v>1557</v>
      </c>
      <c r="D49" s="97" t="s">
        <v>1558</v>
      </c>
      <c r="E49" s="97" t="s">
        <v>1559</v>
      </c>
      <c r="F49" s="97" t="s">
        <v>1560</v>
      </c>
      <c r="G49" s="97" t="s">
        <v>1529</v>
      </c>
      <c r="H49" s="97" t="s">
        <v>1603</v>
      </c>
      <c r="I49" s="97" t="s">
        <v>1561</v>
      </c>
    </row>
    <row r="50" spans="1:12" ht="112">
      <c r="A50" s="96" t="s">
        <v>288</v>
      </c>
      <c r="B50" s="96"/>
      <c r="C50" s="97" t="s">
        <v>1562</v>
      </c>
      <c r="D50" s="97" t="s">
        <v>1602</v>
      </c>
      <c r="E50" s="97"/>
      <c r="F50" s="97" t="s">
        <v>1564</v>
      </c>
      <c r="G50" s="97"/>
      <c r="H50" s="97" t="s">
        <v>1565</v>
      </c>
      <c r="I50" s="93" t="s">
        <v>317</v>
      </c>
    </row>
    <row r="51" spans="1:12" ht="144">
      <c r="A51" s="96" t="s">
        <v>288</v>
      </c>
      <c r="B51" s="96"/>
      <c r="C51" s="97" t="s">
        <v>1566</v>
      </c>
      <c r="D51" s="97" t="s">
        <v>1567</v>
      </c>
      <c r="E51" s="97"/>
      <c r="F51" s="97" t="s">
        <v>1532</v>
      </c>
      <c r="G51" s="97"/>
      <c r="H51" s="97"/>
      <c r="I51" s="93" t="s">
        <v>317</v>
      </c>
    </row>
    <row r="52" spans="1:12" ht="32">
      <c r="A52" s="96"/>
      <c r="B52" s="96"/>
      <c r="C52" s="97"/>
      <c r="D52" s="97"/>
      <c r="E52" s="97"/>
      <c r="F52" s="97" t="s">
        <v>1568</v>
      </c>
      <c r="G52" s="97"/>
      <c r="H52" s="97"/>
      <c r="I52" s="93" t="s">
        <v>317</v>
      </c>
    </row>
    <row r="53" spans="1:12" ht="32">
      <c r="A53" s="96" t="s">
        <v>1535</v>
      </c>
      <c r="B53" s="96"/>
      <c r="C53" s="97" t="s">
        <v>1568</v>
      </c>
      <c r="D53" s="97" t="s">
        <v>1569</v>
      </c>
      <c r="E53" s="97"/>
      <c r="F53" s="97"/>
      <c r="G53" s="97"/>
      <c r="H53" s="97"/>
      <c r="I53" s="93" t="s">
        <v>317</v>
      </c>
    </row>
    <row r="54" spans="1:12">
      <c r="A54" s="99"/>
      <c r="B54" s="100"/>
      <c r="C54" s="101"/>
      <c r="D54" s="101"/>
      <c r="E54" s="100"/>
      <c r="F54" s="102"/>
      <c r="G54" s="100"/>
      <c r="H54" s="103"/>
      <c r="I54" s="104"/>
      <c r="J54" s="105"/>
    </row>
    <row r="55" spans="1:12">
      <c r="A55" s="105"/>
      <c r="B55" s="105"/>
      <c r="C55" s="105"/>
      <c r="D55" s="105"/>
      <c r="E55" s="105"/>
      <c r="F55" s="105"/>
      <c r="G55" s="105"/>
      <c r="H55" s="105"/>
      <c r="I55" s="105"/>
      <c r="J55" s="105"/>
    </row>
    <row r="56" spans="1:12">
      <c r="A56" s="209" t="s">
        <v>777</v>
      </c>
      <c r="B56" s="209"/>
      <c r="C56" s="209"/>
      <c r="D56" s="209"/>
      <c r="E56" s="209"/>
      <c r="F56" s="209"/>
      <c r="G56" s="209"/>
      <c r="H56" s="209"/>
      <c r="I56" s="209"/>
      <c r="J56" s="209"/>
      <c r="K56" s="209"/>
      <c r="L56" s="209"/>
    </row>
  </sheetData>
  <mergeCells count="2">
    <mergeCell ref="A1:K1"/>
    <mergeCell ref="A56:L56"/>
  </mergeCells>
  <phoneticPr fontId="4" type="noConversion"/>
  <pageMargins left="0.69930555555555596" right="0.69930555555555596"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BB65-0624-446F-9F18-57CCE6CB675A}">
  <sheetPr>
    <tabColor rgb="FF00B050"/>
  </sheetPr>
  <dimension ref="A1:O18"/>
  <sheetViews>
    <sheetView topLeftCell="A6" zoomScale="75" zoomScaleNormal="70" workbookViewId="0">
      <selection activeCell="H15" sqref="H15"/>
    </sheetView>
  </sheetViews>
  <sheetFormatPr baseColWidth="10" defaultColWidth="9.1640625" defaultRowHeight="15"/>
  <cols>
    <col min="1" max="1" width="23.5" style="83" customWidth="1"/>
    <col min="2" max="2" width="41.5" style="83" customWidth="1"/>
    <col min="3" max="3" width="17.5" style="83" customWidth="1"/>
    <col min="4" max="4" width="9.1640625" style="83"/>
    <col min="5" max="5" width="12.83203125" style="83" customWidth="1"/>
    <col min="6" max="6" width="16.5" style="83" customWidth="1"/>
    <col min="7" max="7" width="12.5" style="83" customWidth="1"/>
    <col min="8" max="8" width="19.5" style="83" customWidth="1"/>
    <col min="9" max="9" width="16.5" style="83" customWidth="1"/>
    <col min="10" max="10" width="14.5" style="83" customWidth="1"/>
    <col min="11" max="11" width="62" style="83" customWidth="1"/>
    <col min="12" max="12" width="20.5" style="83" customWidth="1"/>
    <col min="13" max="16384" width="9.1640625" style="83"/>
  </cols>
  <sheetData>
    <row r="1" spans="1:15" ht="22">
      <c r="A1" s="210" t="s">
        <v>778</v>
      </c>
      <c r="B1" s="210"/>
      <c r="C1" s="210"/>
      <c r="D1" s="210"/>
      <c r="E1" s="210"/>
      <c r="F1" s="210"/>
      <c r="G1" s="210"/>
      <c r="H1" s="210"/>
      <c r="I1" s="210"/>
      <c r="J1" s="210"/>
      <c r="K1" s="210"/>
      <c r="L1" s="210"/>
      <c r="M1" s="210"/>
      <c r="N1" s="210"/>
      <c r="O1" s="210"/>
    </row>
    <row r="3" spans="1:15" ht="34">
      <c r="A3" s="84" t="s">
        <v>642</v>
      </c>
      <c r="B3" s="106" t="s">
        <v>643</v>
      </c>
      <c r="C3" s="106" t="s">
        <v>645</v>
      </c>
      <c r="D3" s="106" t="s">
        <v>779</v>
      </c>
      <c r="E3" s="106" t="s">
        <v>780</v>
      </c>
      <c r="F3" s="106" t="s">
        <v>781</v>
      </c>
      <c r="G3" s="106" t="s">
        <v>644</v>
      </c>
      <c r="H3" s="84" t="s">
        <v>640</v>
      </c>
      <c r="I3" s="84" t="s">
        <v>641</v>
      </c>
      <c r="J3" s="106" t="s">
        <v>782</v>
      </c>
      <c r="K3" s="106" t="s">
        <v>783</v>
      </c>
      <c r="L3" s="106" t="s">
        <v>648</v>
      </c>
    </row>
    <row r="4" spans="1:15" ht="130">
      <c r="A4" s="90"/>
      <c r="B4" s="90"/>
      <c r="C4" s="90"/>
      <c r="D4" s="90"/>
      <c r="E4" s="90"/>
      <c r="F4" s="90"/>
      <c r="G4" s="91" t="s">
        <v>650</v>
      </c>
      <c r="H4" s="89" t="s">
        <v>649</v>
      </c>
      <c r="I4" s="90"/>
      <c r="J4" s="91" t="s">
        <v>201</v>
      </c>
      <c r="K4" s="90"/>
      <c r="L4" s="90"/>
    </row>
    <row r="5" spans="1:15" ht="75">
      <c r="A5" s="93" t="s">
        <v>784</v>
      </c>
      <c r="B5" s="93" t="s">
        <v>785</v>
      </c>
      <c r="C5" s="107" t="s">
        <v>786</v>
      </c>
      <c r="D5" s="92" t="s">
        <v>787</v>
      </c>
      <c r="E5" s="93" t="s">
        <v>379</v>
      </c>
      <c r="F5" s="93" t="s">
        <v>788</v>
      </c>
      <c r="G5" s="93" t="s">
        <v>157</v>
      </c>
      <c r="H5" s="108" t="s">
        <v>288</v>
      </c>
      <c r="I5" s="92" t="s">
        <v>613</v>
      </c>
      <c r="J5" s="107" t="s">
        <v>206</v>
      </c>
      <c r="K5" s="93" t="s">
        <v>789</v>
      </c>
      <c r="L5" s="93" t="s">
        <v>790</v>
      </c>
    </row>
    <row r="6" spans="1:15" ht="105">
      <c r="A6" s="93" t="s">
        <v>791</v>
      </c>
      <c r="B6" s="93" t="s">
        <v>792</v>
      </c>
      <c r="C6" s="107" t="s">
        <v>793</v>
      </c>
      <c r="D6" s="92" t="s">
        <v>794</v>
      </c>
      <c r="E6" s="93" t="s">
        <v>379</v>
      </c>
      <c r="F6" s="93" t="s">
        <v>795</v>
      </c>
      <c r="G6" s="93" t="s">
        <v>157</v>
      </c>
      <c r="H6" s="108" t="s">
        <v>288</v>
      </c>
      <c r="I6" s="92" t="s">
        <v>613</v>
      </c>
      <c r="J6" s="107" t="s">
        <v>206</v>
      </c>
      <c r="K6" s="93" t="s">
        <v>796</v>
      </c>
      <c r="L6" s="93" t="s">
        <v>790</v>
      </c>
    </row>
    <row r="7" spans="1:15" ht="60">
      <c r="A7" s="93" t="s">
        <v>797</v>
      </c>
      <c r="B7" s="93" t="s">
        <v>798</v>
      </c>
      <c r="C7" s="107" t="s">
        <v>799</v>
      </c>
      <c r="D7" s="92" t="s">
        <v>800</v>
      </c>
      <c r="E7" s="93" t="s">
        <v>379</v>
      </c>
      <c r="F7" s="93" t="s">
        <v>801</v>
      </c>
      <c r="G7" s="93" t="s">
        <v>157</v>
      </c>
      <c r="H7" s="108" t="s">
        <v>288</v>
      </c>
      <c r="I7" s="92" t="s">
        <v>613</v>
      </c>
      <c r="J7" s="107" t="s">
        <v>802</v>
      </c>
      <c r="K7" s="93" t="s">
        <v>803</v>
      </c>
      <c r="L7" s="93" t="s">
        <v>790</v>
      </c>
    </row>
    <row r="8" spans="1:15" ht="75">
      <c r="A8" s="107" t="s">
        <v>804</v>
      </c>
      <c r="B8" s="93" t="s">
        <v>805</v>
      </c>
      <c r="C8" s="93" t="s">
        <v>806</v>
      </c>
      <c r="D8" s="92">
        <v>2022</v>
      </c>
      <c r="E8" s="93" t="s">
        <v>379</v>
      </c>
      <c r="F8" s="107" t="s">
        <v>807</v>
      </c>
      <c r="G8" s="93" t="s">
        <v>157</v>
      </c>
      <c r="H8" s="108" t="s">
        <v>288</v>
      </c>
      <c r="I8" s="92" t="s">
        <v>613</v>
      </c>
      <c r="J8" s="107" t="s">
        <v>206</v>
      </c>
      <c r="K8" s="93" t="s">
        <v>808</v>
      </c>
      <c r="L8" s="93" t="s">
        <v>790</v>
      </c>
    </row>
    <row r="9" spans="1:15" ht="120">
      <c r="A9" s="93" t="s">
        <v>809</v>
      </c>
      <c r="B9" s="93" t="s">
        <v>810</v>
      </c>
      <c r="C9" s="93" t="s">
        <v>811</v>
      </c>
      <c r="D9" s="92" t="s">
        <v>812</v>
      </c>
      <c r="E9" s="93" t="s">
        <v>379</v>
      </c>
      <c r="F9" s="107" t="s">
        <v>813</v>
      </c>
      <c r="G9" s="93" t="s">
        <v>157</v>
      </c>
      <c r="H9" s="108" t="s">
        <v>288</v>
      </c>
      <c r="I9" s="92" t="s">
        <v>613</v>
      </c>
      <c r="J9" s="107" t="s">
        <v>802</v>
      </c>
      <c r="K9" s="93" t="s">
        <v>814</v>
      </c>
      <c r="L9" s="93" t="s">
        <v>790</v>
      </c>
    </row>
    <row r="10" spans="1:15" ht="45">
      <c r="A10" s="93" t="s">
        <v>815</v>
      </c>
      <c r="B10" s="93" t="s">
        <v>816</v>
      </c>
      <c r="C10" s="93" t="s">
        <v>817</v>
      </c>
      <c r="D10" s="92">
        <v>2022</v>
      </c>
      <c r="E10" s="93" t="s">
        <v>379</v>
      </c>
      <c r="F10" s="107" t="s">
        <v>818</v>
      </c>
      <c r="G10" s="93" t="s">
        <v>157</v>
      </c>
      <c r="H10" s="108" t="s">
        <v>288</v>
      </c>
      <c r="I10" s="92" t="s">
        <v>613</v>
      </c>
      <c r="J10" s="107" t="s">
        <v>206</v>
      </c>
      <c r="K10" s="94" t="s">
        <v>673</v>
      </c>
      <c r="L10" s="93" t="s">
        <v>790</v>
      </c>
    </row>
    <row r="11" spans="1:15" ht="60">
      <c r="A11" s="93" t="s">
        <v>819</v>
      </c>
      <c r="B11" s="93" t="s">
        <v>820</v>
      </c>
      <c r="C11" s="93" t="s">
        <v>786</v>
      </c>
      <c r="D11" s="92" t="s">
        <v>812</v>
      </c>
      <c r="E11" s="93" t="s">
        <v>379</v>
      </c>
      <c r="F11" s="93" t="s">
        <v>821</v>
      </c>
      <c r="G11" s="93" t="s">
        <v>157</v>
      </c>
      <c r="H11" s="108" t="s">
        <v>288</v>
      </c>
      <c r="I11" s="92" t="s">
        <v>613</v>
      </c>
      <c r="J11" s="107" t="s">
        <v>802</v>
      </c>
      <c r="K11" s="93" t="s">
        <v>822</v>
      </c>
      <c r="L11" s="93" t="s">
        <v>790</v>
      </c>
    </row>
    <row r="12" spans="1:15" ht="75">
      <c r="A12" s="93" t="s">
        <v>823</v>
      </c>
      <c r="B12" s="93" t="s">
        <v>824</v>
      </c>
      <c r="C12" s="93" t="s">
        <v>825</v>
      </c>
      <c r="D12" s="92" t="s">
        <v>800</v>
      </c>
      <c r="E12" s="93" t="s">
        <v>379</v>
      </c>
      <c r="F12" s="93" t="s">
        <v>826</v>
      </c>
      <c r="G12" s="93" t="s">
        <v>157</v>
      </c>
      <c r="H12" s="108" t="s">
        <v>543</v>
      </c>
      <c r="I12" s="93" t="s">
        <v>827</v>
      </c>
      <c r="J12" s="107" t="s">
        <v>802</v>
      </c>
      <c r="K12" s="93" t="s">
        <v>828</v>
      </c>
      <c r="L12" s="93" t="s">
        <v>829</v>
      </c>
    </row>
    <row r="13" spans="1:15" ht="90">
      <c r="A13" s="93" t="s">
        <v>830</v>
      </c>
      <c r="B13" s="93" t="s">
        <v>831</v>
      </c>
      <c r="C13" s="93" t="s">
        <v>832</v>
      </c>
      <c r="D13" s="92" t="s">
        <v>800</v>
      </c>
      <c r="E13" s="93" t="s">
        <v>379</v>
      </c>
      <c r="F13" s="93" t="s">
        <v>833</v>
      </c>
      <c r="G13" s="93" t="s">
        <v>157</v>
      </c>
      <c r="H13" s="108" t="s">
        <v>543</v>
      </c>
      <c r="I13" s="93" t="s">
        <v>834</v>
      </c>
      <c r="J13" s="107" t="s">
        <v>802</v>
      </c>
      <c r="K13" s="93" t="s">
        <v>828</v>
      </c>
      <c r="L13" s="93" t="s">
        <v>829</v>
      </c>
    </row>
    <row r="14" spans="1:15" ht="75">
      <c r="A14" s="93" t="s">
        <v>835</v>
      </c>
      <c r="B14" s="93" t="s">
        <v>836</v>
      </c>
      <c r="C14" s="93" t="s">
        <v>837</v>
      </c>
      <c r="D14" s="92" t="s">
        <v>838</v>
      </c>
      <c r="E14" s="93" t="s">
        <v>379</v>
      </c>
      <c r="F14" s="93" t="s">
        <v>839</v>
      </c>
      <c r="G14" s="93" t="s">
        <v>157</v>
      </c>
      <c r="H14" s="108" t="s">
        <v>543</v>
      </c>
      <c r="I14" s="93" t="s">
        <v>827</v>
      </c>
      <c r="J14" s="107" t="s">
        <v>802</v>
      </c>
      <c r="K14" s="94" t="s">
        <v>673</v>
      </c>
      <c r="L14" s="93" t="s">
        <v>829</v>
      </c>
    </row>
    <row r="15" spans="1:15" ht="60">
      <c r="A15" s="94" t="s">
        <v>840</v>
      </c>
      <c r="B15" s="94" t="s">
        <v>841</v>
      </c>
      <c r="C15" s="94" t="s">
        <v>842</v>
      </c>
      <c r="D15" s="109" t="s">
        <v>843</v>
      </c>
      <c r="E15" s="93" t="s">
        <v>379</v>
      </c>
      <c r="F15" s="94" t="s">
        <v>844</v>
      </c>
      <c r="G15" s="94" t="s">
        <v>157</v>
      </c>
      <c r="H15" s="109" t="s">
        <v>288</v>
      </c>
      <c r="I15" s="94" t="s">
        <v>613</v>
      </c>
      <c r="J15" s="94" t="s">
        <v>206</v>
      </c>
      <c r="K15" s="94" t="s">
        <v>673</v>
      </c>
      <c r="L15" s="94" t="s">
        <v>845</v>
      </c>
    </row>
    <row r="16" spans="1:15">
      <c r="A16" s="110"/>
      <c r="B16" s="110"/>
      <c r="C16" s="110"/>
      <c r="D16" s="110"/>
      <c r="E16" s="110"/>
      <c r="F16" s="110"/>
      <c r="G16" s="110"/>
      <c r="H16" s="110"/>
      <c r="I16" s="110"/>
      <c r="J16" s="110"/>
      <c r="K16" s="110"/>
      <c r="L16" s="110"/>
    </row>
    <row r="18" spans="1:15">
      <c r="A18" s="209" t="s">
        <v>846</v>
      </c>
      <c r="B18" s="211"/>
      <c r="C18" s="211"/>
      <c r="D18" s="211"/>
      <c r="E18" s="211"/>
      <c r="F18" s="211"/>
      <c r="G18" s="211"/>
      <c r="H18" s="211"/>
      <c r="I18" s="211"/>
      <c r="J18" s="211"/>
      <c r="K18" s="211"/>
      <c r="L18" s="211"/>
      <c r="M18" s="211"/>
      <c r="N18" s="211"/>
      <c r="O18" s="211"/>
    </row>
  </sheetData>
  <mergeCells count="2">
    <mergeCell ref="A1:O1"/>
    <mergeCell ref="A18:O18"/>
  </mergeCells>
  <pageMargins left="0.69930555555555596" right="0.69930555555555596"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09A45-8435-4F45-94A1-07C60284BC1D}">
  <sheetPr>
    <tabColor rgb="FF00B050"/>
  </sheetPr>
  <dimension ref="A1:K89"/>
  <sheetViews>
    <sheetView zoomScale="85" zoomScaleNormal="85" workbookViewId="0">
      <selection activeCell="D7" sqref="D7"/>
    </sheetView>
  </sheetViews>
  <sheetFormatPr baseColWidth="10" defaultColWidth="9.1640625" defaultRowHeight="15"/>
  <cols>
    <col min="1" max="1" width="15.5" style="83" customWidth="1"/>
    <col min="2" max="2" width="14.1640625" style="83" customWidth="1"/>
    <col min="3" max="3" width="36" style="83" customWidth="1"/>
    <col min="4" max="4" width="57.5" style="83" customWidth="1"/>
    <col min="5" max="5" width="13.5" style="83" customWidth="1"/>
    <col min="6" max="6" width="16.5" style="83" customWidth="1"/>
    <col min="7" max="7" width="42" style="83" customWidth="1"/>
    <col min="8" max="8" width="27.83203125" style="83" customWidth="1"/>
    <col min="9" max="16384" width="9.1640625" style="83"/>
  </cols>
  <sheetData>
    <row r="1" spans="1:9" ht="22">
      <c r="A1" s="208" t="s">
        <v>847</v>
      </c>
      <c r="B1" s="208"/>
      <c r="C1" s="208"/>
      <c r="D1" s="208"/>
      <c r="E1" s="208"/>
      <c r="F1" s="208"/>
      <c r="G1" s="208"/>
      <c r="H1" s="208"/>
      <c r="I1" s="208"/>
    </row>
    <row r="3" spans="1:9" ht="17">
      <c r="A3" s="145" t="s">
        <v>1640</v>
      </c>
      <c r="B3" s="145" t="s">
        <v>1641</v>
      </c>
      <c r="C3" s="146" t="s">
        <v>1642</v>
      </c>
      <c r="D3" s="146" t="s">
        <v>1643</v>
      </c>
      <c r="E3" s="145" t="s">
        <v>1644</v>
      </c>
      <c r="F3" s="145" t="s">
        <v>1645</v>
      </c>
      <c r="G3" s="146" t="s">
        <v>1646</v>
      </c>
      <c r="H3" s="145" t="s">
        <v>1647</v>
      </c>
    </row>
    <row r="4" spans="1:9" ht="122">
      <c r="A4" s="147" t="s">
        <v>1648</v>
      </c>
      <c r="B4" s="148"/>
      <c r="C4" s="148"/>
      <c r="D4" s="148"/>
      <c r="E4" s="149" t="s">
        <v>1649</v>
      </c>
      <c r="F4" s="148"/>
      <c r="G4" s="148"/>
      <c r="H4" s="148"/>
    </row>
    <row r="5" spans="1:9" ht="75">
      <c r="A5" s="93" t="s">
        <v>288</v>
      </c>
      <c r="B5" s="93" t="s">
        <v>848</v>
      </c>
      <c r="C5" s="93" t="s">
        <v>849</v>
      </c>
      <c r="D5" s="93" t="s">
        <v>850</v>
      </c>
      <c r="E5" s="93" t="s">
        <v>157</v>
      </c>
      <c r="F5" s="93" t="s">
        <v>654</v>
      </c>
      <c r="G5" s="93" t="s">
        <v>851</v>
      </c>
      <c r="H5" s="93" t="s">
        <v>852</v>
      </c>
    </row>
    <row r="6" spans="1:9" ht="45">
      <c r="A6" s="93" t="s">
        <v>288</v>
      </c>
      <c r="B6" s="93" t="s">
        <v>853</v>
      </c>
      <c r="C6" s="93" t="s">
        <v>854</v>
      </c>
      <c r="D6" s="93" t="s">
        <v>855</v>
      </c>
      <c r="E6" s="93" t="s">
        <v>157</v>
      </c>
      <c r="F6" s="93" t="s">
        <v>654</v>
      </c>
      <c r="G6" s="93" t="s">
        <v>856</v>
      </c>
      <c r="H6" s="93" t="s">
        <v>790</v>
      </c>
    </row>
    <row r="7" spans="1:9" ht="45">
      <c r="A7" s="93" t="s">
        <v>288</v>
      </c>
      <c r="B7" s="93" t="s">
        <v>848</v>
      </c>
      <c r="C7" s="93" t="s">
        <v>857</v>
      </c>
      <c r="D7" s="93" t="s">
        <v>858</v>
      </c>
      <c r="E7" s="93" t="s">
        <v>157</v>
      </c>
      <c r="F7" s="93" t="s">
        <v>654</v>
      </c>
      <c r="G7" s="93" t="s">
        <v>859</v>
      </c>
      <c r="H7" s="93" t="s">
        <v>860</v>
      </c>
    </row>
    <row r="8" spans="1:9" ht="60">
      <c r="A8" s="93" t="s">
        <v>288</v>
      </c>
      <c r="B8" s="93"/>
      <c r="C8" s="93" t="s">
        <v>861</v>
      </c>
      <c r="D8" s="93" t="s">
        <v>862</v>
      </c>
      <c r="E8" s="93" t="s">
        <v>157</v>
      </c>
      <c r="F8" s="93" t="s">
        <v>863</v>
      </c>
      <c r="G8" s="93" t="s">
        <v>864</v>
      </c>
      <c r="H8" s="93" t="s">
        <v>865</v>
      </c>
    </row>
    <row r="9" spans="1:9" ht="45">
      <c r="A9" s="93" t="s">
        <v>288</v>
      </c>
      <c r="B9" s="93"/>
      <c r="C9" s="93" t="s">
        <v>866</v>
      </c>
      <c r="D9" s="93" t="s">
        <v>867</v>
      </c>
      <c r="E9" s="93" t="s">
        <v>157</v>
      </c>
      <c r="F9" s="93" t="s">
        <v>654</v>
      </c>
      <c r="G9" s="93" t="s">
        <v>868</v>
      </c>
      <c r="H9" s="93" t="s">
        <v>869</v>
      </c>
    </row>
    <row r="10" spans="1:9" ht="75">
      <c r="A10" s="93" t="s">
        <v>288</v>
      </c>
      <c r="B10" s="93" t="s">
        <v>848</v>
      </c>
      <c r="C10" s="93" t="s">
        <v>870</v>
      </c>
      <c r="D10" s="93" t="s">
        <v>871</v>
      </c>
      <c r="E10" s="93" t="s">
        <v>157</v>
      </c>
      <c r="F10" s="93" t="s">
        <v>863</v>
      </c>
      <c r="G10" s="93" t="s">
        <v>872</v>
      </c>
      <c r="H10" s="93" t="s">
        <v>860</v>
      </c>
    </row>
    <row r="11" spans="1:9" ht="45">
      <c r="A11" s="93" t="s">
        <v>61</v>
      </c>
      <c r="B11" s="93"/>
      <c r="C11" s="93" t="s">
        <v>873</v>
      </c>
      <c r="D11" s="93" t="s">
        <v>874</v>
      </c>
      <c r="E11" s="93" t="s">
        <v>157</v>
      </c>
      <c r="F11" s="93" t="s">
        <v>654</v>
      </c>
      <c r="G11" s="93" t="s">
        <v>875</v>
      </c>
      <c r="H11" s="93" t="s">
        <v>683</v>
      </c>
    </row>
    <row r="12" spans="1:9" ht="45">
      <c r="A12" s="93" t="s">
        <v>61</v>
      </c>
      <c r="B12" s="93"/>
      <c r="C12" s="93" t="s">
        <v>876</v>
      </c>
      <c r="D12" s="93" t="s">
        <v>877</v>
      </c>
      <c r="E12" s="93" t="s">
        <v>157</v>
      </c>
      <c r="F12" s="93" t="s">
        <v>654</v>
      </c>
      <c r="G12" s="93" t="s">
        <v>878</v>
      </c>
      <c r="H12" s="93" t="s">
        <v>683</v>
      </c>
    </row>
    <row r="13" spans="1:9" ht="45">
      <c r="A13" s="93" t="s">
        <v>61</v>
      </c>
      <c r="B13" s="93"/>
      <c r="C13" s="93" t="s">
        <v>879</v>
      </c>
      <c r="D13" s="93" t="s">
        <v>880</v>
      </c>
      <c r="E13" s="93" t="s">
        <v>157</v>
      </c>
      <c r="F13" s="93" t="s">
        <v>654</v>
      </c>
      <c r="G13" s="93" t="s">
        <v>881</v>
      </c>
      <c r="H13" s="93" t="s">
        <v>683</v>
      </c>
    </row>
    <row r="14" spans="1:9" ht="60">
      <c r="A14" s="93" t="s">
        <v>61</v>
      </c>
      <c r="B14" s="93"/>
      <c r="C14" s="93" t="s">
        <v>882</v>
      </c>
      <c r="D14" s="93" t="s">
        <v>883</v>
      </c>
      <c r="E14" s="93" t="s">
        <v>157</v>
      </c>
      <c r="F14" s="93" t="s">
        <v>654</v>
      </c>
      <c r="G14" s="93" t="s">
        <v>884</v>
      </c>
      <c r="H14" s="93" t="s">
        <v>683</v>
      </c>
    </row>
    <row r="15" spans="1:9" ht="45">
      <c r="A15" s="93" t="s">
        <v>61</v>
      </c>
      <c r="B15" s="93"/>
      <c r="C15" s="93" t="s">
        <v>885</v>
      </c>
      <c r="D15" s="93" t="s">
        <v>886</v>
      </c>
      <c r="E15" s="93" t="s">
        <v>157</v>
      </c>
      <c r="F15" s="93" t="s">
        <v>654</v>
      </c>
      <c r="G15" s="93" t="s">
        <v>887</v>
      </c>
      <c r="H15" s="93" t="s">
        <v>683</v>
      </c>
    </row>
    <row r="16" spans="1:9" ht="45">
      <c r="A16" s="93" t="s">
        <v>61</v>
      </c>
      <c r="B16" s="93"/>
      <c r="C16" s="93" t="s">
        <v>888</v>
      </c>
      <c r="D16" s="93" t="s">
        <v>889</v>
      </c>
      <c r="E16" s="93" t="s">
        <v>205</v>
      </c>
      <c r="F16" s="93" t="s">
        <v>654</v>
      </c>
      <c r="G16" s="93" t="s">
        <v>890</v>
      </c>
      <c r="H16" s="93" t="s">
        <v>683</v>
      </c>
    </row>
    <row r="17" spans="1:8" ht="150">
      <c r="A17" s="93" t="s">
        <v>891</v>
      </c>
      <c r="B17" s="93" t="s">
        <v>892</v>
      </c>
      <c r="C17" s="93" t="s">
        <v>893</v>
      </c>
      <c r="D17" s="93" t="s">
        <v>894</v>
      </c>
      <c r="E17" s="93" t="s">
        <v>205</v>
      </c>
      <c r="F17" s="93" t="s">
        <v>863</v>
      </c>
      <c r="G17" s="93" t="s">
        <v>895</v>
      </c>
      <c r="H17" s="93" t="s">
        <v>896</v>
      </c>
    </row>
    <row r="18" spans="1:8" ht="180">
      <c r="A18" s="93" t="s">
        <v>891</v>
      </c>
      <c r="B18" s="93" t="s">
        <v>892</v>
      </c>
      <c r="C18" s="93" t="s">
        <v>897</v>
      </c>
      <c r="D18" s="93" t="s">
        <v>894</v>
      </c>
      <c r="E18" s="93" t="s">
        <v>205</v>
      </c>
      <c r="F18" s="93" t="s">
        <v>863</v>
      </c>
      <c r="G18" s="93" t="s">
        <v>898</v>
      </c>
      <c r="H18" s="93" t="s">
        <v>899</v>
      </c>
    </row>
    <row r="19" spans="1:8" ht="105">
      <c r="A19" s="93" t="s">
        <v>543</v>
      </c>
      <c r="B19" s="93"/>
      <c r="C19" s="93" t="s">
        <v>900</v>
      </c>
      <c r="D19" s="93" t="s">
        <v>894</v>
      </c>
      <c r="E19" s="93" t="s">
        <v>694</v>
      </c>
      <c r="F19" s="93" t="s">
        <v>863</v>
      </c>
      <c r="G19" s="93" t="s">
        <v>901</v>
      </c>
      <c r="H19" s="93" t="s">
        <v>902</v>
      </c>
    </row>
    <row r="20" spans="1:8" ht="120">
      <c r="A20" s="93" t="s">
        <v>543</v>
      </c>
      <c r="B20" s="93"/>
      <c r="C20" s="93" t="s">
        <v>903</v>
      </c>
      <c r="D20" s="93" t="s">
        <v>904</v>
      </c>
      <c r="E20" s="93" t="s">
        <v>157</v>
      </c>
      <c r="F20" s="93" t="s">
        <v>863</v>
      </c>
      <c r="G20" s="93" t="s">
        <v>905</v>
      </c>
      <c r="H20" s="93" t="s">
        <v>906</v>
      </c>
    </row>
    <row r="21" spans="1:8" ht="180">
      <c r="A21" s="93" t="s">
        <v>543</v>
      </c>
      <c r="B21" s="93"/>
      <c r="C21" s="93" t="s">
        <v>907</v>
      </c>
      <c r="D21" s="93" t="s">
        <v>904</v>
      </c>
      <c r="E21" s="93" t="s">
        <v>694</v>
      </c>
      <c r="F21" s="93" t="s">
        <v>863</v>
      </c>
      <c r="G21" s="93" t="s">
        <v>908</v>
      </c>
      <c r="H21" s="93" t="s">
        <v>909</v>
      </c>
    </row>
    <row r="22" spans="1:8" ht="105">
      <c r="A22" s="93" t="s">
        <v>543</v>
      </c>
      <c r="B22" s="93"/>
      <c r="C22" s="93" t="s">
        <v>910</v>
      </c>
      <c r="D22" s="93" t="s">
        <v>911</v>
      </c>
      <c r="E22" s="93" t="s">
        <v>694</v>
      </c>
      <c r="F22" s="93" t="s">
        <v>863</v>
      </c>
      <c r="G22" s="93" t="s">
        <v>912</v>
      </c>
      <c r="H22" s="93" t="s">
        <v>913</v>
      </c>
    </row>
    <row r="23" spans="1:8" ht="135">
      <c r="A23" s="93" t="s">
        <v>543</v>
      </c>
      <c r="B23" s="93"/>
      <c r="C23" s="93" t="s">
        <v>914</v>
      </c>
      <c r="D23" s="93" t="s">
        <v>911</v>
      </c>
      <c r="E23" s="93" t="s">
        <v>157</v>
      </c>
      <c r="F23" s="93" t="s">
        <v>863</v>
      </c>
      <c r="G23" s="93" t="s">
        <v>915</v>
      </c>
      <c r="H23" s="93" t="s">
        <v>916</v>
      </c>
    </row>
    <row r="24" spans="1:8" ht="120">
      <c r="A24" s="93" t="s">
        <v>543</v>
      </c>
      <c r="B24" s="93"/>
      <c r="C24" s="93" t="s">
        <v>917</v>
      </c>
      <c r="D24" s="93" t="s">
        <v>918</v>
      </c>
      <c r="E24" s="93" t="s">
        <v>205</v>
      </c>
      <c r="F24" s="93" t="s">
        <v>863</v>
      </c>
      <c r="G24" s="93" t="s">
        <v>919</v>
      </c>
      <c r="H24" s="93" t="s">
        <v>920</v>
      </c>
    </row>
    <row r="25" spans="1:8" ht="105">
      <c r="A25" s="93" t="s">
        <v>543</v>
      </c>
      <c r="B25" s="93"/>
      <c r="C25" s="93" t="s">
        <v>921</v>
      </c>
      <c r="D25" s="93" t="s">
        <v>922</v>
      </c>
      <c r="E25" s="93" t="s">
        <v>205</v>
      </c>
      <c r="F25" s="93" t="s">
        <v>863</v>
      </c>
      <c r="G25" s="93" t="s">
        <v>923</v>
      </c>
      <c r="H25" s="93" t="s">
        <v>924</v>
      </c>
    </row>
    <row r="26" spans="1:8" ht="75">
      <c r="A26" s="93" t="s">
        <v>925</v>
      </c>
      <c r="B26" s="93"/>
      <c r="C26" s="93" t="s">
        <v>926</v>
      </c>
      <c r="D26" s="93" t="s">
        <v>927</v>
      </c>
      <c r="E26" s="93" t="s">
        <v>157</v>
      </c>
      <c r="F26" s="93" t="s">
        <v>928</v>
      </c>
      <c r="G26" s="93" t="s">
        <v>929</v>
      </c>
      <c r="H26" s="93" t="s">
        <v>930</v>
      </c>
    </row>
    <row r="27" spans="1:8" ht="75">
      <c r="A27" s="93" t="s">
        <v>925</v>
      </c>
      <c r="B27" s="93"/>
      <c r="C27" s="93" t="s">
        <v>926</v>
      </c>
      <c r="D27" s="93" t="s">
        <v>931</v>
      </c>
      <c r="E27" s="93" t="s">
        <v>157</v>
      </c>
      <c r="F27" s="93" t="s">
        <v>928</v>
      </c>
      <c r="G27" s="93" t="s">
        <v>929</v>
      </c>
      <c r="H27" s="93" t="s">
        <v>930</v>
      </c>
    </row>
    <row r="28" spans="1:8" ht="75">
      <c r="A28" s="93" t="s">
        <v>925</v>
      </c>
      <c r="B28" s="93"/>
      <c r="C28" s="93" t="s">
        <v>926</v>
      </c>
      <c r="D28" s="93" t="s">
        <v>932</v>
      </c>
      <c r="E28" s="93" t="s">
        <v>157</v>
      </c>
      <c r="F28" s="93" t="s">
        <v>928</v>
      </c>
      <c r="G28" s="93" t="s">
        <v>929</v>
      </c>
      <c r="H28" s="93" t="s">
        <v>930</v>
      </c>
    </row>
    <row r="29" spans="1:8" ht="75">
      <c r="A29" s="93" t="s">
        <v>925</v>
      </c>
      <c r="B29" s="93"/>
      <c r="C29" s="93" t="s">
        <v>926</v>
      </c>
      <c r="D29" s="93" t="s">
        <v>933</v>
      </c>
      <c r="E29" s="93" t="s">
        <v>157</v>
      </c>
      <c r="F29" s="93" t="s">
        <v>928</v>
      </c>
      <c r="G29" s="93" t="s">
        <v>929</v>
      </c>
      <c r="H29" s="93" t="s">
        <v>930</v>
      </c>
    </row>
    <row r="30" spans="1:8" ht="120">
      <c r="A30" s="93" t="s">
        <v>925</v>
      </c>
      <c r="B30" s="93"/>
      <c r="C30" s="93" t="s">
        <v>934</v>
      </c>
      <c r="D30" s="93" t="s">
        <v>935</v>
      </c>
      <c r="E30" s="93" t="s">
        <v>694</v>
      </c>
      <c r="F30" s="93" t="s">
        <v>928</v>
      </c>
      <c r="G30" s="93" t="s">
        <v>929</v>
      </c>
      <c r="H30" s="93" t="s">
        <v>930</v>
      </c>
    </row>
    <row r="31" spans="1:8" ht="105">
      <c r="A31" s="93" t="s">
        <v>925</v>
      </c>
      <c r="B31" s="93"/>
      <c r="C31" s="93" t="s">
        <v>934</v>
      </c>
      <c r="D31" s="93" t="s">
        <v>936</v>
      </c>
      <c r="E31" s="93" t="s">
        <v>694</v>
      </c>
      <c r="F31" s="93" t="s">
        <v>928</v>
      </c>
      <c r="G31" s="93" t="s">
        <v>929</v>
      </c>
      <c r="H31" s="93" t="s">
        <v>930</v>
      </c>
    </row>
    <row r="32" spans="1:8" ht="75">
      <c r="A32" s="93" t="s">
        <v>925</v>
      </c>
      <c r="B32" s="93"/>
      <c r="C32" s="93" t="s">
        <v>934</v>
      </c>
      <c r="D32" s="93" t="s">
        <v>937</v>
      </c>
      <c r="E32" s="93"/>
      <c r="F32" s="93"/>
      <c r="G32" s="93" t="s">
        <v>929</v>
      </c>
      <c r="H32" s="93" t="s">
        <v>930</v>
      </c>
    </row>
    <row r="33" spans="1:8" ht="90">
      <c r="A33" s="93" t="s">
        <v>925</v>
      </c>
      <c r="B33" s="93"/>
      <c r="C33" s="93" t="s">
        <v>938</v>
      </c>
      <c r="D33" s="93" t="s">
        <v>939</v>
      </c>
      <c r="E33" s="93" t="s">
        <v>694</v>
      </c>
      <c r="F33" s="93" t="s">
        <v>928</v>
      </c>
      <c r="G33" s="93" t="s">
        <v>929</v>
      </c>
      <c r="H33" s="93" t="s">
        <v>930</v>
      </c>
    </row>
    <row r="34" spans="1:8" ht="75">
      <c r="A34" s="93" t="s">
        <v>136</v>
      </c>
      <c r="B34" s="93"/>
      <c r="C34" s="93" t="s">
        <v>940</v>
      </c>
      <c r="D34" s="93" t="s">
        <v>941</v>
      </c>
      <c r="E34" s="93" t="s">
        <v>694</v>
      </c>
      <c r="F34" s="93" t="s">
        <v>928</v>
      </c>
      <c r="G34" s="93" t="s">
        <v>929</v>
      </c>
      <c r="H34" s="93" t="s">
        <v>930</v>
      </c>
    </row>
    <row r="35" spans="1:8" ht="75">
      <c r="A35" s="93" t="s">
        <v>942</v>
      </c>
      <c r="B35" s="93"/>
      <c r="C35" s="93" t="s">
        <v>943</v>
      </c>
      <c r="D35" s="93" t="s">
        <v>944</v>
      </c>
      <c r="E35" s="93" t="s">
        <v>694</v>
      </c>
      <c r="F35" s="93" t="s">
        <v>928</v>
      </c>
      <c r="G35" s="93" t="s">
        <v>929</v>
      </c>
      <c r="H35" s="93" t="s">
        <v>945</v>
      </c>
    </row>
    <row r="36" spans="1:8" ht="75">
      <c r="A36" s="93" t="s">
        <v>694</v>
      </c>
      <c r="B36" s="93"/>
      <c r="C36" s="93" t="s">
        <v>946</v>
      </c>
      <c r="D36" s="93" t="s">
        <v>947</v>
      </c>
      <c r="E36" s="93" t="s">
        <v>694</v>
      </c>
      <c r="F36" s="93" t="s">
        <v>863</v>
      </c>
      <c r="G36" s="93" t="s">
        <v>929</v>
      </c>
      <c r="H36" s="93" t="s">
        <v>945</v>
      </c>
    </row>
    <row r="37" spans="1:8" ht="60">
      <c r="A37" s="93" t="s">
        <v>61</v>
      </c>
      <c r="B37" s="93"/>
      <c r="C37" s="93" t="s">
        <v>948</v>
      </c>
      <c r="D37" s="93" t="s">
        <v>949</v>
      </c>
      <c r="E37" s="93" t="s">
        <v>205</v>
      </c>
      <c r="F37" s="93" t="s">
        <v>654</v>
      </c>
      <c r="G37" s="93" t="s">
        <v>950</v>
      </c>
      <c r="H37" s="93" t="s">
        <v>317</v>
      </c>
    </row>
    <row r="38" spans="1:8" ht="60">
      <c r="A38" s="93" t="s">
        <v>61</v>
      </c>
      <c r="B38" s="93"/>
      <c r="C38" s="93" t="s">
        <v>951</v>
      </c>
      <c r="D38" s="93" t="s">
        <v>322</v>
      </c>
      <c r="E38" s="93" t="s">
        <v>205</v>
      </c>
      <c r="F38" s="93" t="s">
        <v>654</v>
      </c>
      <c r="G38" s="93" t="s">
        <v>323</v>
      </c>
      <c r="H38" s="93" t="s">
        <v>317</v>
      </c>
    </row>
    <row r="39" spans="1:8" ht="45">
      <c r="A39" s="93" t="s">
        <v>327</v>
      </c>
      <c r="B39" s="93"/>
      <c r="C39" s="93" t="s">
        <v>952</v>
      </c>
      <c r="D39" s="93" t="s">
        <v>953</v>
      </c>
      <c r="E39" s="93" t="s">
        <v>205</v>
      </c>
      <c r="F39" s="93" t="s">
        <v>654</v>
      </c>
      <c r="G39" s="93" t="s">
        <v>954</v>
      </c>
      <c r="H39" s="93" t="s">
        <v>317</v>
      </c>
    </row>
    <row r="40" spans="1:8" ht="60">
      <c r="A40" s="93" t="s">
        <v>327</v>
      </c>
      <c r="B40" s="93"/>
      <c r="C40" s="93" t="s">
        <v>955</v>
      </c>
      <c r="D40" s="93" t="s">
        <v>956</v>
      </c>
      <c r="E40" s="93" t="s">
        <v>205</v>
      </c>
      <c r="F40" s="93" t="s">
        <v>654</v>
      </c>
      <c r="G40" s="93" t="s">
        <v>957</v>
      </c>
      <c r="H40" s="93" t="s">
        <v>317</v>
      </c>
    </row>
    <row r="41" spans="1:8" ht="60">
      <c r="A41" s="93" t="s">
        <v>327</v>
      </c>
      <c r="B41" s="93"/>
      <c r="C41" s="93" t="s">
        <v>958</v>
      </c>
      <c r="D41" s="93" t="s">
        <v>959</v>
      </c>
      <c r="E41" s="93" t="s">
        <v>205</v>
      </c>
      <c r="F41" s="93" t="s">
        <v>654</v>
      </c>
      <c r="G41" s="93" t="s">
        <v>960</v>
      </c>
      <c r="H41" s="93" t="s">
        <v>317</v>
      </c>
    </row>
    <row r="42" spans="1:8" ht="45">
      <c r="A42" s="93" t="s">
        <v>327</v>
      </c>
      <c r="B42" s="93"/>
      <c r="C42" s="93" t="s">
        <v>961</v>
      </c>
      <c r="D42" s="93" t="s">
        <v>962</v>
      </c>
      <c r="E42" s="93" t="s">
        <v>205</v>
      </c>
      <c r="F42" s="93" t="s">
        <v>654</v>
      </c>
      <c r="G42" s="93" t="s">
        <v>963</v>
      </c>
      <c r="H42" s="93" t="s">
        <v>317</v>
      </c>
    </row>
    <row r="43" spans="1:8" ht="45">
      <c r="A43" s="93" t="s">
        <v>327</v>
      </c>
      <c r="B43" s="93"/>
      <c r="C43" s="93" t="s">
        <v>964</v>
      </c>
      <c r="D43" s="93" t="s">
        <v>965</v>
      </c>
      <c r="E43" s="93" t="s">
        <v>205</v>
      </c>
      <c r="F43" s="93" t="s">
        <v>654</v>
      </c>
      <c r="G43" s="93" t="s">
        <v>966</v>
      </c>
      <c r="H43" s="93" t="s">
        <v>317</v>
      </c>
    </row>
    <row r="44" spans="1:8" ht="120">
      <c r="A44" s="93" t="s">
        <v>327</v>
      </c>
      <c r="B44" s="93"/>
      <c r="C44" s="93" t="s">
        <v>967</v>
      </c>
      <c r="D44" s="93" t="s">
        <v>968</v>
      </c>
      <c r="E44" s="93" t="s">
        <v>205</v>
      </c>
      <c r="F44" s="93" t="s">
        <v>654</v>
      </c>
      <c r="G44" s="93" t="s">
        <v>969</v>
      </c>
      <c r="H44" s="93" t="s">
        <v>317</v>
      </c>
    </row>
    <row r="45" spans="1:8" ht="75">
      <c r="A45" s="93" t="s">
        <v>327</v>
      </c>
      <c r="B45" s="93"/>
      <c r="C45" s="93" t="s">
        <v>970</v>
      </c>
      <c r="D45" s="93" t="s">
        <v>971</v>
      </c>
      <c r="E45" s="93" t="s">
        <v>205</v>
      </c>
      <c r="F45" s="93" t="s">
        <v>654</v>
      </c>
      <c r="G45" s="93" t="s">
        <v>972</v>
      </c>
      <c r="H45" s="93" t="s">
        <v>317</v>
      </c>
    </row>
    <row r="46" spans="1:8" ht="60">
      <c r="A46" s="93" t="s">
        <v>327</v>
      </c>
      <c r="B46" s="93"/>
      <c r="C46" s="93" t="s">
        <v>973</v>
      </c>
      <c r="D46" s="93" t="s">
        <v>974</v>
      </c>
      <c r="E46" s="93" t="s">
        <v>205</v>
      </c>
      <c r="F46" s="93" t="s">
        <v>654</v>
      </c>
      <c r="G46" s="93" t="s">
        <v>975</v>
      </c>
      <c r="H46" s="93" t="s">
        <v>317</v>
      </c>
    </row>
    <row r="47" spans="1:8" ht="45">
      <c r="A47" s="93" t="s">
        <v>327</v>
      </c>
      <c r="B47" s="93"/>
      <c r="C47" s="93" t="s">
        <v>976</v>
      </c>
      <c r="D47" s="93" t="s">
        <v>977</v>
      </c>
      <c r="E47" s="93" t="s">
        <v>205</v>
      </c>
      <c r="F47" s="93" t="s">
        <v>654</v>
      </c>
      <c r="G47" s="93" t="s">
        <v>978</v>
      </c>
      <c r="H47" s="93" t="s">
        <v>317</v>
      </c>
    </row>
    <row r="48" spans="1:8" ht="75">
      <c r="A48" s="93" t="s">
        <v>327</v>
      </c>
      <c r="B48" s="93"/>
      <c r="C48" s="93" t="s">
        <v>979</v>
      </c>
      <c r="D48" s="93" t="s">
        <v>980</v>
      </c>
      <c r="E48" s="93" t="s">
        <v>205</v>
      </c>
      <c r="F48" s="93" t="s">
        <v>654</v>
      </c>
      <c r="G48" s="93" t="s">
        <v>981</v>
      </c>
      <c r="H48" s="93" t="s">
        <v>317</v>
      </c>
    </row>
    <row r="49" spans="1:8" ht="120">
      <c r="A49" s="93" t="s">
        <v>327</v>
      </c>
      <c r="B49" s="93"/>
      <c r="C49" s="93" t="s">
        <v>982</v>
      </c>
      <c r="D49" s="93" t="s">
        <v>983</v>
      </c>
      <c r="E49" s="93" t="s">
        <v>205</v>
      </c>
      <c r="F49" s="93" t="s">
        <v>654</v>
      </c>
      <c r="G49" s="93" t="s">
        <v>984</v>
      </c>
      <c r="H49" s="93" t="s">
        <v>317</v>
      </c>
    </row>
    <row r="50" spans="1:8" ht="60">
      <c r="A50" s="93" t="s">
        <v>327</v>
      </c>
      <c r="B50" s="93"/>
      <c r="C50" s="93" t="s">
        <v>985</v>
      </c>
      <c r="D50" s="93" t="s">
        <v>986</v>
      </c>
      <c r="E50" s="93" t="s">
        <v>205</v>
      </c>
      <c r="F50" s="93" t="s">
        <v>654</v>
      </c>
      <c r="G50" s="93" t="s">
        <v>987</v>
      </c>
      <c r="H50" s="93" t="s">
        <v>317</v>
      </c>
    </row>
    <row r="51" spans="1:8" ht="45">
      <c r="A51" s="93" t="s">
        <v>334</v>
      </c>
      <c r="B51" s="93"/>
      <c r="C51" s="93" t="s">
        <v>988</v>
      </c>
      <c r="D51" s="93" t="s">
        <v>989</v>
      </c>
      <c r="E51" s="93" t="s">
        <v>205</v>
      </c>
      <c r="F51" s="93" t="s">
        <v>654</v>
      </c>
      <c r="G51" s="93" t="s">
        <v>990</v>
      </c>
      <c r="H51" s="93" t="s">
        <v>317</v>
      </c>
    </row>
    <row r="52" spans="1:8" ht="30">
      <c r="A52" s="93" t="s">
        <v>334</v>
      </c>
      <c r="B52" s="93"/>
      <c r="C52" s="93" t="s">
        <v>762</v>
      </c>
      <c r="D52" s="93" t="s">
        <v>763</v>
      </c>
      <c r="E52" s="93" t="s">
        <v>205</v>
      </c>
      <c r="F52" s="93" t="s">
        <v>654</v>
      </c>
      <c r="G52" s="93" t="s">
        <v>764</v>
      </c>
      <c r="H52" s="93" t="s">
        <v>317</v>
      </c>
    </row>
    <row r="53" spans="1:8" ht="75">
      <c r="A53" s="93" t="s">
        <v>334</v>
      </c>
      <c r="B53" s="93"/>
      <c r="C53" s="93" t="s">
        <v>335</v>
      </c>
      <c r="D53" s="93" t="s">
        <v>336</v>
      </c>
      <c r="E53" s="93" t="s">
        <v>205</v>
      </c>
      <c r="F53" s="93" t="s">
        <v>654</v>
      </c>
      <c r="G53" s="93" t="s">
        <v>337</v>
      </c>
      <c r="H53" s="93" t="s">
        <v>317</v>
      </c>
    </row>
    <row r="54" spans="1:8" ht="75">
      <c r="A54" s="93" t="s">
        <v>334</v>
      </c>
      <c r="B54" s="93"/>
      <c r="C54" s="93" t="s">
        <v>338</v>
      </c>
      <c r="D54" s="93" t="s">
        <v>339</v>
      </c>
      <c r="E54" s="93" t="s">
        <v>205</v>
      </c>
      <c r="F54" s="93" t="s">
        <v>654</v>
      </c>
      <c r="G54" s="93" t="s">
        <v>340</v>
      </c>
      <c r="H54" s="93" t="s">
        <v>317</v>
      </c>
    </row>
    <row r="55" spans="1:8" ht="90">
      <c r="A55" s="93" t="s">
        <v>334</v>
      </c>
      <c r="B55" s="93"/>
      <c r="C55" s="93" t="s">
        <v>341</v>
      </c>
      <c r="D55" s="93" t="s">
        <v>342</v>
      </c>
      <c r="E55" s="93" t="s">
        <v>205</v>
      </c>
      <c r="F55" s="93" t="s">
        <v>654</v>
      </c>
      <c r="G55" s="93" t="s">
        <v>343</v>
      </c>
      <c r="H55" s="93" t="s">
        <v>317</v>
      </c>
    </row>
    <row r="56" spans="1:8" ht="75">
      <c r="A56" s="93" t="s">
        <v>136</v>
      </c>
      <c r="B56" s="93"/>
      <c r="C56" s="93" t="s">
        <v>991</v>
      </c>
      <c r="D56" s="93" t="s">
        <v>992</v>
      </c>
      <c r="E56" s="93" t="s">
        <v>205</v>
      </c>
      <c r="F56" s="93" t="s">
        <v>654</v>
      </c>
      <c r="G56" s="93" t="s">
        <v>993</v>
      </c>
      <c r="H56" s="93" t="s">
        <v>317</v>
      </c>
    </row>
    <row r="57" spans="1:8" ht="60">
      <c r="A57" s="93" t="s">
        <v>994</v>
      </c>
      <c r="B57" s="93"/>
      <c r="C57" s="93" t="s">
        <v>995</v>
      </c>
      <c r="D57" s="93" t="s">
        <v>996</v>
      </c>
      <c r="E57" s="93" t="s">
        <v>205</v>
      </c>
      <c r="F57" s="93" t="s">
        <v>654</v>
      </c>
      <c r="G57" s="93" t="s">
        <v>997</v>
      </c>
      <c r="H57" s="93" t="s">
        <v>317</v>
      </c>
    </row>
    <row r="58" spans="1:8" ht="60">
      <c r="A58" s="93" t="s">
        <v>350</v>
      </c>
      <c r="B58" s="93"/>
      <c r="C58" s="93" t="s">
        <v>998</v>
      </c>
      <c r="D58" s="93" t="s">
        <v>999</v>
      </c>
      <c r="E58" s="93" t="s">
        <v>205</v>
      </c>
      <c r="F58" s="93" t="s">
        <v>654</v>
      </c>
      <c r="G58" s="93" t="s">
        <v>1000</v>
      </c>
      <c r="H58" s="93" t="s">
        <v>317</v>
      </c>
    </row>
    <row r="59" spans="1:8" ht="60">
      <c r="A59" s="93" t="s">
        <v>350</v>
      </c>
      <c r="B59" s="93"/>
      <c r="C59" s="93" t="s">
        <v>1001</v>
      </c>
      <c r="D59" s="93" t="s">
        <v>1002</v>
      </c>
      <c r="E59" s="93" t="s">
        <v>205</v>
      </c>
      <c r="F59" s="93" t="s">
        <v>654</v>
      </c>
      <c r="G59" s="93" t="s">
        <v>1003</v>
      </c>
      <c r="H59" s="93" t="s">
        <v>317</v>
      </c>
    </row>
    <row r="60" spans="1:8" ht="30">
      <c r="A60" s="93" t="s">
        <v>350</v>
      </c>
      <c r="B60" s="93"/>
      <c r="C60" s="93" t="s">
        <v>1004</v>
      </c>
      <c r="D60" s="93" t="s">
        <v>1005</v>
      </c>
      <c r="E60" s="93" t="s">
        <v>205</v>
      </c>
      <c r="F60" s="93" t="s">
        <v>654</v>
      </c>
      <c r="G60" s="93" t="s">
        <v>1006</v>
      </c>
      <c r="H60" s="93" t="s">
        <v>317</v>
      </c>
    </row>
    <row r="61" spans="1:8" ht="60">
      <c r="A61" s="93" t="s">
        <v>350</v>
      </c>
      <c r="B61" s="93"/>
      <c r="C61" s="93" t="s">
        <v>1007</v>
      </c>
      <c r="D61" s="93" t="s">
        <v>1008</v>
      </c>
      <c r="E61" s="93" t="s">
        <v>205</v>
      </c>
      <c r="F61" s="93" t="s">
        <v>654</v>
      </c>
      <c r="G61" s="93" t="s">
        <v>1009</v>
      </c>
      <c r="H61" s="93" t="s">
        <v>317</v>
      </c>
    </row>
    <row r="62" spans="1:8" ht="30">
      <c r="A62" s="93" t="s">
        <v>350</v>
      </c>
      <c r="B62" s="93"/>
      <c r="C62" s="93" t="s">
        <v>1010</v>
      </c>
      <c r="D62" s="93" t="s">
        <v>1011</v>
      </c>
      <c r="E62" s="93" t="s">
        <v>205</v>
      </c>
      <c r="F62" s="93" t="s">
        <v>654</v>
      </c>
      <c r="G62" s="93" t="s">
        <v>1012</v>
      </c>
      <c r="H62" s="93" t="s">
        <v>317</v>
      </c>
    </row>
    <row r="63" spans="1:8" ht="45">
      <c r="A63" s="93" t="s">
        <v>350</v>
      </c>
      <c r="B63" s="93"/>
      <c r="C63" s="93" t="s">
        <v>1013</v>
      </c>
      <c r="D63" s="93" t="s">
        <v>1014</v>
      </c>
      <c r="E63" s="93" t="s">
        <v>205</v>
      </c>
      <c r="F63" s="93" t="s">
        <v>654</v>
      </c>
      <c r="G63" s="93" t="s">
        <v>1015</v>
      </c>
      <c r="H63" s="93" t="s">
        <v>317</v>
      </c>
    </row>
    <row r="64" spans="1:8" ht="45">
      <c r="A64" s="93" t="s">
        <v>1535</v>
      </c>
      <c r="B64" s="93"/>
      <c r="C64" s="93" t="s">
        <v>1570</v>
      </c>
      <c r="D64" s="93" t="s">
        <v>1571</v>
      </c>
      <c r="E64" s="150" t="s">
        <v>694</v>
      </c>
      <c r="F64" s="93" t="s">
        <v>654</v>
      </c>
      <c r="G64" s="93" t="s">
        <v>1572</v>
      </c>
      <c r="H64" s="93" t="s">
        <v>317</v>
      </c>
    </row>
    <row r="65" spans="1:8" ht="45">
      <c r="A65" s="93" t="s">
        <v>1535</v>
      </c>
      <c r="B65" s="93"/>
      <c r="C65" s="93" t="s">
        <v>1573</v>
      </c>
      <c r="D65" s="93" t="s">
        <v>1574</v>
      </c>
      <c r="E65" s="150" t="s">
        <v>694</v>
      </c>
      <c r="F65" s="93" t="s">
        <v>654</v>
      </c>
      <c r="G65" s="93" t="s">
        <v>1575</v>
      </c>
      <c r="H65" s="93" t="s">
        <v>317</v>
      </c>
    </row>
    <row r="66" spans="1:8" ht="60">
      <c r="A66" s="93" t="s">
        <v>1535</v>
      </c>
      <c r="B66" s="93"/>
      <c r="C66" s="93" t="s">
        <v>1576</v>
      </c>
      <c r="D66" s="93" t="s">
        <v>1577</v>
      </c>
      <c r="E66" s="150" t="s">
        <v>694</v>
      </c>
      <c r="F66" s="93" t="s">
        <v>654</v>
      </c>
      <c r="G66" s="93" t="s">
        <v>1578</v>
      </c>
      <c r="H66" s="93" t="s">
        <v>317</v>
      </c>
    </row>
    <row r="67" spans="1:8" ht="120">
      <c r="A67" s="93" t="s">
        <v>1535</v>
      </c>
      <c r="B67" s="93"/>
      <c r="C67" s="93" t="s">
        <v>1568</v>
      </c>
      <c r="D67" s="93" t="s">
        <v>1579</v>
      </c>
      <c r="E67" s="93" t="s">
        <v>157</v>
      </c>
      <c r="F67" s="93" t="s">
        <v>654</v>
      </c>
      <c r="G67" s="93" t="s">
        <v>1580</v>
      </c>
      <c r="H67" s="93" t="s">
        <v>317</v>
      </c>
    </row>
    <row r="68" spans="1:8" ht="60">
      <c r="A68" s="93" t="s">
        <v>1543</v>
      </c>
      <c r="B68" s="93"/>
      <c r="C68" s="93" t="s">
        <v>1581</v>
      </c>
      <c r="D68" s="93" t="s">
        <v>1582</v>
      </c>
      <c r="E68" s="93" t="s">
        <v>157</v>
      </c>
      <c r="F68" s="93" t="s">
        <v>654</v>
      </c>
      <c r="G68" s="93" t="s">
        <v>1583</v>
      </c>
      <c r="H68" s="93" t="s">
        <v>317</v>
      </c>
    </row>
    <row r="69" spans="1:8" ht="45">
      <c r="A69" s="93" t="s">
        <v>1524</v>
      </c>
      <c r="B69" s="93"/>
      <c r="C69" s="93" t="s">
        <v>1584</v>
      </c>
      <c r="D69" s="93" t="s">
        <v>1585</v>
      </c>
      <c r="E69" s="93" t="s">
        <v>157</v>
      </c>
      <c r="F69" s="93" t="s">
        <v>1529</v>
      </c>
      <c r="G69" s="93"/>
      <c r="H69" s="93" t="s">
        <v>317</v>
      </c>
    </row>
    <row r="70" spans="1:8" ht="120">
      <c r="A70" s="93" t="s">
        <v>1535</v>
      </c>
      <c r="B70" s="93"/>
      <c r="C70" s="93" t="s">
        <v>1586</v>
      </c>
      <c r="D70" s="93" t="s">
        <v>1587</v>
      </c>
      <c r="E70" s="93" t="s">
        <v>157</v>
      </c>
      <c r="F70" s="93" t="s">
        <v>654</v>
      </c>
      <c r="G70" s="93" t="s">
        <v>1588</v>
      </c>
      <c r="H70" s="93" t="s">
        <v>317</v>
      </c>
    </row>
    <row r="71" spans="1:8" ht="30">
      <c r="A71" s="93" t="s">
        <v>1543</v>
      </c>
      <c r="B71" s="93"/>
      <c r="C71" s="93" t="s">
        <v>1525</v>
      </c>
      <c r="D71" s="93" t="s">
        <v>1589</v>
      </c>
      <c r="E71" s="93" t="s">
        <v>157</v>
      </c>
      <c r="F71" s="93" t="s">
        <v>654</v>
      </c>
      <c r="G71" s="93"/>
      <c r="H71" s="93" t="s">
        <v>317</v>
      </c>
    </row>
    <row r="72" spans="1:8" ht="45">
      <c r="A72" s="93" t="s">
        <v>288</v>
      </c>
      <c r="B72" s="93"/>
      <c r="C72" s="93" t="s">
        <v>1590</v>
      </c>
      <c r="D72" s="93" t="s">
        <v>1591</v>
      </c>
      <c r="E72" s="93" t="s">
        <v>157</v>
      </c>
      <c r="F72" s="93" t="s">
        <v>1592</v>
      </c>
      <c r="G72" s="93"/>
      <c r="H72" s="93" t="s">
        <v>317</v>
      </c>
    </row>
    <row r="73" spans="1:8" ht="240">
      <c r="A73" s="93" t="s">
        <v>1543</v>
      </c>
      <c r="B73" s="93"/>
      <c r="C73" s="93" t="s">
        <v>1539</v>
      </c>
      <c r="D73" s="93" t="s">
        <v>1593</v>
      </c>
      <c r="E73" s="93" t="s">
        <v>157</v>
      </c>
      <c r="F73" s="93" t="s">
        <v>1594</v>
      </c>
      <c r="G73" s="93" t="s">
        <v>1595</v>
      </c>
      <c r="H73" s="93" t="s">
        <v>317</v>
      </c>
    </row>
    <row r="74" spans="1:8" ht="135">
      <c r="A74" s="93" t="s">
        <v>1543</v>
      </c>
      <c r="B74" s="93"/>
      <c r="C74" s="93" t="s">
        <v>1544</v>
      </c>
      <c r="D74" s="93" t="s">
        <v>1596</v>
      </c>
      <c r="E74" s="93" t="s">
        <v>157</v>
      </c>
      <c r="F74" s="93" t="s">
        <v>1597</v>
      </c>
      <c r="G74" s="93"/>
      <c r="H74" s="93" t="s">
        <v>317</v>
      </c>
    </row>
    <row r="75" spans="1:8" ht="105">
      <c r="A75" s="93" t="s">
        <v>240</v>
      </c>
      <c r="B75" s="93"/>
      <c r="C75" s="93" t="s">
        <v>1598</v>
      </c>
      <c r="D75" s="93" t="s">
        <v>1599</v>
      </c>
      <c r="E75" s="93" t="s">
        <v>157</v>
      </c>
      <c r="F75" s="93" t="s">
        <v>1597</v>
      </c>
      <c r="G75" s="93"/>
      <c r="H75" s="93" t="s">
        <v>317</v>
      </c>
    </row>
    <row r="76" spans="1:8" ht="45">
      <c r="A76" s="93" t="s">
        <v>288</v>
      </c>
      <c r="B76" s="93"/>
      <c r="C76" s="93" t="s">
        <v>1600</v>
      </c>
      <c r="D76" s="93" t="s">
        <v>1601</v>
      </c>
      <c r="E76" s="93" t="s">
        <v>157</v>
      </c>
      <c r="F76" s="93" t="s">
        <v>654</v>
      </c>
      <c r="G76" s="93"/>
      <c r="H76" s="93" t="s">
        <v>317</v>
      </c>
    </row>
    <row r="77" spans="1:8" ht="45">
      <c r="A77" s="93" t="s">
        <v>258</v>
      </c>
      <c r="B77" s="93" t="s">
        <v>1620</v>
      </c>
      <c r="C77" s="93" t="s">
        <v>1621</v>
      </c>
      <c r="D77" s="93" t="s">
        <v>1622</v>
      </c>
      <c r="E77" s="93" t="s">
        <v>157</v>
      </c>
      <c r="F77" s="93" t="s">
        <v>654</v>
      </c>
      <c r="G77" s="93" t="s">
        <v>1623</v>
      </c>
      <c r="H77" s="93" t="s">
        <v>317</v>
      </c>
    </row>
    <row r="78" spans="1:8" ht="60">
      <c r="A78" s="93" t="s">
        <v>258</v>
      </c>
      <c r="B78" s="93" t="s">
        <v>1620</v>
      </c>
      <c r="C78" s="93" t="s">
        <v>1624</v>
      </c>
      <c r="D78" s="93" t="s">
        <v>1625</v>
      </c>
      <c r="E78" s="93" t="s">
        <v>157</v>
      </c>
      <c r="F78" s="93" t="s">
        <v>654</v>
      </c>
      <c r="G78" s="93" t="s">
        <v>1626</v>
      </c>
      <c r="H78" s="93" t="s">
        <v>317</v>
      </c>
    </row>
    <row r="79" spans="1:8" ht="60">
      <c r="A79" s="93" t="s">
        <v>258</v>
      </c>
      <c r="B79" s="93" t="s">
        <v>1620</v>
      </c>
      <c r="C79" s="93" t="s">
        <v>1627</v>
      </c>
      <c r="D79" s="93" t="s">
        <v>1628</v>
      </c>
      <c r="E79" s="93" t="s">
        <v>157</v>
      </c>
      <c r="F79" s="93" t="s">
        <v>654</v>
      </c>
      <c r="G79" s="93" t="s">
        <v>1629</v>
      </c>
      <c r="H79" s="93" t="s">
        <v>317</v>
      </c>
    </row>
    <row r="80" spans="1:8" ht="45">
      <c r="A80" s="93" t="s">
        <v>258</v>
      </c>
      <c r="B80" s="93" t="s">
        <v>1630</v>
      </c>
      <c r="C80" s="93" t="s">
        <v>1631</v>
      </c>
      <c r="D80" s="93" t="s">
        <v>1632</v>
      </c>
      <c r="E80" s="93" t="s">
        <v>157</v>
      </c>
      <c r="F80" s="93" t="s">
        <v>654</v>
      </c>
      <c r="G80" s="93" t="s">
        <v>1633</v>
      </c>
      <c r="H80" s="93" t="s">
        <v>317</v>
      </c>
    </row>
    <row r="81" spans="1:11" ht="45">
      <c r="A81" s="93" t="s">
        <v>258</v>
      </c>
      <c r="B81" s="93" t="s">
        <v>1630</v>
      </c>
      <c r="C81" s="93" t="s">
        <v>1634</v>
      </c>
      <c r="D81" s="93" t="s">
        <v>1635</v>
      </c>
      <c r="E81" s="93" t="s">
        <v>157</v>
      </c>
      <c r="F81" s="93" t="s">
        <v>654</v>
      </c>
      <c r="G81" s="93" t="s">
        <v>1636</v>
      </c>
      <c r="H81" s="93" t="s">
        <v>317</v>
      </c>
    </row>
    <row r="82" spans="1:11" ht="75">
      <c r="A82" s="93" t="s">
        <v>258</v>
      </c>
      <c r="B82" s="93" t="s">
        <v>717</v>
      </c>
      <c r="C82" s="93" t="s">
        <v>1637</v>
      </c>
      <c r="D82" s="93" t="s">
        <v>1638</v>
      </c>
      <c r="E82" s="93" t="s">
        <v>157</v>
      </c>
      <c r="F82" s="93" t="s">
        <v>654</v>
      </c>
      <c r="G82" s="93" t="s">
        <v>1639</v>
      </c>
      <c r="H82" s="93" t="s">
        <v>317</v>
      </c>
    </row>
    <row r="83" spans="1:11" ht="45">
      <c r="A83" s="93" t="s">
        <v>288</v>
      </c>
      <c r="B83" s="93"/>
      <c r="C83" s="93" t="s">
        <v>1650</v>
      </c>
      <c r="D83" s="93" t="s">
        <v>1662</v>
      </c>
      <c r="E83" s="93" t="s">
        <v>157</v>
      </c>
      <c r="F83" s="93" t="s">
        <v>654</v>
      </c>
      <c r="G83" s="93" t="s">
        <v>1651</v>
      </c>
      <c r="H83" s="93" t="s">
        <v>860</v>
      </c>
    </row>
    <row r="84" spans="1:11" ht="30">
      <c r="A84" s="93" t="s">
        <v>288</v>
      </c>
      <c r="B84" s="151"/>
      <c r="C84" s="151" t="s">
        <v>613</v>
      </c>
      <c r="D84" s="151" t="s">
        <v>1652</v>
      </c>
      <c r="E84" s="151" t="s">
        <v>157</v>
      </c>
      <c r="F84" s="151" t="s">
        <v>654</v>
      </c>
      <c r="G84" s="151" t="s">
        <v>1653</v>
      </c>
      <c r="H84" s="151" t="s">
        <v>790</v>
      </c>
    </row>
    <row r="85" spans="1:11" ht="60">
      <c r="A85" s="93" t="s">
        <v>1654</v>
      </c>
      <c r="B85" s="93"/>
      <c r="C85" s="93" t="s">
        <v>1655</v>
      </c>
      <c r="D85" s="93" t="s">
        <v>1656</v>
      </c>
      <c r="E85" s="93" t="s">
        <v>157</v>
      </c>
      <c r="F85" s="93" t="s">
        <v>654</v>
      </c>
      <c r="G85" s="93" t="s">
        <v>1657</v>
      </c>
      <c r="H85" s="93" t="s">
        <v>1658</v>
      </c>
    </row>
    <row r="86" spans="1:11" ht="45">
      <c r="A86" s="93" t="s">
        <v>1654</v>
      </c>
      <c r="B86" s="151"/>
      <c r="C86" s="151" t="s">
        <v>1659</v>
      </c>
      <c r="D86" s="151" t="s">
        <v>1660</v>
      </c>
      <c r="E86" s="151" t="s">
        <v>157</v>
      </c>
      <c r="F86" s="151" t="s">
        <v>654</v>
      </c>
      <c r="G86" s="151" t="s">
        <v>1661</v>
      </c>
      <c r="H86" s="151" t="s">
        <v>1658</v>
      </c>
    </row>
    <row r="87" spans="1:11">
      <c r="A87" s="111"/>
      <c r="B87" s="111"/>
      <c r="C87" s="111"/>
      <c r="D87" s="111"/>
      <c r="E87" s="111"/>
      <c r="F87" s="111"/>
      <c r="G87" s="111"/>
      <c r="H87" s="111"/>
    </row>
    <row r="89" spans="1:11" ht="144.75" customHeight="1">
      <c r="A89" s="209" t="s">
        <v>1016</v>
      </c>
      <c r="B89" s="209"/>
      <c r="C89" s="209"/>
      <c r="D89" s="209"/>
      <c r="E89" s="209"/>
      <c r="F89" s="209"/>
      <c r="G89" s="209"/>
      <c r="H89" s="209"/>
      <c r="I89" s="209"/>
      <c r="J89" s="209"/>
      <c r="K89" s="209"/>
    </row>
  </sheetData>
  <mergeCells count="2">
    <mergeCell ref="A1:I1"/>
    <mergeCell ref="A89:K89"/>
  </mergeCells>
  <phoneticPr fontId="4" type="noConversion"/>
  <pageMargins left="0.69930555555555596" right="0.69930555555555596"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EFC6-3482-4EC8-B814-78D85F01F8A0}">
  <sheetPr>
    <tabColor rgb="FF00B050"/>
  </sheetPr>
  <dimension ref="A1:L95"/>
  <sheetViews>
    <sheetView zoomScaleNormal="100" workbookViewId="0">
      <pane ySplit="3" topLeftCell="A4" activePane="bottomLeft" state="frozen"/>
      <selection activeCell="D27" sqref="D27"/>
      <selection pane="bottomLeft" activeCell="B5" sqref="B5"/>
    </sheetView>
  </sheetViews>
  <sheetFormatPr baseColWidth="10" defaultColWidth="9.1640625" defaultRowHeight="15"/>
  <cols>
    <col min="1" max="1" width="31.83203125" style="83" customWidth="1"/>
    <col min="2" max="2" width="54.83203125" style="83" customWidth="1"/>
    <col min="3" max="3" width="12.5" style="83" customWidth="1"/>
    <col min="4" max="4" width="36.83203125" style="83" customWidth="1"/>
    <col min="5" max="5" width="25.5" style="83" customWidth="1"/>
    <col min="6" max="6" width="8.83203125" style="83" customWidth="1"/>
    <col min="7" max="7" width="19.5" style="83" customWidth="1"/>
    <col min="8" max="8" width="21.1640625" style="83" customWidth="1"/>
    <col min="9" max="9" width="11.5" style="83" customWidth="1"/>
    <col min="10" max="10" width="46.5" style="83" customWidth="1"/>
    <col min="11" max="11" width="22" style="83" customWidth="1"/>
    <col min="12" max="12" width="39.5" style="112" customWidth="1"/>
    <col min="13" max="16384" width="9.1640625" style="83"/>
  </cols>
  <sheetData>
    <row r="1" spans="1:12" ht="19">
      <c r="A1" s="212" t="s">
        <v>1017</v>
      </c>
      <c r="B1" s="212"/>
      <c r="C1" s="212"/>
      <c r="D1" s="212"/>
      <c r="E1" s="212"/>
      <c r="F1" s="212"/>
      <c r="G1" s="212"/>
      <c r="H1" s="212"/>
      <c r="I1" s="212"/>
    </row>
    <row r="3" spans="1:12" s="114" customFormat="1" ht="34">
      <c r="A3" s="106" t="s">
        <v>642</v>
      </c>
      <c r="B3" s="106" t="s">
        <v>643</v>
      </c>
      <c r="C3" s="84" t="s">
        <v>779</v>
      </c>
      <c r="D3" s="84" t="s">
        <v>780</v>
      </c>
      <c r="E3" s="106" t="s">
        <v>781</v>
      </c>
      <c r="F3" s="84" t="s">
        <v>644</v>
      </c>
      <c r="G3" s="84" t="s">
        <v>640</v>
      </c>
      <c r="H3" s="84" t="s">
        <v>641</v>
      </c>
      <c r="I3" s="106" t="s">
        <v>782</v>
      </c>
      <c r="J3" s="106" t="s">
        <v>783</v>
      </c>
      <c r="K3" s="106" t="s">
        <v>648</v>
      </c>
      <c r="L3" s="113"/>
    </row>
    <row r="4" spans="1:12" ht="130">
      <c r="A4" s="89"/>
      <c r="B4" s="90"/>
      <c r="C4" s="90"/>
      <c r="D4" s="90"/>
      <c r="E4" s="91"/>
      <c r="F4" s="91" t="s">
        <v>650</v>
      </c>
      <c r="G4" s="89" t="s">
        <v>649</v>
      </c>
      <c r="H4" s="90"/>
      <c r="I4" s="91" t="s">
        <v>201</v>
      </c>
      <c r="J4" s="90"/>
      <c r="K4" s="90"/>
    </row>
    <row r="5" spans="1:12" ht="195">
      <c r="A5" s="93" t="s">
        <v>1018</v>
      </c>
      <c r="B5" s="93" t="s">
        <v>1019</v>
      </c>
      <c r="C5" s="93" t="s">
        <v>1020</v>
      </c>
      <c r="D5" s="93" t="s">
        <v>1021</v>
      </c>
      <c r="E5" s="93" t="s">
        <v>1022</v>
      </c>
      <c r="F5" s="93" t="s">
        <v>205</v>
      </c>
      <c r="G5" s="93" t="s">
        <v>891</v>
      </c>
      <c r="H5" s="93" t="s">
        <v>1023</v>
      </c>
      <c r="I5" s="93" t="s">
        <v>206</v>
      </c>
      <c r="J5" s="93" t="s">
        <v>1024</v>
      </c>
      <c r="K5" s="93" t="s">
        <v>1025</v>
      </c>
    </row>
    <row r="6" spans="1:12" ht="75">
      <c r="A6" s="93" t="s">
        <v>1026</v>
      </c>
      <c r="B6" s="93" t="s">
        <v>1027</v>
      </c>
      <c r="C6" s="93">
        <v>2022</v>
      </c>
      <c r="D6" s="93" t="s">
        <v>1028</v>
      </c>
      <c r="E6" s="93" t="s">
        <v>1029</v>
      </c>
      <c r="F6" s="93" t="s">
        <v>157</v>
      </c>
      <c r="G6" s="93" t="s">
        <v>288</v>
      </c>
      <c r="H6" s="93" t="s">
        <v>1030</v>
      </c>
      <c r="I6" s="93" t="s">
        <v>206</v>
      </c>
      <c r="J6" s="93" t="s">
        <v>1031</v>
      </c>
      <c r="K6" s="93" t="s">
        <v>1025</v>
      </c>
    </row>
    <row r="7" spans="1:12" ht="328">
      <c r="A7" s="93" t="s">
        <v>1032</v>
      </c>
      <c r="B7" s="93" t="s">
        <v>1033</v>
      </c>
      <c r="C7" s="93" t="s">
        <v>1020</v>
      </c>
      <c r="D7" s="93" t="s">
        <v>1034</v>
      </c>
      <c r="E7" s="93" t="s">
        <v>1035</v>
      </c>
      <c r="F7" s="93" t="s">
        <v>1036</v>
      </c>
      <c r="G7" s="93" t="s">
        <v>1037</v>
      </c>
      <c r="H7" s="93" t="s">
        <v>1038</v>
      </c>
      <c r="I7" s="93" t="s">
        <v>206</v>
      </c>
      <c r="J7" s="93" t="s">
        <v>1039</v>
      </c>
      <c r="K7" s="93" t="s">
        <v>1025</v>
      </c>
    </row>
    <row r="8" spans="1:12" ht="370">
      <c r="A8" s="93" t="s">
        <v>1040</v>
      </c>
      <c r="B8" s="93" t="s">
        <v>1041</v>
      </c>
      <c r="C8" s="93" t="s">
        <v>1042</v>
      </c>
      <c r="D8" s="93" t="s">
        <v>1034</v>
      </c>
      <c r="E8" s="93" t="s">
        <v>1043</v>
      </c>
      <c r="F8" s="93" t="s">
        <v>205</v>
      </c>
      <c r="G8" s="93" t="s">
        <v>891</v>
      </c>
      <c r="H8" s="93" t="s">
        <v>1044</v>
      </c>
      <c r="I8" s="93" t="s">
        <v>1045</v>
      </c>
      <c r="J8" s="93" t="s">
        <v>1046</v>
      </c>
      <c r="K8" s="93" t="s">
        <v>1025</v>
      </c>
    </row>
    <row r="9" spans="1:12" ht="120">
      <c r="A9" s="93" t="s">
        <v>1047</v>
      </c>
      <c r="B9" s="93" t="s">
        <v>1048</v>
      </c>
      <c r="C9" s="93" t="s">
        <v>928</v>
      </c>
      <c r="D9" s="93" t="s">
        <v>1034</v>
      </c>
      <c r="E9" s="93" t="s">
        <v>1049</v>
      </c>
      <c r="F9" s="93" t="s">
        <v>205</v>
      </c>
      <c r="G9" s="93" t="s">
        <v>1050</v>
      </c>
      <c r="H9" s="93" t="s">
        <v>385</v>
      </c>
      <c r="I9" s="93" t="s">
        <v>1051</v>
      </c>
      <c r="J9" s="93"/>
      <c r="K9" s="93" t="s">
        <v>1025</v>
      </c>
    </row>
    <row r="10" spans="1:12" ht="165">
      <c r="A10" s="93" t="s">
        <v>1052</v>
      </c>
      <c r="B10" s="93" t="s">
        <v>1053</v>
      </c>
      <c r="C10" s="93" t="s">
        <v>928</v>
      </c>
      <c r="D10" s="93" t="s">
        <v>1034</v>
      </c>
      <c r="E10" s="93" t="s">
        <v>1054</v>
      </c>
      <c r="F10" s="93" t="s">
        <v>205</v>
      </c>
      <c r="G10" s="93" t="s">
        <v>1055</v>
      </c>
      <c r="H10" s="93" t="s">
        <v>1056</v>
      </c>
      <c r="I10" s="93" t="s">
        <v>1045</v>
      </c>
      <c r="J10" s="93" t="s">
        <v>1057</v>
      </c>
      <c r="K10" s="93" t="s">
        <v>1025</v>
      </c>
    </row>
    <row r="11" spans="1:12" ht="180">
      <c r="A11" s="93" t="s">
        <v>1058</v>
      </c>
      <c r="B11" s="93" t="s">
        <v>1059</v>
      </c>
      <c r="C11" s="93" t="s">
        <v>873</v>
      </c>
      <c r="D11" s="93" t="s">
        <v>1034</v>
      </c>
      <c r="E11" s="93" t="s">
        <v>1060</v>
      </c>
      <c r="F11" s="93" t="s">
        <v>157</v>
      </c>
      <c r="G11" s="93"/>
      <c r="H11" s="93" t="s">
        <v>925</v>
      </c>
      <c r="I11" s="93" t="s">
        <v>206</v>
      </c>
      <c r="J11" s="93" t="s">
        <v>1061</v>
      </c>
      <c r="K11" s="93" t="s">
        <v>1062</v>
      </c>
    </row>
    <row r="12" spans="1:12" ht="60">
      <c r="A12" s="93" t="s">
        <v>1058</v>
      </c>
      <c r="B12" s="93" t="s">
        <v>1063</v>
      </c>
      <c r="C12" s="93" t="s">
        <v>876</v>
      </c>
      <c r="D12" s="93" t="s">
        <v>1034</v>
      </c>
      <c r="E12" s="93" t="s">
        <v>1064</v>
      </c>
      <c r="F12" s="93" t="s">
        <v>1036</v>
      </c>
      <c r="G12" s="93"/>
      <c r="H12" s="93" t="s">
        <v>1065</v>
      </c>
      <c r="I12" s="93" t="s">
        <v>1045</v>
      </c>
      <c r="J12" s="93" t="s">
        <v>1066</v>
      </c>
      <c r="K12" s="93" t="s">
        <v>1062</v>
      </c>
    </row>
    <row r="13" spans="1:12" ht="195">
      <c r="A13" s="93" t="s">
        <v>1058</v>
      </c>
      <c r="B13" s="93" t="s">
        <v>1067</v>
      </c>
      <c r="C13" s="93" t="s">
        <v>879</v>
      </c>
      <c r="D13" s="93" t="s">
        <v>1034</v>
      </c>
      <c r="E13" s="93" t="s">
        <v>1068</v>
      </c>
      <c r="F13" s="93" t="s">
        <v>1036</v>
      </c>
      <c r="G13" s="93"/>
      <c r="H13" s="93" t="s">
        <v>1069</v>
      </c>
      <c r="I13" s="93" t="s">
        <v>1045</v>
      </c>
      <c r="J13" s="93" t="s">
        <v>1070</v>
      </c>
      <c r="K13" s="93" t="s">
        <v>1071</v>
      </c>
    </row>
    <row r="14" spans="1:12" ht="165">
      <c r="A14" s="93" t="s">
        <v>1058</v>
      </c>
      <c r="B14" s="93" t="s">
        <v>1072</v>
      </c>
      <c r="C14" s="93" t="s">
        <v>882</v>
      </c>
      <c r="D14" s="93" t="s">
        <v>1034</v>
      </c>
      <c r="E14" s="93" t="s">
        <v>1073</v>
      </c>
      <c r="F14" s="93" t="s">
        <v>205</v>
      </c>
      <c r="G14" s="93"/>
      <c r="H14" s="93" t="s">
        <v>1074</v>
      </c>
      <c r="I14" s="93" t="s">
        <v>206</v>
      </c>
      <c r="J14" s="93" t="s">
        <v>1075</v>
      </c>
      <c r="K14" s="93" t="s">
        <v>1071</v>
      </c>
    </row>
    <row r="15" spans="1:12" ht="150">
      <c r="A15" s="93" t="s">
        <v>1058</v>
      </c>
      <c r="B15" s="93" t="s">
        <v>1076</v>
      </c>
      <c r="C15" s="93" t="s">
        <v>885</v>
      </c>
      <c r="D15" s="93" t="s">
        <v>1034</v>
      </c>
      <c r="E15" s="93" t="s">
        <v>1077</v>
      </c>
      <c r="F15" s="93" t="s">
        <v>205</v>
      </c>
      <c r="G15" s="93"/>
      <c r="H15" s="93" t="s">
        <v>1078</v>
      </c>
      <c r="I15" s="93" t="s">
        <v>206</v>
      </c>
      <c r="J15" s="93" t="s">
        <v>1079</v>
      </c>
      <c r="K15" s="93" t="s">
        <v>1080</v>
      </c>
    </row>
    <row r="16" spans="1:12" ht="147" customHeight="1">
      <c r="A16" s="93" t="s">
        <v>1058</v>
      </c>
      <c r="B16" s="93" t="s">
        <v>1081</v>
      </c>
      <c r="C16" s="93" t="s">
        <v>888</v>
      </c>
      <c r="D16" s="93" t="s">
        <v>1034</v>
      </c>
      <c r="E16" s="93" t="s">
        <v>1082</v>
      </c>
      <c r="F16" s="93" t="s">
        <v>1036</v>
      </c>
      <c r="G16" s="93"/>
      <c r="H16" s="93" t="s">
        <v>1083</v>
      </c>
      <c r="I16" s="93" t="s">
        <v>206</v>
      </c>
      <c r="J16" s="93" t="s">
        <v>1084</v>
      </c>
      <c r="K16" s="93" t="s">
        <v>1080</v>
      </c>
    </row>
    <row r="17" spans="1:11" ht="160.5" customHeight="1">
      <c r="A17" s="93" t="s">
        <v>1085</v>
      </c>
      <c r="B17" s="93" t="s">
        <v>541</v>
      </c>
      <c r="C17" s="93" t="s">
        <v>1086</v>
      </c>
      <c r="D17" s="93"/>
      <c r="E17" s="93" t="s">
        <v>1082</v>
      </c>
      <c r="F17" s="93" t="s">
        <v>1036</v>
      </c>
      <c r="G17" s="93" t="s">
        <v>1083</v>
      </c>
      <c r="H17" s="93" t="s">
        <v>1087</v>
      </c>
      <c r="I17" s="93" t="s">
        <v>1045</v>
      </c>
      <c r="J17" s="93" t="s">
        <v>544</v>
      </c>
      <c r="K17" s="93" t="s">
        <v>1080</v>
      </c>
    </row>
    <row r="18" spans="1:11" ht="328">
      <c r="A18" s="93" t="s">
        <v>1088</v>
      </c>
      <c r="B18" s="93" t="s">
        <v>559</v>
      </c>
      <c r="C18" s="93" t="s">
        <v>1089</v>
      </c>
      <c r="D18" s="93" t="s">
        <v>1034</v>
      </c>
      <c r="E18" s="93" t="s">
        <v>1090</v>
      </c>
      <c r="F18" s="93" t="s">
        <v>1036</v>
      </c>
      <c r="G18" s="93" t="s">
        <v>1083</v>
      </c>
      <c r="H18" s="93" t="s">
        <v>1091</v>
      </c>
      <c r="I18" s="93" t="s">
        <v>1045</v>
      </c>
      <c r="J18" s="93" t="s">
        <v>560</v>
      </c>
      <c r="K18" s="93" t="s">
        <v>1080</v>
      </c>
    </row>
    <row r="19" spans="1:11" ht="370">
      <c r="A19" s="93" t="s">
        <v>1092</v>
      </c>
      <c r="B19" s="93" t="s">
        <v>572</v>
      </c>
      <c r="C19" s="93" t="s">
        <v>1089</v>
      </c>
      <c r="D19" s="93" t="s">
        <v>1034</v>
      </c>
      <c r="E19" s="93" t="s">
        <v>1093</v>
      </c>
      <c r="F19" s="93" t="s">
        <v>1036</v>
      </c>
      <c r="G19" s="93" t="s">
        <v>1083</v>
      </c>
      <c r="H19" s="93" t="s">
        <v>1091</v>
      </c>
      <c r="I19" s="93" t="s">
        <v>1045</v>
      </c>
      <c r="J19" s="93" t="s">
        <v>573</v>
      </c>
      <c r="K19" s="93" t="s">
        <v>1080</v>
      </c>
    </row>
    <row r="20" spans="1:11" ht="409.6">
      <c r="A20" s="93" t="s">
        <v>1094</v>
      </c>
      <c r="B20" s="93" t="s">
        <v>1095</v>
      </c>
      <c r="C20" s="93" t="s">
        <v>1086</v>
      </c>
      <c r="D20" s="93" t="s">
        <v>1034</v>
      </c>
      <c r="E20" s="93" t="s">
        <v>1096</v>
      </c>
      <c r="F20" s="93" t="s">
        <v>1036</v>
      </c>
      <c r="G20" s="93" t="s">
        <v>1097</v>
      </c>
      <c r="H20" s="93" t="s">
        <v>1098</v>
      </c>
      <c r="I20" s="93" t="s">
        <v>1045</v>
      </c>
      <c r="J20" s="93" t="s">
        <v>1099</v>
      </c>
      <c r="K20" s="93" t="s">
        <v>1080</v>
      </c>
    </row>
    <row r="21" spans="1:11" ht="165">
      <c r="A21" s="93" t="s">
        <v>1100</v>
      </c>
      <c r="B21" s="93" t="s">
        <v>488</v>
      </c>
      <c r="C21" s="93" t="s">
        <v>1101</v>
      </c>
      <c r="D21" s="93" t="s">
        <v>1034</v>
      </c>
      <c r="E21" s="93" t="s">
        <v>1102</v>
      </c>
      <c r="F21" s="93" t="s">
        <v>205</v>
      </c>
      <c r="G21" s="93" t="s">
        <v>1078</v>
      </c>
      <c r="H21" s="93" t="s">
        <v>1103</v>
      </c>
      <c r="I21" s="93" t="s">
        <v>1045</v>
      </c>
      <c r="J21" s="93" t="s">
        <v>1104</v>
      </c>
      <c r="K21" s="93" t="s">
        <v>1105</v>
      </c>
    </row>
    <row r="22" spans="1:11" ht="105">
      <c r="A22" s="93" t="s">
        <v>1106</v>
      </c>
      <c r="B22" s="93" t="s">
        <v>1107</v>
      </c>
      <c r="C22" s="93" t="s">
        <v>1108</v>
      </c>
      <c r="D22" s="93" t="s">
        <v>1034</v>
      </c>
      <c r="E22" s="93" t="s">
        <v>1109</v>
      </c>
      <c r="F22" s="93" t="s">
        <v>205</v>
      </c>
      <c r="G22" s="93" t="s">
        <v>1078</v>
      </c>
      <c r="H22" s="93" t="s">
        <v>1110</v>
      </c>
      <c r="I22" s="93" t="s">
        <v>1045</v>
      </c>
      <c r="J22" s="93" t="s">
        <v>1111</v>
      </c>
      <c r="K22" s="93" t="s">
        <v>1105</v>
      </c>
    </row>
    <row r="23" spans="1:11" ht="165">
      <c r="A23" s="93" t="s">
        <v>1112</v>
      </c>
      <c r="B23" s="93" t="s">
        <v>562</v>
      </c>
      <c r="C23" s="93" t="s">
        <v>1113</v>
      </c>
      <c r="D23" s="93" t="s">
        <v>1034</v>
      </c>
      <c r="E23" s="93" t="s">
        <v>1114</v>
      </c>
      <c r="F23" s="93" t="s">
        <v>1036</v>
      </c>
      <c r="G23" s="93" t="s">
        <v>1115</v>
      </c>
      <c r="H23" s="93" t="s">
        <v>1116</v>
      </c>
      <c r="I23" s="93" t="s">
        <v>1045</v>
      </c>
      <c r="J23" s="93" t="s">
        <v>1117</v>
      </c>
      <c r="K23" s="93" t="s">
        <v>1105</v>
      </c>
    </row>
    <row r="24" spans="1:11" ht="90">
      <c r="A24" s="93" t="s">
        <v>1118</v>
      </c>
      <c r="B24" s="93" t="s">
        <v>1119</v>
      </c>
      <c r="C24" s="93">
        <v>2023</v>
      </c>
      <c r="D24" s="93" t="s">
        <v>1034</v>
      </c>
      <c r="E24" s="93" t="s">
        <v>1120</v>
      </c>
      <c r="F24" s="93" t="s">
        <v>205</v>
      </c>
      <c r="G24" s="93" t="s">
        <v>1121</v>
      </c>
      <c r="H24" s="93" t="s">
        <v>1122</v>
      </c>
      <c r="I24" s="93" t="s">
        <v>1045</v>
      </c>
      <c r="J24" s="93" t="s">
        <v>1123</v>
      </c>
      <c r="K24" s="93" t="s">
        <v>1124</v>
      </c>
    </row>
    <row r="25" spans="1:11" ht="105">
      <c r="A25" s="93" t="s">
        <v>1125</v>
      </c>
      <c r="B25" s="93" t="s">
        <v>1126</v>
      </c>
      <c r="C25" s="93">
        <v>2023</v>
      </c>
      <c r="D25" s="93" t="s">
        <v>1034</v>
      </c>
      <c r="E25" s="93" t="s">
        <v>1127</v>
      </c>
      <c r="F25" s="93" t="s">
        <v>205</v>
      </c>
      <c r="G25" s="93" t="s">
        <v>1121</v>
      </c>
      <c r="H25" s="93" t="s">
        <v>1128</v>
      </c>
      <c r="I25" s="93" t="s">
        <v>1045</v>
      </c>
      <c r="J25" s="93" t="s">
        <v>1129</v>
      </c>
      <c r="K25" s="93" t="s">
        <v>1124</v>
      </c>
    </row>
    <row r="26" spans="1:11" ht="150">
      <c r="A26" s="93" t="s">
        <v>1130</v>
      </c>
      <c r="B26" s="93" t="s">
        <v>1131</v>
      </c>
      <c r="C26" s="93" t="s">
        <v>1089</v>
      </c>
      <c r="D26" s="93" t="s">
        <v>1034</v>
      </c>
      <c r="E26" s="93" t="s">
        <v>1132</v>
      </c>
      <c r="F26" s="93" t="s">
        <v>205</v>
      </c>
      <c r="G26" s="93" t="s">
        <v>1078</v>
      </c>
      <c r="H26" s="93" t="s">
        <v>1133</v>
      </c>
      <c r="I26" s="93" t="s">
        <v>1045</v>
      </c>
      <c r="J26" s="93" t="s">
        <v>1134</v>
      </c>
      <c r="K26" s="93" t="s">
        <v>1135</v>
      </c>
    </row>
    <row r="27" spans="1:11" ht="75">
      <c r="A27" s="93" t="s">
        <v>1136</v>
      </c>
      <c r="B27" s="93" t="s">
        <v>1137</v>
      </c>
      <c r="C27" s="93" t="s">
        <v>1138</v>
      </c>
      <c r="D27" s="93" t="s">
        <v>1034</v>
      </c>
      <c r="E27" s="93" t="s">
        <v>1139</v>
      </c>
      <c r="F27" s="93" t="s">
        <v>205</v>
      </c>
      <c r="G27" s="93" t="s">
        <v>1078</v>
      </c>
      <c r="H27" s="93" t="s">
        <v>1140</v>
      </c>
      <c r="I27" s="93" t="s">
        <v>206</v>
      </c>
      <c r="J27" s="93" t="s">
        <v>1141</v>
      </c>
      <c r="K27" s="93" t="s">
        <v>1135</v>
      </c>
    </row>
    <row r="28" spans="1:11" ht="90">
      <c r="A28" s="93" t="s">
        <v>1142</v>
      </c>
      <c r="B28" s="93" t="s">
        <v>1143</v>
      </c>
      <c r="C28" s="93" t="s">
        <v>1144</v>
      </c>
      <c r="D28" s="93" t="s">
        <v>1034</v>
      </c>
      <c r="E28" s="93" t="s">
        <v>1139</v>
      </c>
      <c r="F28" s="93" t="s">
        <v>1036</v>
      </c>
      <c r="G28" s="93" t="s">
        <v>1145</v>
      </c>
      <c r="H28" s="93" t="s">
        <v>1146</v>
      </c>
      <c r="I28" s="93" t="s">
        <v>1045</v>
      </c>
      <c r="J28" s="93" t="s">
        <v>1147</v>
      </c>
      <c r="K28" s="93" t="s">
        <v>1135</v>
      </c>
    </row>
    <row r="29" spans="1:11" ht="255">
      <c r="A29" s="93" t="s">
        <v>1148</v>
      </c>
      <c r="B29" s="93" t="s">
        <v>416</v>
      </c>
      <c r="C29" s="93" t="s">
        <v>1149</v>
      </c>
      <c r="D29" s="93" t="s">
        <v>1034</v>
      </c>
      <c r="E29" s="93" t="s">
        <v>1150</v>
      </c>
      <c r="F29" s="93" t="s">
        <v>205</v>
      </c>
      <c r="G29" s="93" t="s">
        <v>1078</v>
      </c>
      <c r="H29" s="93" t="s">
        <v>1151</v>
      </c>
      <c r="I29" s="93" t="s">
        <v>1045</v>
      </c>
      <c r="J29" s="93" t="s">
        <v>1152</v>
      </c>
      <c r="K29" s="93" t="s">
        <v>1135</v>
      </c>
    </row>
    <row r="30" spans="1:11" ht="285">
      <c r="A30" s="93" t="s">
        <v>1153</v>
      </c>
      <c r="B30" s="93" t="s">
        <v>407</v>
      </c>
      <c r="C30" s="93" t="s">
        <v>1154</v>
      </c>
      <c r="D30" s="93" t="s">
        <v>1034</v>
      </c>
      <c r="E30" s="93" t="s">
        <v>1155</v>
      </c>
      <c r="F30" s="93" t="s">
        <v>205</v>
      </c>
      <c r="G30" s="93" t="s">
        <v>1078</v>
      </c>
      <c r="H30" s="93" t="s">
        <v>1151</v>
      </c>
      <c r="I30" s="93" t="s">
        <v>1045</v>
      </c>
      <c r="J30" s="93" t="s">
        <v>409</v>
      </c>
      <c r="K30" s="93" t="s">
        <v>1135</v>
      </c>
    </row>
    <row r="31" spans="1:11" ht="240">
      <c r="A31" s="93" t="s">
        <v>1156</v>
      </c>
      <c r="B31" s="93" t="s">
        <v>1157</v>
      </c>
      <c r="C31" s="93" t="s">
        <v>1158</v>
      </c>
      <c r="D31" s="93" t="s">
        <v>1034</v>
      </c>
      <c r="E31" s="93" t="s">
        <v>1132</v>
      </c>
      <c r="F31" s="93" t="s">
        <v>205</v>
      </c>
      <c r="G31" s="93" t="s">
        <v>1078</v>
      </c>
      <c r="H31" s="93" t="s">
        <v>1159</v>
      </c>
      <c r="I31" s="93" t="s">
        <v>206</v>
      </c>
      <c r="J31" s="93" t="s">
        <v>1160</v>
      </c>
      <c r="K31" s="93" t="s">
        <v>1161</v>
      </c>
    </row>
    <row r="32" spans="1:11" ht="225">
      <c r="A32" s="93" t="s">
        <v>1162</v>
      </c>
      <c r="B32" s="93" t="s">
        <v>1163</v>
      </c>
      <c r="C32" s="93" t="s">
        <v>1164</v>
      </c>
      <c r="D32" s="93" t="s">
        <v>1034</v>
      </c>
      <c r="E32" s="93" t="s">
        <v>1132</v>
      </c>
      <c r="F32" s="93" t="s">
        <v>205</v>
      </c>
      <c r="G32" s="93" t="s">
        <v>1078</v>
      </c>
      <c r="H32" s="93" t="s">
        <v>1165</v>
      </c>
      <c r="I32" s="93" t="s">
        <v>206</v>
      </c>
      <c r="J32" s="93" t="s">
        <v>1166</v>
      </c>
      <c r="K32" s="93" t="s">
        <v>1161</v>
      </c>
    </row>
    <row r="33" spans="1:12" ht="45">
      <c r="A33" s="93" t="s">
        <v>1167</v>
      </c>
      <c r="B33" s="93" t="s">
        <v>1168</v>
      </c>
      <c r="C33" s="93">
        <v>2022</v>
      </c>
      <c r="D33" s="93" t="s">
        <v>1034</v>
      </c>
      <c r="E33" s="93" t="s">
        <v>818</v>
      </c>
      <c r="F33" s="93" t="s">
        <v>157</v>
      </c>
      <c r="G33" s="93" t="s">
        <v>288</v>
      </c>
      <c r="H33" s="93" t="s">
        <v>853</v>
      </c>
      <c r="I33" s="93" t="s">
        <v>206</v>
      </c>
      <c r="J33" s="93" t="s">
        <v>1169</v>
      </c>
      <c r="K33" s="93" t="s">
        <v>790</v>
      </c>
    </row>
    <row r="34" spans="1:12" ht="75">
      <c r="A34" s="93" t="s">
        <v>1170</v>
      </c>
      <c r="B34" s="93" t="s">
        <v>1171</v>
      </c>
      <c r="C34" s="93">
        <v>2022</v>
      </c>
      <c r="D34" s="93" t="s">
        <v>1034</v>
      </c>
      <c r="E34" s="93" t="s">
        <v>818</v>
      </c>
      <c r="F34" s="93" t="s">
        <v>157</v>
      </c>
      <c r="G34" s="93" t="s">
        <v>288</v>
      </c>
      <c r="H34" s="93" t="s">
        <v>848</v>
      </c>
      <c r="I34" s="93" t="s">
        <v>206</v>
      </c>
      <c r="J34" s="93" t="s">
        <v>1172</v>
      </c>
      <c r="K34" s="93" t="s">
        <v>790</v>
      </c>
    </row>
    <row r="35" spans="1:12" ht="60">
      <c r="A35" s="93" t="s">
        <v>1173</v>
      </c>
      <c r="B35" s="93" t="s">
        <v>1174</v>
      </c>
      <c r="C35" s="93">
        <v>2022</v>
      </c>
      <c r="D35" s="93" t="s">
        <v>1034</v>
      </c>
      <c r="E35" s="93" t="s">
        <v>818</v>
      </c>
      <c r="F35" s="93" t="s">
        <v>157</v>
      </c>
      <c r="G35" s="93" t="s">
        <v>288</v>
      </c>
      <c r="H35" s="93" t="s">
        <v>853</v>
      </c>
      <c r="I35" s="93" t="s">
        <v>206</v>
      </c>
      <c r="J35" s="93" t="s">
        <v>1175</v>
      </c>
      <c r="K35" s="93" t="s">
        <v>790</v>
      </c>
    </row>
    <row r="36" spans="1:12" ht="45">
      <c r="A36" s="93" t="s">
        <v>1176</v>
      </c>
      <c r="B36" s="93" t="s">
        <v>1177</v>
      </c>
      <c r="C36" s="93">
        <v>2022</v>
      </c>
      <c r="D36" s="93" t="s">
        <v>1034</v>
      </c>
      <c r="E36" s="93" t="s">
        <v>1178</v>
      </c>
      <c r="F36" s="93" t="s">
        <v>157</v>
      </c>
      <c r="G36" s="93" t="s">
        <v>288</v>
      </c>
      <c r="H36" s="93" t="s">
        <v>1179</v>
      </c>
      <c r="I36" s="93" t="s">
        <v>206</v>
      </c>
      <c r="J36" s="93" t="s">
        <v>1180</v>
      </c>
      <c r="K36" s="93" t="s">
        <v>790</v>
      </c>
    </row>
    <row r="37" spans="1:12" ht="75">
      <c r="A37" s="93" t="s">
        <v>1181</v>
      </c>
      <c r="B37" s="93" t="s">
        <v>1182</v>
      </c>
      <c r="C37" s="93">
        <v>2022</v>
      </c>
      <c r="D37" s="93" t="s">
        <v>1034</v>
      </c>
      <c r="E37" s="93" t="s">
        <v>1178</v>
      </c>
      <c r="F37" s="93" t="s">
        <v>157</v>
      </c>
      <c r="G37" s="93" t="s">
        <v>288</v>
      </c>
      <c r="H37" s="93" t="s">
        <v>1179</v>
      </c>
      <c r="I37" s="93" t="s">
        <v>206</v>
      </c>
      <c r="J37" s="93" t="s">
        <v>1180</v>
      </c>
      <c r="K37" s="93" t="s">
        <v>790</v>
      </c>
    </row>
    <row r="38" spans="1:12" ht="75">
      <c r="A38" s="93" t="s">
        <v>1183</v>
      </c>
      <c r="B38" s="93" t="s">
        <v>1184</v>
      </c>
      <c r="C38" s="93">
        <v>2022</v>
      </c>
      <c r="D38" s="93" t="s">
        <v>1034</v>
      </c>
      <c r="E38" s="93" t="s">
        <v>818</v>
      </c>
      <c r="F38" s="93" t="s">
        <v>157</v>
      </c>
      <c r="G38" s="93" t="s">
        <v>288</v>
      </c>
      <c r="H38" s="93" t="s">
        <v>853</v>
      </c>
      <c r="I38" s="93" t="s">
        <v>206</v>
      </c>
      <c r="J38" s="93" t="s">
        <v>1185</v>
      </c>
      <c r="K38" s="93" t="s">
        <v>790</v>
      </c>
    </row>
    <row r="39" spans="1:12" ht="45">
      <c r="A39" s="93" t="s">
        <v>1186</v>
      </c>
      <c r="B39" s="93" t="s">
        <v>1187</v>
      </c>
      <c r="C39" s="93">
        <v>2022</v>
      </c>
      <c r="D39" s="93" t="s">
        <v>1034</v>
      </c>
      <c r="E39" s="93" t="s">
        <v>1188</v>
      </c>
      <c r="F39" s="93" t="s">
        <v>157</v>
      </c>
      <c r="G39" s="93" t="s">
        <v>288</v>
      </c>
      <c r="H39" s="93" t="s">
        <v>853</v>
      </c>
      <c r="I39" s="93" t="s">
        <v>206</v>
      </c>
      <c r="J39" s="93" t="s">
        <v>1189</v>
      </c>
      <c r="K39" s="93" t="s">
        <v>790</v>
      </c>
    </row>
    <row r="40" spans="1:12" ht="45">
      <c r="A40" s="93" t="s">
        <v>1190</v>
      </c>
      <c r="B40" s="93" t="s">
        <v>1191</v>
      </c>
      <c r="C40" s="93">
        <v>2022</v>
      </c>
      <c r="D40" s="93" t="s">
        <v>1034</v>
      </c>
      <c r="E40" s="93" t="s">
        <v>818</v>
      </c>
      <c r="F40" s="93" t="s">
        <v>157</v>
      </c>
      <c r="G40" s="93" t="s">
        <v>288</v>
      </c>
      <c r="H40" s="93" t="s">
        <v>1192</v>
      </c>
      <c r="I40" s="93" t="s">
        <v>206</v>
      </c>
      <c r="J40" s="93" t="s">
        <v>1193</v>
      </c>
      <c r="K40" s="93" t="s">
        <v>790</v>
      </c>
    </row>
    <row r="41" spans="1:12" ht="45">
      <c r="A41" s="93" t="s">
        <v>1194</v>
      </c>
      <c r="B41" s="93" t="s">
        <v>1195</v>
      </c>
      <c r="C41" s="93">
        <v>2022</v>
      </c>
      <c r="D41" s="93" t="s">
        <v>1034</v>
      </c>
      <c r="E41" s="93" t="s">
        <v>818</v>
      </c>
      <c r="F41" s="93" t="s">
        <v>157</v>
      </c>
      <c r="G41" s="93" t="s">
        <v>288</v>
      </c>
      <c r="H41" s="93" t="s">
        <v>853</v>
      </c>
      <c r="I41" s="93" t="s">
        <v>206</v>
      </c>
      <c r="J41" s="93" t="s">
        <v>1196</v>
      </c>
      <c r="K41" s="93" t="s">
        <v>790</v>
      </c>
    </row>
    <row r="42" spans="1:12" ht="45">
      <c r="A42" s="93" t="s">
        <v>1197</v>
      </c>
      <c r="B42" s="93" t="s">
        <v>1198</v>
      </c>
      <c r="C42" s="93">
        <v>2022</v>
      </c>
      <c r="D42" s="93" t="s">
        <v>1034</v>
      </c>
      <c r="E42" s="93" t="s">
        <v>1188</v>
      </c>
      <c r="F42" s="93" t="s">
        <v>1036</v>
      </c>
      <c r="G42" s="93" t="s">
        <v>288</v>
      </c>
      <c r="H42" s="93" t="s">
        <v>1192</v>
      </c>
      <c r="I42" s="93" t="s">
        <v>206</v>
      </c>
      <c r="J42" s="93" t="s">
        <v>1199</v>
      </c>
      <c r="K42" s="93" t="s">
        <v>790</v>
      </c>
    </row>
    <row r="43" spans="1:12" ht="120">
      <c r="A43" s="93" t="s">
        <v>1200</v>
      </c>
      <c r="B43" s="93" t="s">
        <v>1201</v>
      </c>
      <c r="C43" s="93" t="s">
        <v>1089</v>
      </c>
      <c r="D43" s="93" t="s">
        <v>1034</v>
      </c>
      <c r="E43" s="93" t="s">
        <v>1202</v>
      </c>
      <c r="F43" s="93" t="s">
        <v>205</v>
      </c>
      <c r="G43" s="93" t="s">
        <v>891</v>
      </c>
      <c r="H43" s="93" t="s">
        <v>1165</v>
      </c>
      <c r="I43" s="93" t="s">
        <v>1045</v>
      </c>
      <c r="J43" s="93" t="s">
        <v>1203</v>
      </c>
      <c r="K43" s="93" t="s">
        <v>1204</v>
      </c>
      <c r="L43" s="115"/>
    </row>
    <row r="44" spans="1:12" ht="111" customHeight="1">
      <c r="A44" s="93" t="s">
        <v>1205</v>
      </c>
      <c r="B44" s="93" t="s">
        <v>1206</v>
      </c>
      <c r="C44" s="93" t="s">
        <v>1207</v>
      </c>
      <c r="D44" s="93" t="s">
        <v>1034</v>
      </c>
      <c r="E44" s="93" t="s">
        <v>1202</v>
      </c>
      <c r="F44" s="93" t="s">
        <v>205</v>
      </c>
      <c r="G44" s="93" t="s">
        <v>891</v>
      </c>
      <c r="H44" s="93" t="s">
        <v>1165</v>
      </c>
      <c r="I44" s="93" t="s">
        <v>1045</v>
      </c>
      <c r="J44" s="93" t="s">
        <v>1208</v>
      </c>
      <c r="K44" s="93" t="s">
        <v>1204</v>
      </c>
    </row>
    <row r="45" spans="1:12" ht="195">
      <c r="A45" s="93" t="s">
        <v>1209</v>
      </c>
      <c r="B45" s="93" t="s">
        <v>1210</v>
      </c>
      <c r="C45" s="93" t="s">
        <v>1211</v>
      </c>
      <c r="D45" s="93" t="s">
        <v>1034</v>
      </c>
      <c r="E45" s="93" t="s">
        <v>1202</v>
      </c>
      <c r="F45" s="93" t="s">
        <v>205</v>
      </c>
      <c r="G45" s="93" t="s">
        <v>891</v>
      </c>
      <c r="H45" s="93" t="s">
        <v>1133</v>
      </c>
      <c r="I45" s="93" t="s">
        <v>1045</v>
      </c>
      <c r="J45" s="93" t="s">
        <v>1212</v>
      </c>
      <c r="K45" s="93" t="s">
        <v>1204</v>
      </c>
    </row>
    <row r="46" spans="1:12" ht="135">
      <c r="A46" s="93" t="s">
        <v>1213</v>
      </c>
      <c r="B46" s="93" t="s">
        <v>1214</v>
      </c>
      <c r="C46" s="93" t="s">
        <v>1215</v>
      </c>
      <c r="D46" s="93" t="s">
        <v>1034</v>
      </c>
      <c r="E46" s="93" t="s">
        <v>1202</v>
      </c>
      <c r="F46" s="93" t="s">
        <v>205</v>
      </c>
      <c r="G46" s="93" t="s">
        <v>891</v>
      </c>
      <c r="H46" s="93" t="s">
        <v>1165</v>
      </c>
      <c r="I46" s="93" t="s">
        <v>1045</v>
      </c>
      <c r="J46" s="93" t="s">
        <v>1216</v>
      </c>
      <c r="K46" s="93" t="s">
        <v>1204</v>
      </c>
    </row>
    <row r="47" spans="1:12" ht="90">
      <c r="A47" s="93" t="s">
        <v>1217</v>
      </c>
      <c r="B47" s="93" t="s">
        <v>1218</v>
      </c>
      <c r="C47" s="93" t="s">
        <v>1219</v>
      </c>
      <c r="D47" s="93" t="s">
        <v>1034</v>
      </c>
      <c r="E47" s="93" t="s">
        <v>1202</v>
      </c>
      <c r="F47" s="93" t="s">
        <v>205</v>
      </c>
      <c r="G47" s="93" t="s">
        <v>891</v>
      </c>
      <c r="H47" s="93" t="s">
        <v>1165</v>
      </c>
      <c r="I47" s="93" t="s">
        <v>1045</v>
      </c>
      <c r="J47" s="93" t="s">
        <v>1220</v>
      </c>
      <c r="K47" s="93" t="s">
        <v>1204</v>
      </c>
    </row>
    <row r="48" spans="1:12" ht="90">
      <c r="A48" s="93" t="s">
        <v>1221</v>
      </c>
      <c r="B48" s="93" t="s">
        <v>1222</v>
      </c>
      <c r="C48" s="93" t="s">
        <v>1149</v>
      </c>
      <c r="D48" s="93" t="s">
        <v>1034</v>
      </c>
      <c r="E48" s="93" t="s">
        <v>1223</v>
      </c>
      <c r="F48" s="93" t="s">
        <v>1036</v>
      </c>
      <c r="G48" s="93" t="s">
        <v>891</v>
      </c>
      <c r="H48" s="93" t="s">
        <v>1224</v>
      </c>
      <c r="I48" s="93" t="s">
        <v>1045</v>
      </c>
      <c r="J48" s="93" t="s">
        <v>1225</v>
      </c>
      <c r="K48" s="93" t="s">
        <v>1204</v>
      </c>
    </row>
    <row r="49" spans="1:12" ht="75">
      <c r="A49" s="93" t="s">
        <v>1226</v>
      </c>
      <c r="B49" s="93" t="s">
        <v>1227</v>
      </c>
      <c r="C49" s="93" t="s">
        <v>1149</v>
      </c>
      <c r="D49" s="93" t="s">
        <v>1034</v>
      </c>
      <c r="E49" s="93" t="s">
        <v>1223</v>
      </c>
      <c r="F49" s="93" t="s">
        <v>1036</v>
      </c>
      <c r="G49" s="93" t="s">
        <v>1228</v>
      </c>
      <c r="H49" s="93" t="s">
        <v>1229</v>
      </c>
      <c r="I49" s="93" t="s">
        <v>1045</v>
      </c>
      <c r="J49" s="93" t="s">
        <v>1230</v>
      </c>
      <c r="K49" s="93" t="s">
        <v>1204</v>
      </c>
    </row>
    <row r="50" spans="1:12" ht="135">
      <c r="A50" s="93" t="s">
        <v>1231</v>
      </c>
      <c r="B50" s="93" t="s">
        <v>1232</v>
      </c>
      <c r="C50" s="93"/>
      <c r="D50" s="93" t="s">
        <v>1034</v>
      </c>
      <c r="E50" s="93" t="s">
        <v>1233</v>
      </c>
      <c r="F50" s="93" t="s">
        <v>1036</v>
      </c>
      <c r="G50" s="93" t="s">
        <v>1234</v>
      </c>
      <c r="H50" s="93" t="s">
        <v>1235</v>
      </c>
      <c r="I50" s="93" t="s">
        <v>1045</v>
      </c>
      <c r="J50" s="93" t="s">
        <v>1236</v>
      </c>
      <c r="K50" s="93" t="s">
        <v>1204</v>
      </c>
    </row>
    <row r="51" spans="1:12" ht="90">
      <c r="A51" s="93" t="s">
        <v>1237</v>
      </c>
      <c r="B51" s="93" t="s">
        <v>1238</v>
      </c>
      <c r="C51" s="93" t="s">
        <v>1239</v>
      </c>
      <c r="D51" s="93" t="s">
        <v>1034</v>
      </c>
      <c r="E51" s="93" t="s">
        <v>1240</v>
      </c>
      <c r="F51" s="93" t="s">
        <v>1036</v>
      </c>
      <c r="G51" s="93" t="s">
        <v>1234</v>
      </c>
      <c r="H51" s="93" t="s">
        <v>1241</v>
      </c>
      <c r="I51" s="93" t="s">
        <v>1045</v>
      </c>
      <c r="J51" s="93" t="s">
        <v>1242</v>
      </c>
      <c r="K51" s="93" t="s">
        <v>1204</v>
      </c>
    </row>
    <row r="52" spans="1:12" ht="120">
      <c r="A52" s="93" t="s">
        <v>1243</v>
      </c>
      <c r="B52" s="93" t="s">
        <v>1244</v>
      </c>
      <c r="C52" s="93" t="s">
        <v>1219</v>
      </c>
      <c r="D52" s="93" t="s">
        <v>1034</v>
      </c>
      <c r="E52" s="93" t="s">
        <v>1245</v>
      </c>
      <c r="F52" s="93" t="s">
        <v>205</v>
      </c>
      <c r="G52" s="93" t="s">
        <v>891</v>
      </c>
      <c r="H52" s="93" t="s">
        <v>1246</v>
      </c>
      <c r="I52" s="93" t="s">
        <v>1045</v>
      </c>
      <c r="J52" s="93" t="s">
        <v>1247</v>
      </c>
      <c r="K52" s="93" t="s">
        <v>1204</v>
      </c>
    </row>
    <row r="53" spans="1:12" ht="255">
      <c r="A53" s="93" t="s">
        <v>1248</v>
      </c>
      <c r="B53" s="93" t="s">
        <v>1249</v>
      </c>
      <c r="C53" s="93" t="s">
        <v>1086</v>
      </c>
      <c r="D53" s="93" t="s">
        <v>1034</v>
      </c>
      <c r="E53" s="93" t="s">
        <v>1250</v>
      </c>
      <c r="F53" s="93" t="s">
        <v>205</v>
      </c>
      <c r="G53" s="93" t="s">
        <v>891</v>
      </c>
      <c r="H53" s="93" t="s">
        <v>1251</v>
      </c>
      <c r="I53" s="93" t="s">
        <v>1045</v>
      </c>
      <c r="J53" s="93" t="s">
        <v>1252</v>
      </c>
      <c r="K53" s="93" t="s">
        <v>1204</v>
      </c>
    </row>
    <row r="54" spans="1:12" ht="30">
      <c r="A54" s="93" t="s">
        <v>1253</v>
      </c>
      <c r="B54" s="93"/>
      <c r="C54" s="93" t="s">
        <v>1254</v>
      </c>
      <c r="D54" s="93" t="s">
        <v>1034</v>
      </c>
      <c r="E54" s="93" t="s">
        <v>1223</v>
      </c>
      <c r="F54" s="93" t="s">
        <v>205</v>
      </c>
      <c r="G54" s="93" t="s">
        <v>891</v>
      </c>
      <c r="H54" s="93" t="s">
        <v>1255</v>
      </c>
      <c r="I54" s="93" t="s">
        <v>206</v>
      </c>
      <c r="J54" s="93"/>
      <c r="K54" s="93" t="s">
        <v>1204</v>
      </c>
    </row>
    <row r="55" spans="1:12" ht="150">
      <c r="A55" s="93" t="s">
        <v>1256</v>
      </c>
      <c r="B55" s="93" t="s">
        <v>1257</v>
      </c>
      <c r="C55" s="93" t="s">
        <v>381</v>
      </c>
      <c r="D55" s="93" t="s">
        <v>1034</v>
      </c>
      <c r="E55" s="93" t="s">
        <v>1258</v>
      </c>
      <c r="F55" s="93" t="s">
        <v>157</v>
      </c>
      <c r="G55" s="93" t="s">
        <v>1145</v>
      </c>
      <c r="H55" s="93" t="s">
        <v>1224</v>
      </c>
      <c r="I55" s="93" t="s">
        <v>1259</v>
      </c>
      <c r="J55" s="93" t="s">
        <v>1260</v>
      </c>
      <c r="K55" s="93" t="s">
        <v>1261</v>
      </c>
    </row>
    <row r="56" spans="1:12" ht="120">
      <c r="A56" s="93" t="s">
        <v>1262</v>
      </c>
      <c r="B56" s="93" t="s">
        <v>1263</v>
      </c>
      <c r="C56" s="93" t="s">
        <v>1264</v>
      </c>
      <c r="D56" s="93" t="s">
        <v>1034</v>
      </c>
      <c r="E56" s="93" t="s">
        <v>1265</v>
      </c>
      <c r="F56" s="93" t="s">
        <v>157</v>
      </c>
      <c r="G56" s="93" t="s">
        <v>1266</v>
      </c>
      <c r="H56" s="93" t="s">
        <v>1267</v>
      </c>
      <c r="I56" s="93" t="s">
        <v>206</v>
      </c>
      <c r="J56" s="93" t="s">
        <v>1268</v>
      </c>
      <c r="K56" s="93" t="s">
        <v>1261</v>
      </c>
    </row>
    <row r="57" spans="1:12" ht="120">
      <c r="A57" s="93" t="s">
        <v>1269</v>
      </c>
      <c r="B57" s="93" t="s">
        <v>1263</v>
      </c>
      <c r="C57" s="93" t="s">
        <v>1264</v>
      </c>
      <c r="D57" s="93" t="s">
        <v>1034</v>
      </c>
      <c r="E57" s="93" t="s">
        <v>1270</v>
      </c>
      <c r="F57" s="93" t="s">
        <v>157</v>
      </c>
      <c r="G57" s="93" t="s">
        <v>1266</v>
      </c>
      <c r="H57" s="93" t="s">
        <v>1267</v>
      </c>
      <c r="I57" s="93" t="s">
        <v>206</v>
      </c>
      <c r="J57" s="93" t="s">
        <v>1268</v>
      </c>
      <c r="K57" s="93" t="s">
        <v>1261</v>
      </c>
    </row>
    <row r="58" spans="1:12" ht="105">
      <c r="A58" s="93" t="s">
        <v>1271</v>
      </c>
      <c r="B58" s="93" t="s">
        <v>1263</v>
      </c>
      <c r="C58" s="93" t="s">
        <v>787</v>
      </c>
      <c r="D58" s="93" t="s">
        <v>1034</v>
      </c>
      <c r="E58" s="93" t="s">
        <v>1272</v>
      </c>
      <c r="F58" s="93" t="s">
        <v>157</v>
      </c>
      <c r="G58" s="93" t="s">
        <v>1266</v>
      </c>
      <c r="H58" s="93" t="s">
        <v>1273</v>
      </c>
      <c r="I58" s="93" t="s">
        <v>206</v>
      </c>
      <c r="J58" s="93" t="s">
        <v>1274</v>
      </c>
      <c r="K58" s="93" t="s">
        <v>1261</v>
      </c>
    </row>
    <row r="59" spans="1:12" ht="105">
      <c r="A59" s="93" t="s">
        <v>1275</v>
      </c>
      <c r="B59" s="93" t="s">
        <v>1263</v>
      </c>
      <c r="C59" s="93" t="s">
        <v>1276</v>
      </c>
      <c r="D59" s="93" t="s">
        <v>1034</v>
      </c>
      <c r="E59" s="93" t="s">
        <v>1277</v>
      </c>
      <c r="F59" s="93" t="s">
        <v>157</v>
      </c>
      <c r="G59" s="93" t="s">
        <v>1266</v>
      </c>
      <c r="H59" s="93" t="s">
        <v>1278</v>
      </c>
      <c r="I59" s="93" t="s">
        <v>206</v>
      </c>
      <c r="J59" s="93" t="s">
        <v>1279</v>
      </c>
      <c r="K59" s="93" t="s">
        <v>1261</v>
      </c>
    </row>
    <row r="60" spans="1:12" ht="225">
      <c r="A60" s="93" t="s">
        <v>1280</v>
      </c>
      <c r="B60" s="93" t="s">
        <v>1281</v>
      </c>
      <c r="C60" s="93" t="s">
        <v>928</v>
      </c>
      <c r="D60" s="93" t="s">
        <v>1034</v>
      </c>
      <c r="E60" s="93" t="s">
        <v>1282</v>
      </c>
      <c r="F60" s="93" t="s">
        <v>205</v>
      </c>
      <c r="G60" s="93" t="s">
        <v>1283</v>
      </c>
      <c r="H60" s="93" t="s">
        <v>1284</v>
      </c>
      <c r="I60" s="93" t="s">
        <v>1045</v>
      </c>
      <c r="J60" s="93" t="s">
        <v>1285</v>
      </c>
      <c r="K60" s="93" t="s">
        <v>1286</v>
      </c>
    </row>
    <row r="61" spans="1:12" ht="180">
      <c r="A61" s="93" t="s">
        <v>1287</v>
      </c>
      <c r="B61" s="93" t="s">
        <v>1288</v>
      </c>
      <c r="C61" s="93" t="s">
        <v>1289</v>
      </c>
      <c r="D61" s="93" t="s">
        <v>1034</v>
      </c>
      <c r="E61" s="93" t="s">
        <v>1282</v>
      </c>
      <c r="F61" s="93" t="s">
        <v>205</v>
      </c>
      <c r="G61" s="93" t="s">
        <v>1283</v>
      </c>
      <c r="H61" s="93" t="s">
        <v>1290</v>
      </c>
      <c r="I61" s="93" t="s">
        <v>1045</v>
      </c>
      <c r="J61" s="93" t="s">
        <v>1291</v>
      </c>
      <c r="K61" s="93" t="s">
        <v>1286</v>
      </c>
    </row>
    <row r="62" spans="1:12" ht="150">
      <c r="A62" s="93" t="s">
        <v>1292</v>
      </c>
      <c r="B62" s="93" t="s">
        <v>1293</v>
      </c>
      <c r="C62" s="93" t="s">
        <v>1108</v>
      </c>
      <c r="D62" s="93" t="s">
        <v>1294</v>
      </c>
      <c r="E62" s="93" t="s">
        <v>1282</v>
      </c>
      <c r="F62" s="93" t="s">
        <v>205</v>
      </c>
      <c r="G62" s="93" t="s">
        <v>1283</v>
      </c>
      <c r="H62" s="93" t="s">
        <v>1290</v>
      </c>
      <c r="I62" s="93" t="s">
        <v>1045</v>
      </c>
      <c r="J62" s="93" t="s">
        <v>1295</v>
      </c>
      <c r="K62" s="93" t="s">
        <v>1286</v>
      </c>
    </row>
    <row r="63" spans="1:12" ht="314">
      <c r="A63" s="93" t="s">
        <v>1296</v>
      </c>
      <c r="B63" s="93" t="s">
        <v>1297</v>
      </c>
      <c r="C63" s="93" t="s">
        <v>1108</v>
      </c>
      <c r="D63" s="93" t="s">
        <v>1034</v>
      </c>
      <c r="E63" s="93" t="s">
        <v>1298</v>
      </c>
      <c r="F63" s="93" t="s">
        <v>205</v>
      </c>
      <c r="G63" s="93" t="s">
        <v>1299</v>
      </c>
      <c r="H63" s="93" t="s">
        <v>1300</v>
      </c>
      <c r="I63" s="93" t="s">
        <v>1045</v>
      </c>
      <c r="J63" s="93" t="s">
        <v>633</v>
      </c>
      <c r="K63" s="93"/>
      <c r="L63" s="115"/>
    </row>
    <row r="64" spans="1:12" ht="203.25" customHeight="1">
      <c r="A64" s="93" t="s">
        <v>1301</v>
      </c>
      <c r="B64" s="93" t="s">
        <v>1302</v>
      </c>
      <c r="C64" s="93" t="s">
        <v>1303</v>
      </c>
      <c r="D64" s="93" t="s">
        <v>1034</v>
      </c>
      <c r="E64" s="93" t="s">
        <v>1298</v>
      </c>
      <c r="F64" s="93" t="s">
        <v>205</v>
      </c>
      <c r="G64" s="93" t="s">
        <v>1266</v>
      </c>
      <c r="H64" s="93" t="s">
        <v>827</v>
      </c>
      <c r="I64" s="93" t="s">
        <v>1045</v>
      </c>
      <c r="J64" s="93" t="s">
        <v>1304</v>
      </c>
      <c r="K64" s="93"/>
    </row>
    <row r="65" spans="1:11" ht="45">
      <c r="A65" s="93" t="s">
        <v>1305</v>
      </c>
      <c r="B65" s="93" t="s">
        <v>1306</v>
      </c>
      <c r="C65" s="93" t="s">
        <v>1303</v>
      </c>
      <c r="D65" s="93" t="s">
        <v>1034</v>
      </c>
      <c r="E65" s="93" t="s">
        <v>1307</v>
      </c>
      <c r="F65" s="93" t="s">
        <v>205</v>
      </c>
      <c r="G65" s="93" t="s">
        <v>1308</v>
      </c>
      <c r="H65" s="93" t="s">
        <v>1309</v>
      </c>
      <c r="I65" s="93" t="s">
        <v>206</v>
      </c>
      <c r="J65" s="93" t="s">
        <v>1310</v>
      </c>
      <c r="K65" s="93"/>
    </row>
    <row r="66" spans="1:11" ht="180">
      <c r="A66" s="93" t="s">
        <v>1148</v>
      </c>
      <c r="B66" s="93" t="s">
        <v>1311</v>
      </c>
      <c r="C66" s="93" t="s">
        <v>1149</v>
      </c>
      <c r="D66" s="93" t="s">
        <v>1034</v>
      </c>
      <c r="E66" s="93" t="s">
        <v>1150</v>
      </c>
      <c r="F66" s="93" t="s">
        <v>205</v>
      </c>
      <c r="G66" s="93" t="s">
        <v>1078</v>
      </c>
      <c r="H66" s="93" t="s">
        <v>1312</v>
      </c>
      <c r="I66" s="93" t="s">
        <v>1045</v>
      </c>
      <c r="J66" s="93" t="s">
        <v>1313</v>
      </c>
      <c r="K66" s="93" t="s">
        <v>1135</v>
      </c>
    </row>
    <row r="67" spans="1:11" ht="120">
      <c r="A67" s="93" t="s">
        <v>1314</v>
      </c>
      <c r="B67" s="93" t="s">
        <v>1315</v>
      </c>
      <c r="C67" s="93" t="s">
        <v>928</v>
      </c>
      <c r="D67" s="93" t="s">
        <v>1034</v>
      </c>
      <c r="E67" s="93" t="s">
        <v>1316</v>
      </c>
      <c r="F67" s="93" t="s">
        <v>205</v>
      </c>
      <c r="G67" s="93" t="s">
        <v>1317</v>
      </c>
      <c r="H67" s="93" t="s">
        <v>1318</v>
      </c>
      <c r="I67" s="93" t="s">
        <v>1045</v>
      </c>
      <c r="J67" s="93" t="s">
        <v>1319</v>
      </c>
      <c r="K67" s="93"/>
    </row>
    <row r="68" spans="1:11" ht="105">
      <c r="A68" s="93" t="s">
        <v>376</v>
      </c>
      <c r="B68" s="93" t="s">
        <v>1320</v>
      </c>
      <c r="C68" s="93" t="s">
        <v>794</v>
      </c>
      <c r="D68" s="93" t="s">
        <v>1034</v>
      </c>
      <c r="E68" s="93" t="s">
        <v>1316</v>
      </c>
      <c r="F68" s="93" t="s">
        <v>205</v>
      </c>
      <c r="G68" s="93" t="s">
        <v>1321</v>
      </c>
      <c r="H68" s="93" t="s">
        <v>1322</v>
      </c>
      <c r="I68" s="93" t="s">
        <v>1045</v>
      </c>
      <c r="J68" s="93" t="s">
        <v>1323</v>
      </c>
      <c r="K68" s="93"/>
    </row>
    <row r="69" spans="1:11" ht="196.5" customHeight="1">
      <c r="A69" s="93" t="s">
        <v>1324</v>
      </c>
      <c r="B69" s="93" t="s">
        <v>1325</v>
      </c>
      <c r="C69" s="93" t="s">
        <v>1326</v>
      </c>
      <c r="D69" s="93" t="s">
        <v>1034</v>
      </c>
      <c r="E69" s="93" t="s">
        <v>1316</v>
      </c>
      <c r="F69" s="93" t="s">
        <v>205</v>
      </c>
      <c r="G69" s="93" t="s">
        <v>1266</v>
      </c>
      <c r="H69" s="93" t="s">
        <v>1327</v>
      </c>
      <c r="I69" s="93" t="s">
        <v>1045</v>
      </c>
      <c r="J69" s="93" t="s">
        <v>1328</v>
      </c>
      <c r="K69" s="93"/>
    </row>
    <row r="70" spans="1:11" ht="180">
      <c r="A70" s="93" t="s">
        <v>1329</v>
      </c>
      <c r="B70" s="93" t="s">
        <v>1330</v>
      </c>
      <c r="C70" s="93" t="s">
        <v>928</v>
      </c>
      <c r="D70" s="93" t="s">
        <v>1034</v>
      </c>
      <c r="E70" s="93" t="s">
        <v>1331</v>
      </c>
      <c r="F70" s="93" t="s">
        <v>1036</v>
      </c>
      <c r="G70" s="93" t="s">
        <v>1115</v>
      </c>
      <c r="H70" s="93" t="s">
        <v>1332</v>
      </c>
      <c r="I70" s="93" t="s">
        <v>1045</v>
      </c>
      <c r="J70" s="93" t="s">
        <v>1333</v>
      </c>
      <c r="K70" s="93" t="s">
        <v>1105</v>
      </c>
    </row>
    <row r="71" spans="1:11" ht="195">
      <c r="A71" s="93" t="s">
        <v>669</v>
      </c>
      <c r="B71" s="93" t="s">
        <v>1334</v>
      </c>
      <c r="C71" s="93" t="s">
        <v>381</v>
      </c>
      <c r="D71" s="93" t="s">
        <v>1034</v>
      </c>
      <c r="E71" s="93" t="s">
        <v>818</v>
      </c>
      <c r="F71" s="93" t="s">
        <v>157</v>
      </c>
      <c r="G71" s="93" t="s">
        <v>288</v>
      </c>
      <c r="H71" s="93" t="s">
        <v>1192</v>
      </c>
      <c r="I71" s="93" t="s">
        <v>206</v>
      </c>
      <c r="J71" s="93" t="s">
        <v>1335</v>
      </c>
      <c r="K71" s="93" t="s">
        <v>1336</v>
      </c>
    </row>
    <row r="72" spans="1:11" ht="75">
      <c r="A72" s="93" t="s">
        <v>669</v>
      </c>
      <c r="B72" s="93" t="s">
        <v>1337</v>
      </c>
      <c r="C72" s="93" t="s">
        <v>381</v>
      </c>
      <c r="D72" s="93" t="s">
        <v>1034</v>
      </c>
      <c r="E72" s="93" t="s">
        <v>818</v>
      </c>
      <c r="F72" s="93" t="s">
        <v>157</v>
      </c>
      <c r="G72" s="93" t="s">
        <v>288</v>
      </c>
      <c r="H72" s="93" t="s">
        <v>1192</v>
      </c>
      <c r="I72" s="93" t="s">
        <v>206</v>
      </c>
      <c r="J72" s="93" t="s">
        <v>1335</v>
      </c>
      <c r="K72" s="93" t="s">
        <v>1336</v>
      </c>
    </row>
    <row r="73" spans="1:11" ht="409.6">
      <c r="A73" s="93" t="s">
        <v>674</v>
      </c>
      <c r="B73" s="93" t="s">
        <v>1338</v>
      </c>
      <c r="C73" s="93" t="s">
        <v>381</v>
      </c>
      <c r="D73" s="93" t="s">
        <v>1034</v>
      </c>
      <c r="E73" s="93" t="s">
        <v>844</v>
      </c>
      <c r="F73" s="93" t="s">
        <v>157</v>
      </c>
      <c r="G73" s="93" t="s">
        <v>288</v>
      </c>
      <c r="H73" s="93" t="s">
        <v>1192</v>
      </c>
      <c r="I73" s="93" t="s">
        <v>206</v>
      </c>
      <c r="J73" s="93" t="s">
        <v>1339</v>
      </c>
      <c r="K73" s="93" t="s">
        <v>1336</v>
      </c>
    </row>
    <row r="74" spans="1:11" ht="135">
      <c r="A74" s="93" t="s">
        <v>840</v>
      </c>
      <c r="B74" s="93" t="s">
        <v>1340</v>
      </c>
      <c r="C74" s="93" t="s">
        <v>381</v>
      </c>
      <c r="D74" s="93" t="s">
        <v>1034</v>
      </c>
      <c r="E74" s="93" t="s">
        <v>844</v>
      </c>
      <c r="F74" s="93" t="s">
        <v>157</v>
      </c>
      <c r="G74" s="93" t="s">
        <v>288</v>
      </c>
      <c r="H74" s="93" t="s">
        <v>1341</v>
      </c>
      <c r="I74" s="93" t="s">
        <v>206</v>
      </c>
      <c r="J74" s="93" t="s">
        <v>1342</v>
      </c>
      <c r="K74" s="93" t="s">
        <v>1336</v>
      </c>
    </row>
    <row r="75" spans="1:11" ht="75">
      <c r="A75" s="93" t="s">
        <v>1343</v>
      </c>
      <c r="B75" s="93" t="s">
        <v>1344</v>
      </c>
      <c r="C75" s="93" t="s">
        <v>1108</v>
      </c>
      <c r="D75" s="93" t="s">
        <v>1034</v>
      </c>
      <c r="E75" s="93" t="s">
        <v>1345</v>
      </c>
      <c r="F75" s="93" t="s">
        <v>205</v>
      </c>
      <c r="G75" s="93" t="s">
        <v>1346</v>
      </c>
      <c r="H75" s="93" t="s">
        <v>1347</v>
      </c>
      <c r="I75" s="93" t="s">
        <v>1045</v>
      </c>
      <c r="J75" s="93" t="s">
        <v>1348</v>
      </c>
      <c r="K75" s="93" t="s">
        <v>1345</v>
      </c>
    </row>
    <row r="76" spans="1:11" ht="60">
      <c r="A76" s="93" t="s">
        <v>1349</v>
      </c>
      <c r="B76" s="93" t="s">
        <v>1350</v>
      </c>
      <c r="C76" s="93" t="s">
        <v>1351</v>
      </c>
      <c r="D76" s="93" t="s">
        <v>1034</v>
      </c>
      <c r="E76" s="93" t="s">
        <v>1352</v>
      </c>
      <c r="F76" s="93" t="s">
        <v>157</v>
      </c>
      <c r="G76" s="93" t="s">
        <v>288</v>
      </c>
      <c r="H76" s="93" t="s">
        <v>1353</v>
      </c>
      <c r="I76" s="93" t="s">
        <v>206</v>
      </c>
      <c r="J76" s="93" t="s">
        <v>1354</v>
      </c>
      <c r="K76" s="93" t="s">
        <v>1080</v>
      </c>
    </row>
    <row r="77" spans="1:11" ht="210">
      <c r="A77" s="93" t="s">
        <v>1355</v>
      </c>
      <c r="B77" s="93" t="s">
        <v>1356</v>
      </c>
      <c r="C77" s="93" t="s">
        <v>1303</v>
      </c>
      <c r="D77" s="93" t="s">
        <v>1034</v>
      </c>
      <c r="E77" s="93" t="s">
        <v>1357</v>
      </c>
      <c r="F77" s="93" t="s">
        <v>205</v>
      </c>
      <c r="G77" s="93" t="s">
        <v>1078</v>
      </c>
      <c r="H77" s="93" t="s">
        <v>1358</v>
      </c>
      <c r="I77" s="93" t="s">
        <v>206</v>
      </c>
      <c r="J77" s="93" t="s">
        <v>1359</v>
      </c>
      <c r="K77" s="93" t="s">
        <v>1105</v>
      </c>
    </row>
    <row r="78" spans="1:11" ht="195">
      <c r="A78" s="93" t="s">
        <v>1360</v>
      </c>
      <c r="B78" s="93" t="s">
        <v>1361</v>
      </c>
      <c r="C78" s="93" t="s">
        <v>1362</v>
      </c>
      <c r="D78" s="93" t="s">
        <v>1034</v>
      </c>
      <c r="E78" s="93" t="s">
        <v>1363</v>
      </c>
      <c r="F78" s="93" t="s">
        <v>205</v>
      </c>
      <c r="G78" s="93" t="s">
        <v>891</v>
      </c>
      <c r="H78" s="93" t="s">
        <v>1364</v>
      </c>
      <c r="I78" s="93" t="s">
        <v>1045</v>
      </c>
      <c r="J78" s="93" t="s">
        <v>1365</v>
      </c>
      <c r="K78" s="93" t="s">
        <v>1124</v>
      </c>
    </row>
    <row r="79" spans="1:11" ht="328">
      <c r="A79" s="93" t="s">
        <v>1366</v>
      </c>
      <c r="B79" s="93" t="s">
        <v>1367</v>
      </c>
      <c r="C79" s="93" t="s">
        <v>1362</v>
      </c>
      <c r="D79" s="93" t="s">
        <v>1034</v>
      </c>
      <c r="E79" s="93" t="s">
        <v>1368</v>
      </c>
      <c r="F79" s="93" t="s">
        <v>205</v>
      </c>
      <c r="G79" s="93" t="s">
        <v>1369</v>
      </c>
      <c r="H79" s="93" t="s">
        <v>1370</v>
      </c>
      <c r="I79" s="93" t="s">
        <v>1045</v>
      </c>
      <c r="J79" s="93" t="s">
        <v>1371</v>
      </c>
      <c r="K79" s="93" t="s">
        <v>1135</v>
      </c>
    </row>
    <row r="80" spans="1:11" ht="105">
      <c r="A80" s="95" t="s">
        <v>1372</v>
      </c>
      <c r="B80" s="95" t="s">
        <v>1373</v>
      </c>
      <c r="C80" s="95" t="s">
        <v>1374</v>
      </c>
      <c r="D80" s="95" t="s">
        <v>1034</v>
      </c>
      <c r="E80" s="95" t="s">
        <v>1375</v>
      </c>
      <c r="F80" s="95" t="s">
        <v>1036</v>
      </c>
      <c r="G80" s="95" t="s">
        <v>288</v>
      </c>
      <c r="H80" s="95" t="s">
        <v>1376</v>
      </c>
      <c r="I80" s="95" t="s">
        <v>563</v>
      </c>
      <c r="J80" s="95" t="s">
        <v>1377</v>
      </c>
      <c r="K80" s="95" t="s">
        <v>1378</v>
      </c>
    </row>
    <row r="81" spans="1:12" ht="45">
      <c r="A81" s="95" t="s">
        <v>1372</v>
      </c>
      <c r="B81" s="95" t="s">
        <v>1379</v>
      </c>
      <c r="C81" s="95">
        <v>2022</v>
      </c>
      <c r="D81" s="95" t="s">
        <v>1034</v>
      </c>
      <c r="E81" s="95" t="s">
        <v>1380</v>
      </c>
      <c r="F81" s="95" t="s">
        <v>1036</v>
      </c>
      <c r="G81" s="95" t="s">
        <v>288</v>
      </c>
      <c r="H81" s="95" t="s">
        <v>1376</v>
      </c>
      <c r="I81" s="95" t="s">
        <v>206</v>
      </c>
      <c r="J81" s="95" t="s">
        <v>1381</v>
      </c>
      <c r="K81" s="95" t="s">
        <v>1378</v>
      </c>
    </row>
    <row r="82" spans="1:12" ht="30">
      <c r="A82" s="95" t="s">
        <v>1382</v>
      </c>
      <c r="B82" s="95" t="s">
        <v>1383</v>
      </c>
      <c r="C82" s="95">
        <v>2021</v>
      </c>
      <c r="D82" s="95" t="s">
        <v>1034</v>
      </c>
      <c r="E82" s="95" t="s">
        <v>1384</v>
      </c>
      <c r="F82" s="95" t="s">
        <v>1036</v>
      </c>
      <c r="G82" s="95" t="s">
        <v>288</v>
      </c>
      <c r="H82" s="95" t="s">
        <v>1376</v>
      </c>
      <c r="I82" s="95" t="s">
        <v>206</v>
      </c>
      <c r="J82" s="95" t="s">
        <v>1385</v>
      </c>
      <c r="K82" s="95" t="s">
        <v>1386</v>
      </c>
    </row>
    <row r="83" spans="1:12" ht="30">
      <c r="A83" s="95" t="s">
        <v>1382</v>
      </c>
      <c r="B83" s="95" t="s">
        <v>1387</v>
      </c>
      <c r="C83" s="95">
        <v>2021</v>
      </c>
      <c r="D83" s="95" t="s">
        <v>1034</v>
      </c>
      <c r="E83" s="95" t="s">
        <v>1384</v>
      </c>
      <c r="F83" s="95" t="s">
        <v>1036</v>
      </c>
      <c r="G83" s="95" t="s">
        <v>288</v>
      </c>
      <c r="H83" s="95" t="s">
        <v>1376</v>
      </c>
      <c r="I83" s="95" t="s">
        <v>206</v>
      </c>
      <c r="J83" s="95" t="s">
        <v>1388</v>
      </c>
      <c r="K83" s="95" t="s">
        <v>1386</v>
      </c>
    </row>
    <row r="84" spans="1:12" ht="45">
      <c r="A84" s="95" t="s">
        <v>1382</v>
      </c>
      <c r="B84" s="95" t="s">
        <v>1389</v>
      </c>
      <c r="C84" s="95">
        <v>2022</v>
      </c>
      <c r="D84" s="95" t="s">
        <v>1034</v>
      </c>
      <c r="E84" s="95" t="s">
        <v>1384</v>
      </c>
      <c r="F84" s="95" t="s">
        <v>1036</v>
      </c>
      <c r="G84" s="95" t="s">
        <v>288</v>
      </c>
      <c r="H84" s="95" t="s">
        <v>1376</v>
      </c>
      <c r="I84" s="95" t="s">
        <v>206</v>
      </c>
      <c r="J84" s="95" t="s">
        <v>1390</v>
      </c>
      <c r="K84" s="95" t="s">
        <v>1386</v>
      </c>
    </row>
    <row r="85" spans="1:12" ht="30">
      <c r="A85" s="95" t="s">
        <v>1382</v>
      </c>
      <c r="B85" s="95" t="s">
        <v>1391</v>
      </c>
      <c r="C85" s="95">
        <v>2022</v>
      </c>
      <c r="D85" s="95" t="s">
        <v>1034</v>
      </c>
      <c r="E85" s="95" t="s">
        <v>1384</v>
      </c>
      <c r="F85" s="95" t="s">
        <v>1036</v>
      </c>
      <c r="G85" s="95" t="s">
        <v>288</v>
      </c>
      <c r="H85" s="95" t="s">
        <v>1376</v>
      </c>
      <c r="I85" s="95" t="s">
        <v>206</v>
      </c>
      <c r="J85" s="95" t="s">
        <v>1392</v>
      </c>
      <c r="K85" s="95" t="s">
        <v>1386</v>
      </c>
    </row>
    <row r="86" spans="1:12" ht="30">
      <c r="A86" s="95" t="s">
        <v>1382</v>
      </c>
      <c r="B86" s="95" t="s">
        <v>1393</v>
      </c>
      <c r="C86" s="95">
        <v>2022</v>
      </c>
      <c r="D86" s="95" t="s">
        <v>1034</v>
      </c>
      <c r="E86" s="95" t="s">
        <v>1384</v>
      </c>
      <c r="F86" s="95" t="s">
        <v>1036</v>
      </c>
      <c r="G86" s="95" t="s">
        <v>288</v>
      </c>
      <c r="H86" s="95" t="s">
        <v>1376</v>
      </c>
      <c r="I86" s="95" t="s">
        <v>206</v>
      </c>
      <c r="J86" s="95" t="s">
        <v>1394</v>
      </c>
      <c r="K86" s="95" t="s">
        <v>1386</v>
      </c>
    </row>
    <row r="87" spans="1:12" ht="30">
      <c r="A87" s="95" t="s">
        <v>1382</v>
      </c>
      <c r="B87" s="95" t="s">
        <v>1395</v>
      </c>
      <c r="C87" s="95">
        <v>2022</v>
      </c>
      <c r="D87" s="95" t="s">
        <v>1034</v>
      </c>
      <c r="E87" s="95" t="s">
        <v>1396</v>
      </c>
      <c r="F87" s="95" t="s">
        <v>1036</v>
      </c>
      <c r="G87" s="95" t="s">
        <v>288</v>
      </c>
      <c r="H87" s="95" t="s">
        <v>1376</v>
      </c>
      <c r="I87" s="95" t="s">
        <v>206</v>
      </c>
      <c r="J87" s="95" t="s">
        <v>1397</v>
      </c>
      <c r="K87" s="95" t="s">
        <v>1386</v>
      </c>
    </row>
    <row r="88" spans="1:12" ht="314">
      <c r="A88" s="95" t="s">
        <v>1398</v>
      </c>
      <c r="B88" s="95" t="s">
        <v>1399</v>
      </c>
      <c r="C88" s="95" t="s">
        <v>1211</v>
      </c>
      <c r="D88" s="95" t="s">
        <v>1034</v>
      </c>
      <c r="E88" s="95" t="s">
        <v>1345</v>
      </c>
      <c r="F88" s="95" t="s">
        <v>1036</v>
      </c>
      <c r="G88" s="95" t="s">
        <v>1283</v>
      </c>
      <c r="H88" s="95" t="s">
        <v>1400</v>
      </c>
      <c r="I88" s="95" t="s">
        <v>1045</v>
      </c>
      <c r="J88" s="95" t="s">
        <v>1401</v>
      </c>
      <c r="K88" s="95" t="s">
        <v>1402</v>
      </c>
    </row>
    <row r="89" spans="1:12" ht="135">
      <c r="A89" s="95" t="s">
        <v>1403</v>
      </c>
      <c r="B89" s="95" t="s">
        <v>1404</v>
      </c>
      <c r="C89" s="95" t="s">
        <v>794</v>
      </c>
      <c r="D89" s="95" t="s">
        <v>1034</v>
      </c>
      <c r="E89" s="95" t="s">
        <v>1345</v>
      </c>
      <c r="F89" s="95" t="s">
        <v>1036</v>
      </c>
      <c r="G89" s="95" t="s">
        <v>1405</v>
      </c>
      <c r="H89" s="95" t="s">
        <v>1400</v>
      </c>
      <c r="I89" s="95" t="s">
        <v>1045</v>
      </c>
      <c r="J89" s="95" t="s">
        <v>1406</v>
      </c>
      <c r="K89" s="95" t="s">
        <v>1407</v>
      </c>
    </row>
    <row r="90" spans="1:12" ht="105">
      <c r="A90" s="95" t="s">
        <v>1408</v>
      </c>
      <c r="B90" s="95" t="s">
        <v>1409</v>
      </c>
      <c r="C90" s="95" t="s">
        <v>1101</v>
      </c>
      <c r="D90" s="95" t="s">
        <v>1034</v>
      </c>
      <c r="E90" s="95" t="s">
        <v>1345</v>
      </c>
      <c r="F90" s="95" t="s">
        <v>1036</v>
      </c>
      <c r="G90" s="95" t="s">
        <v>1405</v>
      </c>
      <c r="H90" s="95" t="s">
        <v>1400</v>
      </c>
      <c r="I90" s="95" t="s">
        <v>1045</v>
      </c>
      <c r="J90" s="95" t="s">
        <v>1410</v>
      </c>
      <c r="K90" s="95" t="s">
        <v>1411</v>
      </c>
    </row>
    <row r="91" spans="1:12" ht="195">
      <c r="A91" s="95" t="s">
        <v>1412</v>
      </c>
      <c r="B91" s="95" t="s">
        <v>1413</v>
      </c>
      <c r="C91" s="95" t="s">
        <v>1211</v>
      </c>
      <c r="D91" s="95" t="s">
        <v>1034</v>
      </c>
      <c r="E91" s="95" t="s">
        <v>1345</v>
      </c>
      <c r="F91" s="95" t="s">
        <v>1036</v>
      </c>
      <c r="G91" s="95" t="s">
        <v>1405</v>
      </c>
      <c r="H91" s="95" t="s">
        <v>1400</v>
      </c>
      <c r="I91" s="95" t="s">
        <v>1045</v>
      </c>
      <c r="J91" s="95" t="s">
        <v>1414</v>
      </c>
      <c r="K91" s="95" t="s">
        <v>1415</v>
      </c>
    </row>
    <row r="92" spans="1:12" ht="120">
      <c r="A92" s="95" t="s">
        <v>1416</v>
      </c>
      <c r="B92" s="95" t="s">
        <v>1417</v>
      </c>
      <c r="C92" s="95" t="s">
        <v>1207</v>
      </c>
      <c r="D92" s="95" t="s">
        <v>1034</v>
      </c>
      <c r="E92" s="95" t="s">
        <v>1345</v>
      </c>
      <c r="F92" s="95" t="s">
        <v>1036</v>
      </c>
      <c r="G92" s="95" t="s">
        <v>1405</v>
      </c>
      <c r="H92" s="95" t="s">
        <v>1400</v>
      </c>
      <c r="I92" s="95" t="s">
        <v>1045</v>
      </c>
      <c r="J92" s="95" t="s">
        <v>1418</v>
      </c>
      <c r="K92" s="95" t="s">
        <v>1419</v>
      </c>
    </row>
    <row r="93" spans="1:12">
      <c r="A93" s="116"/>
      <c r="B93" s="116"/>
      <c r="C93" s="116"/>
      <c r="D93" s="116"/>
      <c r="E93" s="116"/>
      <c r="F93" s="116"/>
      <c r="G93" s="116"/>
      <c r="H93" s="116"/>
      <c r="I93" s="116"/>
      <c r="J93" s="116"/>
      <c r="K93" s="116"/>
    </row>
    <row r="95" spans="1:12" ht="120.75" customHeight="1">
      <c r="A95" s="209" t="s">
        <v>1420</v>
      </c>
      <c r="B95" s="211"/>
      <c r="C95" s="211"/>
      <c r="D95" s="211"/>
      <c r="E95" s="211"/>
      <c r="F95" s="211"/>
      <c r="G95" s="211"/>
      <c r="H95" s="211"/>
      <c r="I95" s="211"/>
      <c r="J95" s="211"/>
      <c r="K95" s="211"/>
      <c r="L95" s="211"/>
    </row>
  </sheetData>
  <mergeCells count="2">
    <mergeCell ref="A1:I1"/>
    <mergeCell ref="A95:L95"/>
  </mergeCells>
  <pageMargins left="0.69930555555555596" right="0.69930555555555596"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A812-6C18-413F-8838-2741A3287319}">
  <sheetPr>
    <tabColor rgb="FF00B050"/>
  </sheetPr>
  <dimension ref="B1:N44"/>
  <sheetViews>
    <sheetView zoomScale="65" zoomScaleNormal="98" workbookViewId="0">
      <pane xSplit="1" ySplit="5" topLeftCell="B25" activePane="bottomRight" state="frozen"/>
      <selection pane="topRight" activeCell="B1" sqref="B1"/>
      <selection pane="bottomLeft" activeCell="A6" sqref="A6"/>
      <selection pane="bottomRight" activeCell="H39" sqref="H39"/>
    </sheetView>
  </sheetViews>
  <sheetFormatPr baseColWidth="10" defaultColWidth="9" defaultRowHeight="15"/>
  <cols>
    <col min="1" max="1" width="9" style="1"/>
    <col min="2" max="2" width="38.5" style="71" customWidth="1"/>
    <col min="3" max="3" width="52" style="1" customWidth="1"/>
    <col min="4" max="4" width="18.5" style="1" customWidth="1"/>
    <col min="5" max="5" width="22.5" style="1" customWidth="1"/>
    <col min="6" max="6" width="15" style="1" customWidth="1"/>
    <col min="7" max="7" width="15.5" style="1" bestFit="1" customWidth="1"/>
    <col min="8" max="8" width="17.5" style="73" customWidth="1"/>
    <col min="9" max="9" width="17.5" style="1" customWidth="1"/>
    <col min="10" max="10" width="38.5" style="1" customWidth="1"/>
    <col min="11" max="11" width="39.5" style="1" customWidth="1"/>
    <col min="12" max="12" width="11.5" customWidth="1"/>
    <col min="13" max="16384" width="9" style="1"/>
  </cols>
  <sheetData>
    <row r="1" spans="2:12" ht="40.5" customHeight="1">
      <c r="B1" s="203" t="s">
        <v>1421</v>
      </c>
      <c r="C1" s="203"/>
      <c r="D1" s="203"/>
      <c r="E1" s="203"/>
      <c r="F1" s="203"/>
      <c r="G1" s="203"/>
      <c r="H1" s="203"/>
      <c r="I1" s="203"/>
      <c r="J1" s="203"/>
      <c r="K1" s="203"/>
    </row>
    <row r="2" spans="2:12" ht="16">
      <c r="B2" s="68" t="s">
        <v>28</v>
      </c>
    </row>
    <row r="3" spans="2:12" ht="16">
      <c r="B3" s="68"/>
    </row>
    <row r="4" spans="2:12" s="5" customFormat="1">
      <c r="B4" s="184" t="s">
        <v>1422</v>
      </c>
      <c r="C4" s="184" t="s">
        <v>1423</v>
      </c>
      <c r="D4" s="184" t="s">
        <v>214</v>
      </c>
      <c r="E4" s="204" t="s">
        <v>1424</v>
      </c>
      <c r="F4" s="204" t="s">
        <v>359</v>
      </c>
      <c r="G4" s="207" t="s">
        <v>1425</v>
      </c>
      <c r="H4" s="207"/>
      <c r="I4" s="204" t="s">
        <v>1426</v>
      </c>
      <c r="J4" s="184" t="s">
        <v>220</v>
      </c>
      <c r="K4" s="184" t="s">
        <v>1427</v>
      </c>
      <c r="L4" s="59"/>
    </row>
    <row r="5" spans="2:12" s="5" customFormat="1" ht="36" customHeight="1">
      <c r="B5" s="206"/>
      <c r="C5" s="206"/>
      <c r="D5" s="206"/>
      <c r="E5" s="205"/>
      <c r="F5" s="205"/>
      <c r="G5" s="19" t="s">
        <v>222</v>
      </c>
      <c r="H5" s="74" t="s">
        <v>223</v>
      </c>
      <c r="I5" s="205"/>
      <c r="J5" s="206"/>
      <c r="K5" s="206"/>
      <c r="L5" s="59"/>
    </row>
    <row r="6" spans="2:12" ht="50">
      <c r="B6" s="69"/>
      <c r="C6" s="21"/>
      <c r="D6" s="21"/>
      <c r="E6" s="21"/>
      <c r="F6" s="26" t="s">
        <v>1428</v>
      </c>
      <c r="G6" s="21"/>
      <c r="H6" s="75"/>
      <c r="I6" s="23" t="s">
        <v>201</v>
      </c>
      <c r="J6" s="21"/>
      <c r="K6" s="21"/>
    </row>
    <row r="7" spans="2:12" customFormat="1" ht="16">
      <c r="B7" t="s">
        <v>1429</v>
      </c>
      <c r="F7" s="118" t="s">
        <v>1430</v>
      </c>
      <c r="H7" s="123">
        <v>2.8519999999999999</v>
      </c>
      <c r="I7" s="120" t="s">
        <v>563</v>
      </c>
      <c r="J7" t="s">
        <v>1431</v>
      </c>
      <c r="K7" t="s">
        <v>1432</v>
      </c>
    </row>
    <row r="8" spans="2:12" customFormat="1" ht="16">
      <c r="B8" t="s">
        <v>1433</v>
      </c>
      <c r="F8" s="118" t="s">
        <v>1430</v>
      </c>
      <c r="H8" s="119">
        <v>1.9</v>
      </c>
      <c r="I8" s="120" t="s">
        <v>563</v>
      </c>
      <c r="J8" t="s">
        <v>1434</v>
      </c>
      <c r="K8" t="s">
        <v>1432</v>
      </c>
    </row>
    <row r="9" spans="2:12" ht="46.5" customHeight="1">
      <c r="B9" s="215" t="s">
        <v>1435</v>
      </c>
      <c r="C9" s="60" t="s">
        <v>1436</v>
      </c>
      <c r="D9" s="60"/>
      <c r="E9" s="60" t="s">
        <v>1437</v>
      </c>
      <c r="F9" s="60" t="s">
        <v>1430</v>
      </c>
      <c r="G9" s="60"/>
      <c r="H9" s="230">
        <v>1.25</v>
      </c>
      <c r="I9" s="60" t="s">
        <v>1438</v>
      </c>
      <c r="J9" s="60" t="s">
        <v>1439</v>
      </c>
      <c r="K9" s="60"/>
    </row>
    <row r="10" spans="2:12" ht="66" customHeight="1">
      <c r="B10" s="215"/>
      <c r="C10" s="60" t="s">
        <v>1440</v>
      </c>
      <c r="D10" s="60"/>
      <c r="E10" s="60" t="s">
        <v>1441</v>
      </c>
      <c r="F10" s="60" t="s">
        <v>1430</v>
      </c>
      <c r="G10" s="60"/>
      <c r="H10" s="231"/>
      <c r="I10" s="60" t="s">
        <v>1438</v>
      </c>
      <c r="J10" s="60" t="s">
        <v>1442</v>
      </c>
      <c r="K10" s="60"/>
    </row>
    <row r="11" spans="2:12" ht="52.5" customHeight="1">
      <c r="B11" s="215"/>
      <c r="C11" s="60" t="s">
        <v>1443</v>
      </c>
      <c r="D11" s="60"/>
      <c r="E11" s="60" t="s">
        <v>1444</v>
      </c>
      <c r="F11" s="60" t="s">
        <v>1430</v>
      </c>
      <c r="G11" s="60"/>
      <c r="H11" s="231"/>
      <c r="I11" s="60"/>
      <c r="J11" s="60" t="s">
        <v>1445</v>
      </c>
      <c r="K11" s="60"/>
    </row>
    <row r="12" spans="2:12" ht="52.5" customHeight="1">
      <c r="B12" s="215"/>
      <c r="C12" s="60" t="s">
        <v>1446</v>
      </c>
      <c r="D12" s="60"/>
      <c r="E12" s="60" t="s">
        <v>1447</v>
      </c>
      <c r="F12" s="60" t="s">
        <v>1430</v>
      </c>
      <c r="G12" s="60"/>
      <c r="H12" s="232"/>
      <c r="I12" s="60"/>
      <c r="J12" s="60" t="s">
        <v>1448</v>
      </c>
      <c r="K12" s="60"/>
    </row>
    <row r="13" spans="2:12" ht="54" customHeight="1">
      <c r="B13" s="216" t="s">
        <v>1449</v>
      </c>
      <c r="C13" s="60" t="s">
        <v>1450</v>
      </c>
      <c r="D13" s="60"/>
      <c r="E13" s="60" t="s">
        <v>1451</v>
      </c>
      <c r="F13" s="60" t="s">
        <v>1430</v>
      </c>
      <c r="G13" s="60"/>
      <c r="H13" s="230">
        <v>0.25</v>
      </c>
      <c r="I13" s="60" t="s">
        <v>1438</v>
      </c>
      <c r="J13" s="60" t="s">
        <v>1452</v>
      </c>
      <c r="K13" s="60"/>
    </row>
    <row r="14" spans="2:12" ht="50.25" customHeight="1">
      <c r="B14" s="216"/>
      <c r="C14" s="60" t="s">
        <v>1453</v>
      </c>
      <c r="D14" s="60"/>
      <c r="E14" s="60" t="s">
        <v>1454</v>
      </c>
      <c r="F14" s="60" t="s">
        <v>1430</v>
      </c>
      <c r="G14" s="60"/>
      <c r="H14" s="231"/>
      <c r="I14" s="60"/>
      <c r="J14" s="60" t="s">
        <v>1455</v>
      </c>
      <c r="K14" s="60"/>
    </row>
    <row r="15" spans="2:12" ht="50.25" customHeight="1">
      <c r="B15" s="216"/>
      <c r="C15" s="60" t="s">
        <v>1456</v>
      </c>
      <c r="D15" s="60"/>
      <c r="E15" s="60" t="s">
        <v>1457</v>
      </c>
      <c r="F15" s="60" t="s">
        <v>1430</v>
      </c>
      <c r="G15" s="60"/>
      <c r="H15" s="231"/>
      <c r="I15" s="60"/>
      <c r="J15" s="60" t="s">
        <v>1458</v>
      </c>
      <c r="K15" s="60"/>
    </row>
    <row r="16" spans="2:12" ht="50.25" customHeight="1">
      <c r="B16" s="216"/>
      <c r="C16" s="60" t="s">
        <v>1459</v>
      </c>
      <c r="D16" s="60"/>
      <c r="E16" s="60" t="s">
        <v>1460</v>
      </c>
      <c r="F16" s="60" t="s">
        <v>1430</v>
      </c>
      <c r="G16" s="60"/>
      <c r="H16" s="232"/>
      <c r="I16" s="60"/>
      <c r="J16" s="60" t="s">
        <v>1461</v>
      </c>
      <c r="K16" s="60"/>
    </row>
    <row r="17" spans="2:11" ht="29.25" customHeight="1">
      <c r="B17" s="213" t="s">
        <v>1462</v>
      </c>
      <c r="C17" s="60" t="s">
        <v>1463</v>
      </c>
      <c r="D17" s="60"/>
      <c r="E17" s="60" t="s">
        <v>1464</v>
      </c>
      <c r="F17" s="60" t="s">
        <v>1430</v>
      </c>
      <c r="G17" s="60"/>
      <c r="H17" s="230">
        <v>1</v>
      </c>
      <c r="I17" s="60" t="s">
        <v>1438</v>
      </c>
      <c r="J17" s="61" t="s">
        <v>1465</v>
      </c>
      <c r="K17" s="60"/>
    </row>
    <row r="18" spans="2:11" ht="79.5" customHeight="1">
      <c r="B18" s="217"/>
      <c r="C18" s="60" t="s">
        <v>1466</v>
      </c>
      <c r="D18" s="60"/>
      <c r="E18" s="60" t="s">
        <v>1467</v>
      </c>
      <c r="F18" s="60" t="s">
        <v>1430</v>
      </c>
      <c r="G18" s="60"/>
      <c r="H18" s="232"/>
      <c r="I18" s="60" t="s">
        <v>1438</v>
      </c>
      <c r="J18" s="60" t="s">
        <v>1468</v>
      </c>
      <c r="K18" s="60"/>
    </row>
    <row r="19" spans="2:11" ht="50.25" customHeight="1">
      <c r="B19" s="218" t="s">
        <v>1469</v>
      </c>
      <c r="C19" s="66" t="s">
        <v>1470</v>
      </c>
      <c r="D19" s="66"/>
      <c r="E19" s="66" t="s">
        <v>1467</v>
      </c>
      <c r="F19" s="66" t="s">
        <v>1430</v>
      </c>
      <c r="G19" s="66"/>
      <c r="H19" s="224">
        <v>5</v>
      </c>
      <c r="I19" s="66" t="s">
        <v>1438</v>
      </c>
      <c r="J19" s="66" t="s">
        <v>1471</v>
      </c>
      <c r="K19" s="227" t="s">
        <v>1472</v>
      </c>
    </row>
    <row r="20" spans="2:11" ht="50.25" customHeight="1">
      <c r="B20" s="219"/>
      <c r="C20" s="66" t="s">
        <v>1473</v>
      </c>
      <c r="D20" s="66"/>
      <c r="E20" s="66" t="s">
        <v>1467</v>
      </c>
      <c r="F20" s="66" t="s">
        <v>1430</v>
      </c>
      <c r="G20" s="66"/>
      <c r="H20" s="225"/>
      <c r="I20" s="66" t="s">
        <v>1438</v>
      </c>
      <c r="J20" s="66" t="s">
        <v>1474</v>
      </c>
      <c r="K20" s="228"/>
    </row>
    <row r="21" spans="2:11" ht="67.5" customHeight="1">
      <c r="B21" s="219"/>
      <c r="C21" s="66" t="s">
        <v>1475</v>
      </c>
      <c r="D21" s="66"/>
      <c r="E21" s="66" t="s">
        <v>1467</v>
      </c>
      <c r="F21" s="66" t="s">
        <v>1430</v>
      </c>
      <c r="G21" s="66"/>
      <c r="H21" s="225"/>
      <c r="I21" s="66" t="s">
        <v>1438</v>
      </c>
      <c r="J21" s="66" t="s">
        <v>1476</v>
      </c>
      <c r="K21" s="228"/>
    </row>
    <row r="22" spans="2:11" ht="50.25" customHeight="1">
      <c r="B22" s="219"/>
      <c r="C22" s="66" t="s">
        <v>1477</v>
      </c>
      <c r="D22" s="66"/>
      <c r="E22" s="66" t="s">
        <v>1467</v>
      </c>
      <c r="F22" s="66" t="s">
        <v>1430</v>
      </c>
      <c r="G22" s="66"/>
      <c r="H22" s="225"/>
      <c r="I22" s="66" t="s">
        <v>1438</v>
      </c>
      <c r="J22" s="66" t="s">
        <v>1478</v>
      </c>
      <c r="K22" s="228"/>
    </row>
    <row r="23" spans="2:11" ht="50.25" customHeight="1">
      <c r="B23" s="220"/>
      <c r="C23" s="66" t="s">
        <v>1479</v>
      </c>
      <c r="D23" s="66"/>
      <c r="E23" s="66" t="s">
        <v>1467</v>
      </c>
      <c r="F23" s="66" t="s">
        <v>1430</v>
      </c>
      <c r="G23" s="66"/>
      <c r="H23" s="226"/>
      <c r="I23" s="66" t="s">
        <v>1438</v>
      </c>
      <c r="J23" s="66" t="s">
        <v>1480</v>
      </c>
      <c r="K23" s="229"/>
    </row>
    <row r="24" spans="2:11" ht="85.5" customHeight="1">
      <c r="B24" s="213" t="s">
        <v>1481</v>
      </c>
      <c r="C24" s="60" t="s">
        <v>1482</v>
      </c>
      <c r="D24" s="60"/>
      <c r="E24" s="60" t="s">
        <v>1467</v>
      </c>
      <c r="F24" s="60" t="s">
        <v>1430</v>
      </c>
      <c r="G24" s="60"/>
      <c r="H24" s="230">
        <v>2</v>
      </c>
      <c r="I24" s="60" t="s">
        <v>1438</v>
      </c>
      <c r="J24" s="60" t="s">
        <v>1483</v>
      </c>
      <c r="K24" s="60"/>
    </row>
    <row r="25" spans="2:11" ht="85.5" customHeight="1">
      <c r="B25" s="217"/>
      <c r="C25" s="60" t="s">
        <v>1484</v>
      </c>
      <c r="D25" s="60"/>
      <c r="E25" s="60"/>
      <c r="F25" s="60"/>
      <c r="G25" s="60"/>
      <c r="H25" s="231"/>
      <c r="I25" s="60"/>
      <c r="J25" s="60" t="s">
        <v>1485</v>
      </c>
      <c r="K25" s="60"/>
    </row>
    <row r="26" spans="2:11" ht="85.5" customHeight="1">
      <c r="B26" s="217"/>
      <c r="C26" s="60" t="s">
        <v>1486</v>
      </c>
      <c r="D26" s="60"/>
      <c r="E26" s="60"/>
      <c r="F26" s="60"/>
      <c r="G26" s="60"/>
      <c r="H26" s="231"/>
      <c r="I26" s="60"/>
      <c r="J26" s="60" t="s">
        <v>1487</v>
      </c>
      <c r="K26" s="60"/>
    </row>
    <row r="27" spans="2:11" ht="85.5" customHeight="1">
      <c r="B27" s="217"/>
      <c r="C27" s="60" t="s">
        <v>1488</v>
      </c>
      <c r="D27" s="60"/>
      <c r="E27" s="60"/>
      <c r="F27" s="60"/>
      <c r="G27" s="60"/>
      <c r="H27" s="231"/>
      <c r="I27" s="60"/>
      <c r="J27" s="60" t="s">
        <v>1489</v>
      </c>
      <c r="K27" s="60"/>
    </row>
    <row r="28" spans="2:11" ht="85.5" customHeight="1">
      <c r="B28" s="214"/>
      <c r="C28" s="60" t="s">
        <v>1490</v>
      </c>
      <c r="D28" s="60"/>
      <c r="E28" s="60"/>
      <c r="F28" s="60"/>
      <c r="G28" s="60"/>
      <c r="H28" s="232"/>
      <c r="I28" s="60"/>
      <c r="J28" s="60" t="s">
        <v>1491</v>
      </c>
      <c r="K28" s="60"/>
    </row>
    <row r="29" spans="2:11" ht="84" customHeight="1">
      <c r="B29" s="221" t="s">
        <v>1492</v>
      </c>
      <c r="C29" s="60" t="s">
        <v>1493</v>
      </c>
      <c r="D29" s="60"/>
      <c r="E29" s="60" t="s">
        <v>1467</v>
      </c>
      <c r="F29" s="60" t="s">
        <v>1430</v>
      </c>
      <c r="G29" s="60"/>
      <c r="H29" s="230">
        <v>1.25</v>
      </c>
      <c r="I29" s="60" t="s">
        <v>1438</v>
      </c>
      <c r="J29" s="60" t="s">
        <v>1494</v>
      </c>
      <c r="K29" s="60"/>
    </row>
    <row r="30" spans="2:11" ht="50.25" customHeight="1">
      <c r="B30" s="222"/>
      <c r="C30" s="60" t="s">
        <v>1495</v>
      </c>
      <c r="D30" s="60"/>
      <c r="E30" s="60" t="s">
        <v>1467</v>
      </c>
      <c r="F30" s="60" t="s">
        <v>1430</v>
      </c>
      <c r="G30" s="60"/>
      <c r="H30" s="231"/>
      <c r="I30" s="60" t="s">
        <v>1438</v>
      </c>
      <c r="J30" s="60" t="s">
        <v>1496</v>
      </c>
      <c r="K30" s="60"/>
    </row>
    <row r="31" spans="2:11" ht="32">
      <c r="B31" s="223"/>
      <c r="C31" s="60" t="s">
        <v>1497</v>
      </c>
      <c r="D31" s="60"/>
      <c r="E31" s="60" t="s">
        <v>1467</v>
      </c>
      <c r="F31" s="60" t="s">
        <v>1430</v>
      </c>
      <c r="G31" s="60"/>
      <c r="H31" s="232"/>
      <c r="I31" s="60" t="s">
        <v>1438</v>
      </c>
      <c r="J31" s="60" t="s">
        <v>1498</v>
      </c>
      <c r="K31" s="60"/>
    </row>
    <row r="32" spans="2:11" ht="30" customHeight="1">
      <c r="B32" s="213" t="s">
        <v>1499</v>
      </c>
      <c r="C32" s="60" t="s">
        <v>1500</v>
      </c>
      <c r="D32" s="60"/>
      <c r="E32" s="60" t="s">
        <v>1467</v>
      </c>
      <c r="F32" s="60" t="s">
        <v>1430</v>
      </c>
      <c r="G32" s="60"/>
      <c r="H32" s="230">
        <f>500000/1000000</f>
        <v>0.5</v>
      </c>
      <c r="I32" s="60" t="s">
        <v>1438</v>
      </c>
      <c r="J32" s="60" t="s">
        <v>1501</v>
      </c>
      <c r="K32" s="60"/>
    </row>
    <row r="33" spans="2:14" ht="45" customHeight="1">
      <c r="B33" s="214"/>
      <c r="C33" s="60" t="s">
        <v>1502</v>
      </c>
      <c r="D33" s="60"/>
      <c r="E33" s="60" t="s">
        <v>1467</v>
      </c>
      <c r="F33" s="60" t="s">
        <v>1430</v>
      </c>
      <c r="G33" s="60"/>
      <c r="H33" s="232"/>
      <c r="I33" s="60" t="s">
        <v>1438</v>
      </c>
      <c r="J33" s="60" t="s">
        <v>1503</v>
      </c>
      <c r="K33" s="60"/>
    </row>
    <row r="34" spans="2:14" ht="45" customHeight="1">
      <c r="B34" s="65" t="s">
        <v>1504</v>
      </c>
      <c r="C34" s="66" t="s">
        <v>1505</v>
      </c>
      <c r="D34" s="66"/>
      <c r="E34" s="66" t="s">
        <v>1506</v>
      </c>
      <c r="F34" s="66" t="s">
        <v>1430</v>
      </c>
      <c r="G34" s="66"/>
      <c r="H34" s="76">
        <v>0.5</v>
      </c>
      <c r="I34" s="66"/>
      <c r="J34" s="66"/>
      <c r="K34" s="66" t="s">
        <v>1507</v>
      </c>
    </row>
    <row r="35" spans="2:14" ht="45" customHeight="1">
      <c r="B35" s="65" t="s">
        <v>1508</v>
      </c>
      <c r="C35" s="66" t="s">
        <v>1509</v>
      </c>
      <c r="D35" s="66" t="s">
        <v>1510</v>
      </c>
      <c r="E35" s="66" t="s">
        <v>1506</v>
      </c>
      <c r="F35" s="66" t="s">
        <v>1430</v>
      </c>
      <c r="G35" s="66"/>
      <c r="H35" s="77">
        <v>0.75</v>
      </c>
      <c r="I35" s="66"/>
      <c r="J35" s="66"/>
      <c r="K35" s="66" t="s">
        <v>1511</v>
      </c>
    </row>
    <row r="36" spans="2:14" ht="45" customHeight="1">
      <c r="B36" s="65" t="s">
        <v>1512</v>
      </c>
      <c r="C36" s="66" t="s">
        <v>1512</v>
      </c>
      <c r="D36" s="66"/>
      <c r="E36" s="66" t="s">
        <v>1506</v>
      </c>
      <c r="F36" s="66" t="s">
        <v>1430</v>
      </c>
      <c r="G36" s="66"/>
      <c r="H36" s="77">
        <v>0.85</v>
      </c>
      <c r="I36" s="66"/>
      <c r="J36" s="66"/>
      <c r="K36" s="66" t="s">
        <v>1513</v>
      </c>
    </row>
    <row r="37" spans="2:14" ht="45" customHeight="1">
      <c r="B37" s="65" t="s">
        <v>1514</v>
      </c>
      <c r="C37" s="66" t="s">
        <v>1515</v>
      </c>
      <c r="D37" s="66"/>
      <c r="E37" s="66" t="s">
        <v>1506</v>
      </c>
      <c r="F37" s="66" t="s">
        <v>1430</v>
      </c>
      <c r="G37" s="66"/>
      <c r="H37" s="77">
        <v>0.75</v>
      </c>
      <c r="I37" s="66"/>
      <c r="J37" s="66"/>
      <c r="K37" s="66"/>
    </row>
    <row r="38" spans="2:14">
      <c r="B38" s="70"/>
      <c r="C38" s="62"/>
      <c r="D38" s="62"/>
      <c r="E38" s="62"/>
      <c r="F38" s="62"/>
      <c r="G38" s="62"/>
      <c r="H38" s="72">
        <f>SUM(H7:H37)</f>
        <v>18.852</v>
      </c>
      <c r="I38" s="62"/>
      <c r="J38" s="62"/>
      <c r="K38" s="62"/>
    </row>
    <row r="39" spans="2:14">
      <c r="H39" s="124"/>
    </row>
    <row r="40" spans="2:14" ht="98.25" customHeight="1">
      <c r="B40" s="199" t="s">
        <v>1516</v>
      </c>
      <c r="C40" s="200"/>
      <c r="D40" s="200"/>
      <c r="E40" s="200"/>
      <c r="F40" s="200"/>
      <c r="G40" s="200"/>
      <c r="H40" s="200"/>
      <c r="I40" s="200"/>
      <c r="J40" s="200"/>
      <c r="K40" s="200"/>
      <c r="L40" s="200"/>
      <c r="M40" s="200"/>
      <c r="N40" s="200"/>
    </row>
    <row r="42" spans="2:14">
      <c r="H42" s="124">
        <v>18852000</v>
      </c>
    </row>
    <row r="44" spans="2:14">
      <c r="H44" s="78"/>
    </row>
  </sheetData>
  <mergeCells count="26">
    <mergeCell ref="B1:K1"/>
    <mergeCell ref="B4:B5"/>
    <mergeCell ref="C4:C5"/>
    <mergeCell ref="D4:D5"/>
    <mergeCell ref="E4:E5"/>
    <mergeCell ref="F4:F5"/>
    <mergeCell ref="G4:H4"/>
    <mergeCell ref="I4:I5"/>
    <mergeCell ref="J4:J5"/>
    <mergeCell ref="K4:K5"/>
    <mergeCell ref="B32:B33"/>
    <mergeCell ref="B40:N40"/>
    <mergeCell ref="B9:B12"/>
    <mergeCell ref="B13:B16"/>
    <mergeCell ref="B17:B18"/>
    <mergeCell ref="B19:B23"/>
    <mergeCell ref="B24:B28"/>
    <mergeCell ref="B29:B31"/>
    <mergeCell ref="H19:H23"/>
    <mergeCell ref="K19:K23"/>
    <mergeCell ref="H9:H12"/>
    <mergeCell ref="H13:H16"/>
    <mergeCell ref="H17:H18"/>
    <mergeCell ref="H24:H28"/>
    <mergeCell ref="H29:H31"/>
    <mergeCell ref="H32:H3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9BA8-BB33-4C5A-A9CB-6F3DB233C57F}">
  <sheetPr>
    <tabColor rgb="FFFF0000"/>
  </sheetPr>
  <dimension ref="A1:M12"/>
  <sheetViews>
    <sheetView workbookViewId="0">
      <selection activeCell="A12" sqref="A12:M12"/>
    </sheetView>
  </sheetViews>
  <sheetFormatPr baseColWidth="10" defaultColWidth="17" defaultRowHeight="15"/>
  <cols>
    <col min="1" max="1" width="19.5" style="1" customWidth="1"/>
    <col min="2" max="2" width="15.5" style="1" customWidth="1"/>
    <col min="3" max="3" width="12.5" style="1" customWidth="1"/>
    <col min="4" max="4" width="16.5" style="1" customWidth="1"/>
    <col min="5" max="5" width="15.5" style="1" customWidth="1"/>
    <col min="6" max="6" width="16.5" style="1" customWidth="1"/>
    <col min="7" max="7" width="13.5" style="1" customWidth="1"/>
    <col min="8" max="8" width="18.5" style="1" customWidth="1"/>
    <col min="9" max="9" width="17.5" style="1" customWidth="1"/>
    <col min="10" max="10" width="22.5" style="1" customWidth="1"/>
    <col min="11" max="16384" width="17" style="1"/>
  </cols>
  <sheetData>
    <row r="1" spans="1:13" ht="40.5" customHeight="1">
      <c r="A1" s="203" t="s">
        <v>1517</v>
      </c>
      <c r="B1" s="203"/>
      <c r="C1" s="203"/>
      <c r="D1" s="203"/>
      <c r="E1" s="203"/>
      <c r="F1" s="203"/>
      <c r="G1" s="203"/>
      <c r="H1" s="203"/>
      <c r="I1" s="203"/>
      <c r="J1" s="203"/>
    </row>
    <row r="2" spans="1:13" ht="16">
      <c r="A2" s="6" t="s">
        <v>28</v>
      </c>
    </row>
    <row r="3" spans="1:13" ht="16">
      <c r="A3" s="6"/>
    </row>
    <row r="4" spans="1:13" s="9" customFormat="1" ht="14.25" customHeight="1">
      <c r="A4" s="233" t="s">
        <v>1422</v>
      </c>
      <c r="B4" s="233" t="s">
        <v>1423</v>
      </c>
      <c r="C4" s="233" t="s">
        <v>1518</v>
      </c>
      <c r="D4" s="234" t="s">
        <v>1424</v>
      </c>
      <c r="E4" s="234" t="s">
        <v>359</v>
      </c>
      <c r="F4" s="207" t="s">
        <v>1425</v>
      </c>
      <c r="G4" s="207"/>
      <c r="H4" s="234" t="s">
        <v>1426</v>
      </c>
      <c r="I4" s="233" t="s">
        <v>1519</v>
      </c>
      <c r="J4" s="233" t="s">
        <v>1427</v>
      </c>
    </row>
    <row r="5" spans="1:13" s="9" customFormat="1" ht="36" customHeight="1">
      <c r="A5" s="206"/>
      <c r="B5" s="206"/>
      <c r="C5" s="206"/>
      <c r="D5" s="205"/>
      <c r="E5" s="205"/>
      <c r="F5" s="19" t="s">
        <v>222</v>
      </c>
      <c r="G5" s="20" t="s">
        <v>45</v>
      </c>
      <c r="H5" s="205"/>
      <c r="I5" s="206"/>
      <c r="J5" s="206"/>
    </row>
    <row r="6" spans="1:13" ht="66">
      <c r="A6" s="21"/>
      <c r="B6" s="21"/>
      <c r="C6" s="21"/>
      <c r="D6" s="21"/>
      <c r="E6" s="22" t="s">
        <v>1520</v>
      </c>
      <c r="F6" s="21"/>
      <c r="G6" s="21"/>
      <c r="H6" s="23" t="s">
        <v>201</v>
      </c>
      <c r="I6" s="21"/>
      <c r="J6" s="21"/>
    </row>
    <row r="7" spans="1:13">
      <c r="A7" s="27"/>
      <c r="B7" s="27"/>
      <c r="C7" s="27"/>
      <c r="D7" s="27"/>
      <c r="E7" s="27"/>
      <c r="F7" s="27"/>
      <c r="G7" s="27"/>
      <c r="H7" s="27"/>
      <c r="I7" s="27"/>
      <c r="J7" s="27"/>
    </row>
    <row r="8" spans="1:13">
      <c r="A8" s="27"/>
      <c r="B8" s="27"/>
      <c r="C8" s="27"/>
      <c r="D8" s="27"/>
      <c r="E8" s="27"/>
      <c r="F8" s="27"/>
      <c r="G8" s="27"/>
      <c r="H8" s="27"/>
      <c r="I8" s="27"/>
      <c r="J8" s="27"/>
    </row>
    <row r="9" spans="1:13">
      <c r="A9" s="27"/>
      <c r="B9" s="27"/>
      <c r="C9" s="27"/>
      <c r="D9" s="27"/>
      <c r="E9" s="27"/>
      <c r="F9" s="27" t="s">
        <v>1521</v>
      </c>
      <c r="G9" s="27"/>
      <c r="H9" s="27"/>
      <c r="I9" s="27"/>
      <c r="J9" s="27"/>
    </row>
    <row r="10" spans="1:13">
      <c r="A10" s="28"/>
      <c r="B10" s="28"/>
      <c r="C10" s="28"/>
      <c r="D10" s="28"/>
      <c r="E10" s="28"/>
      <c r="F10" s="28" t="s">
        <v>1522</v>
      </c>
      <c r="G10" s="28"/>
      <c r="H10" s="28"/>
      <c r="I10" s="28"/>
      <c r="J10" s="28"/>
    </row>
    <row r="12" spans="1:13" ht="98.25" customHeight="1">
      <c r="A12" s="199" t="s">
        <v>1523</v>
      </c>
      <c r="B12" s="200"/>
      <c r="C12" s="200"/>
      <c r="D12" s="200"/>
      <c r="E12" s="200"/>
      <c r="F12" s="200"/>
      <c r="G12" s="200"/>
      <c r="H12" s="200"/>
      <c r="I12" s="200"/>
      <c r="J12" s="200"/>
      <c r="K12" s="200"/>
      <c r="L12" s="200"/>
      <c r="M12" s="200"/>
    </row>
  </sheetData>
  <mergeCells count="11">
    <mergeCell ref="A1:J1"/>
    <mergeCell ref="A12:M12"/>
    <mergeCell ref="A4:A5"/>
    <mergeCell ref="B4:B5"/>
    <mergeCell ref="C4:C5"/>
    <mergeCell ref="D4:D5"/>
    <mergeCell ref="E4:E5"/>
    <mergeCell ref="H4:H5"/>
    <mergeCell ref="I4:I5"/>
    <mergeCell ref="J4:J5"/>
    <mergeCell ref="F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Index</vt:lpstr>
      <vt:lpstr>Table 1</vt:lpstr>
      <vt:lpstr>Table 2</vt:lpstr>
      <vt:lpstr>Table 3</vt:lpstr>
      <vt:lpstr>Table 4</vt:lpstr>
      <vt:lpstr>Table 5</vt:lpstr>
      <vt:lpstr>Table 6 BUR</vt:lpstr>
      <vt:lpstr>Table 6 a</vt:lpstr>
      <vt:lpstr>Table 7 </vt:lpstr>
      <vt:lpstr>Table 8</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Jaypalsinh Chauhan</dc:creator>
  <cp:keywords/>
  <dc:description/>
  <cp:lastModifiedBy>Rizaldi Boer</cp:lastModifiedBy>
  <cp:revision/>
  <dcterms:created xsi:type="dcterms:W3CDTF">2023-09-25T08:44:46Z</dcterms:created>
  <dcterms:modified xsi:type="dcterms:W3CDTF">2024-12-11T01:10:22Z</dcterms:modified>
  <cp:category/>
  <cp:contentStatus/>
</cp:coreProperties>
</file>