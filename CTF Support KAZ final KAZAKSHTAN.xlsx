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gulmira.sergazina\Desktop\Gulmira S\1_Projects Implem_2024_2028\1_9NC_1&amp;2BTRs\BTR 1 in 2024\Prefinal 1BTR\1BTR text for Resubmission\"/>
    </mc:Choice>
  </mc:AlternateContent>
  <xr:revisionPtr revIDLastSave="0" documentId="13_ncr:1_{B312152A-05E9-4CA8-A1D2-5B46D6D48C02}" xr6:coauthVersionLast="47" xr6:coauthVersionMax="47" xr10:uidLastSave="{00000000-0000-0000-0000-000000000000}"/>
  <bookViews>
    <workbookView xWindow="28680" yWindow="-120" windowWidth="29040" windowHeight="15720" xr2:uid="{00000000-000D-0000-FFFF-FFFF00000000}"/>
  </bookViews>
  <sheets>
    <sheet name=" Index sheet" sheetId="1" r:id="rId1"/>
    <sheet name=" Table6" sheetId="2" r:id="rId2"/>
    <sheet name=" Table7" sheetId="3" r:id="rId3"/>
    <sheet name=" Table8" sheetId="4" r:id="rId4"/>
    <sheet name=" Table9" sheetId="5" r:id="rId5"/>
    <sheet name=" Table10" sheetId="6" r:id="rId6"/>
    <sheet name=" Table11" sheetId="7" r:id="rId7"/>
    <sheet name=" Table12" sheetId="8" r:id="rId8"/>
    <sheet name=" Table 13"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3" l="1"/>
  <c r="G16" i="3"/>
  <c r="G23" i="2" l="1"/>
  <c r="G15" i="8" l="1"/>
  <c r="G12" i="8"/>
  <c r="G15" i="3" l="1"/>
  <c r="G14" i="3"/>
  <c r="G13" i="3"/>
  <c r="G12" i="3"/>
  <c r="G11" i="3"/>
  <c r="G10" i="3"/>
  <c r="G9" i="3"/>
  <c r="G14" i="8"/>
  <c r="G13" i="8"/>
  <c r="G11" i="8"/>
  <c r="G10" i="8"/>
  <c r="G9" i="8"/>
  <c r="G10" i="9"/>
  <c r="G9" i="9"/>
  <c r="F22" i="2"/>
  <c r="F21" i="2"/>
  <c r="F20" i="2" l="1"/>
  <c r="F19" i="2"/>
  <c r="F18" i="2"/>
  <c r="F17" i="2"/>
  <c r="F16" i="2"/>
  <c r="F15" i="2"/>
  <c r="F14" i="2"/>
  <c r="F13" i="2"/>
  <c r="F12" i="2"/>
  <c r="F11" i="2"/>
  <c r="F10" i="2"/>
  <c r="F23" i="2" l="1"/>
  <c r="K17" i="9"/>
</calcChain>
</file>

<file path=xl/sharedStrings.xml><?xml version="1.0" encoding="utf-8"?>
<sst xmlns="http://schemas.openxmlformats.org/spreadsheetml/2006/main" count="1006" uniqueCount="584">
  <si>
    <t>Index</t>
  </si>
  <si>
    <t>TABLE</t>
  </si>
  <si>
    <t>Explanatory information</t>
  </si>
  <si>
    <t>Tables for developed country Parties and other Parties that provide support</t>
  </si>
  <si>
    <t>Tables to be provided by developing country Parties, to the extent possible</t>
  </si>
  <si>
    <t>Table6</t>
  </si>
  <si>
    <t>Table7</t>
  </si>
  <si>
    <t>Table8</t>
  </si>
  <si>
    <t>Table9</t>
  </si>
  <si>
    <t>Table10</t>
  </si>
  <si>
    <t>Table11</t>
  </si>
  <si>
    <t>Table12</t>
  </si>
  <si>
    <t>Table 13</t>
  </si>
  <si>
    <t>TABLE III.6</t>
  </si>
  <si>
    <r>
      <t xml:space="preserve"> Information on financial support needed by developing country Parties under Article 9 of the Paris Agreement</t>
    </r>
    <r>
      <rPr>
        <b/>
        <vertAlign val="superscript"/>
        <sz val="12"/>
        <rFont val="Times New Roman"/>
        <family val="1"/>
      </rPr>
      <t>a, b</t>
    </r>
  </si>
  <si>
    <t>Exchange rate used:</t>
  </si>
  <si>
    <t>EXCHANGE_RATE</t>
  </si>
  <si>
    <t>Back to index</t>
  </si>
  <si>
    <r>
      <t>Additional information</t>
    </r>
    <r>
      <rPr>
        <i/>
        <vertAlign val="superscript"/>
        <sz val="9"/>
        <rFont val="Times New Roman"/>
        <family val="1"/>
      </rPr>
      <t>f</t>
    </r>
  </si>
  <si>
    <t>Domestic currency</t>
  </si>
  <si>
    <t>USD</t>
  </si>
  <si>
    <r>
      <t xml:space="preserve"> Notation keys:</t>
    </r>
    <r>
      <rPr>
        <sz val="9"/>
        <rFont val="Times New Roman"/>
        <family val="1"/>
      </rPr>
      <t>NA = not applicable; UA = information not available at the time of reporting; NR = not reported (to indicate the voluntary character of the information).</t>
    </r>
  </si>
  <si>
    <r>
      <rPr>
        <i/>
        <vertAlign val="superscript"/>
        <sz val="9"/>
        <rFont val="Times New Roman"/>
        <family val="1"/>
      </rPr>
      <t>a</t>
    </r>
    <r>
      <rPr>
        <sz val="9"/>
        <rFont val="Times New Roman"/>
        <family val="1"/>
      </rPr>
      <t>Developing country Parties should provide, in a common tabular format, information on financial support needed, to the extent possible, as available and as applicable.</t>
    </r>
  </si>
  <si>
    <r>
      <rPr>
        <i/>
        <vertAlign val="superscript"/>
        <sz val="9"/>
        <rFont val="Times New Roman"/>
        <family val="1"/>
      </rPr>
      <t>b</t>
    </r>
    <r>
      <rPr>
        <sz val="9"/>
        <rFont val="Times New Roman"/>
        <family val="1"/>
      </rPr>
      <t xml:space="preserve"> Parties include information on support needed from the reporting year of the BTR.</t>
    </r>
  </si>
  <si>
    <r>
      <rPr>
        <i/>
        <vertAlign val="superscript"/>
        <sz val="9"/>
        <rFont val="Times New Roman"/>
        <family val="1"/>
      </rPr>
      <t>c</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</si>
  <si>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d</t>
    </r>
    <r>
      <rPr>
        <sz val="9"/>
        <rFont val="Times New Roman"/>
        <family val="1"/>
      </rPr>
      <t xml:space="preserve"> If “other”, Parties should specify this information.</t>
    </r>
  </si>
  <si>
    <r>
      <rPr>
        <i/>
        <vertAlign val="superscript"/>
        <sz val="9"/>
        <rFont val="Times New Roman"/>
        <family val="1"/>
      </rPr>
      <t>e</t>
    </r>
    <r>
      <rPr>
        <sz val="9"/>
        <rFont val="Times New Roman"/>
        <family val="1"/>
      </rPr>
      <t xml:space="preserve"> This refers to funding for activities that have both mitigation and adaptation components.</t>
    </r>
  </si>
  <si>
    <r>
      <rPr>
        <i/>
        <vertAlign val="superscript"/>
        <sz val="9"/>
        <rFont val="Times New Roman"/>
        <family val="1"/>
      </rPr>
      <t xml:space="preserve"> f</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</si>
  <si>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</si>
  <si>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t>(1)The underlying assumptions, definitions and methodologies of the information in this CTF is available at: Section of the BTR Not specified Page number of the BTR Not specified</t>
  </si>
  <si>
    <t>(2)Custom Footnote 2</t>
  </si>
  <si>
    <t>TABLE III.7</t>
  </si>
  <si>
    <r>
      <t xml:space="preserve"> Information on financial support received by developing country Parties under Article 9 of the Paris Agreement</t>
    </r>
    <r>
      <rPr>
        <b/>
        <vertAlign val="superscript"/>
        <sz val="12"/>
        <rFont val="Times New Roman"/>
        <family val="1"/>
      </rPr>
      <t>a, b</t>
    </r>
  </si>
  <si>
    <r>
      <rPr>
        <i/>
        <vertAlign val="superscript"/>
        <sz val="9"/>
        <rFont val="Times New Roman"/>
        <family val="1"/>
      </rPr>
      <t>a</t>
    </r>
    <r>
      <rPr>
        <sz val="9"/>
        <rFont val="Times New Roman"/>
        <family val="1"/>
      </rPr>
      <t xml:space="preserve"> Developing country Parties should provide, in common tabular format, information on financial support received, to the extent possible, as available and as applicable.</t>
    </r>
  </si>
  <si>
    <r>
      <rPr>
        <i/>
        <vertAlign val="superscript"/>
        <sz val="9"/>
        <rFont val="Times New Roman"/>
        <family val="1"/>
      </rPr>
      <t>b</t>
    </r>
    <r>
      <rPr>
        <sz val="9"/>
        <rFont val="Times New Roman"/>
        <family val="1"/>
      </rPr>
      <t xml:space="preserve"> Parties include information on support received, ongoing or planned since the previous BTR.</t>
    </r>
  </si>
  <si>
    <r>
      <rPr>
        <i/>
        <vertAlign val="superscript"/>
        <sz val="9"/>
        <rFont val="Times New Roman"/>
        <family val="1"/>
      </rPr>
      <t>f</t>
    </r>
    <r>
      <rPr>
        <sz val="9"/>
        <rFont val="Times New Roman"/>
        <family val="1"/>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</si>
  <si>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III.8</t>
  </si>
  <si>
    <r>
      <t xml:space="preserve"> Information on technology development and transfer support needed by developing country Parties under Article 10 of the Paris Agreement</t>
    </r>
    <r>
      <rPr>
        <b/>
        <vertAlign val="superscript"/>
        <sz val="12"/>
        <rFont val="Times New Roman"/>
        <family val="1"/>
      </rPr>
      <t>a, b</t>
    </r>
  </si>
  <si>
    <r>
      <rPr>
        <i/>
        <vertAlign val="superscript"/>
        <sz val="9"/>
        <rFont val="Times New Roman"/>
        <family val="1"/>
      </rPr>
      <t>a</t>
    </r>
    <r>
      <rPr>
        <sz val="9"/>
        <rFont val="Times New Roman"/>
        <family val="1"/>
      </rPr>
      <t xml:space="preserve"> Developing country Parties should provide, in a common tabular format, information on technology development and transfer support needed, to the extent possible, as available and as applicable.</t>
    </r>
  </si>
  <si>
    <r>
      <rPr>
        <i/>
        <vertAlign val="superscript"/>
        <sz val="9"/>
        <rFont val="Times New Roman"/>
        <family val="1"/>
      </rPr>
      <t>e</t>
    </r>
    <r>
      <rPr>
        <sz val="9"/>
        <rFont val="Times New Roman"/>
        <family val="1"/>
      </rPr>
      <t xml:space="preserve"> This refers to activities that have both mitigation and adaptation components.</t>
    </r>
  </si>
  <si>
    <t>TABLE III.9</t>
  </si>
  <si>
    <r>
      <t xml:space="preserve"> Information on technology development and transfer support received by developing country Parties under Article 10 of the Paris Agreement</t>
    </r>
    <r>
      <rPr>
        <b/>
        <vertAlign val="superscript"/>
        <sz val="12"/>
        <rFont val="Times New Roman"/>
        <family val="1"/>
      </rPr>
      <t>a, b</t>
    </r>
  </si>
  <si>
    <r>
      <rPr>
        <i/>
        <vertAlign val="superscript"/>
        <sz val="9"/>
        <rFont val="Times New Roman"/>
        <family val="1"/>
      </rPr>
      <t>a</t>
    </r>
    <r>
      <rPr>
        <sz val="9"/>
        <rFont val="Times New Roman"/>
        <family val="1"/>
      </rPr>
      <t xml:space="preserve"> Developing country Parties should provide, in common tabular format, information on technology development and transfer support received, to the extent possible, as available and as applicable.</t>
    </r>
  </si>
  <si>
    <t>(1)The underlying assumptions, definitions and methodologies of the information in this CTF is available at:</t>
  </si>
  <si>
    <t>TABLE III.10</t>
  </si>
  <si>
    <r>
      <t xml:space="preserve"> Information on capacity-building support needed by developing country Parties under Article 11 of the Paris Agreement</t>
    </r>
    <r>
      <rPr>
        <b/>
        <vertAlign val="superscript"/>
        <sz val="12"/>
        <rFont val="Times New Roman"/>
        <family val="1"/>
      </rPr>
      <t>a, b</t>
    </r>
  </si>
  <si>
    <r>
      <rPr>
        <i/>
        <vertAlign val="superscript"/>
        <sz val="9"/>
        <rFont val="Times New Roman"/>
        <family val="1"/>
      </rPr>
      <t>a</t>
    </r>
    <r>
      <rPr>
        <sz val="9"/>
        <rFont val="Times New Roman"/>
        <family val="1"/>
      </rPr>
      <t xml:space="preserve"> Developing country Parties should provide, in common tabular format, information on capacity-building support needed, to the extent possible, as available and as applicable.</t>
    </r>
  </si>
  <si>
    <t>TABLE III.11</t>
  </si>
  <si>
    <r>
      <t xml:space="preserve"> Information on capacity-building support received by developing country Parties under Article 11 of the Paris Agreement</t>
    </r>
    <r>
      <rPr>
        <b/>
        <vertAlign val="superscript"/>
        <sz val="12"/>
        <rFont val="Times New Roman"/>
        <family val="1"/>
      </rPr>
      <t>a, b</t>
    </r>
  </si>
  <si>
    <r>
      <t>Title of activity, program, project or other</t>
    </r>
    <r>
      <rPr>
        <b/>
        <i/>
        <vertAlign val="superscript"/>
        <sz val="9"/>
        <rFont val="Times New Roman"/>
        <family val="1"/>
      </rPr>
      <t>c, d</t>
    </r>
  </si>
  <si>
    <r>
      <rPr>
        <i/>
        <vertAlign val="superscript"/>
        <sz val="9"/>
        <rFont val="Times New Roman"/>
        <family val="1"/>
      </rPr>
      <t>a</t>
    </r>
    <r>
      <rPr>
        <sz val="9"/>
        <rFont val="Times New Roman"/>
        <family val="1"/>
      </rPr>
      <t xml:space="preserve"> Developing country Parties should provide, in common tabular format, information on capacity-building support received, to the extent possible, as available and as applicable.</t>
    </r>
  </si>
  <si>
    <r>
      <rPr>
        <i/>
        <vertAlign val="superscript"/>
        <sz val="9"/>
        <rFont val="Times New Roman"/>
        <family val="1"/>
      </rPr>
      <t>e</t>
    </r>
    <r>
      <rPr>
        <sz val="9"/>
        <rFont val="Times New Roman"/>
        <family val="1"/>
      </rPr>
      <t xml:space="preserve"> This refers to activities that have both mitigation and adaptation components</t>
    </r>
  </si>
  <si>
    <t>TABLE III.12</t>
  </si>
  <si>
    <r>
      <t xml:space="preserve"> Information on support needed by developing country Parties for the implementation of Article 13 of the Paris Agreement and transparency-related activities, including for transparency-related capacity-building</t>
    </r>
    <r>
      <rPr>
        <b/>
        <vertAlign val="superscript"/>
        <sz val="12"/>
        <rFont val="Times New Roman"/>
        <family val="1"/>
      </rPr>
      <t>a, b</t>
    </r>
  </si>
  <si>
    <t>Additional information</t>
  </si>
  <si>
    <r>
      <rPr>
        <i/>
        <vertAlign val="superscript"/>
        <sz val="9"/>
        <rFont val="Times New Roman"/>
        <family val="1"/>
      </rPr>
      <t>a</t>
    </r>
    <r>
      <rPr>
        <sz val="9"/>
        <rFont val="Times New Roman"/>
        <family val="1"/>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</si>
  <si>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</si>
  <si>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</si>
  <si>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r>
      <rPr>
        <i/>
        <vertAlign val="superscript"/>
        <sz val="9"/>
        <rFont val="Times New Roman"/>
        <family val="1"/>
      </rPr>
      <t>a</t>
    </r>
    <r>
      <rPr>
        <sz val="9"/>
        <rFont val="Times New Roman"/>
        <family val="1"/>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</si>
  <si>
    <t>Forestry</t>
  </si>
  <si>
    <t>Afforestation</t>
  </si>
  <si>
    <t>Planting a forest on an area of 2,000 hectares in the Pavlodar region to obtain carbon offset units. The project is planned to be implemented jointly with Chevron Corp.</t>
  </si>
  <si>
    <t>UA</t>
  </si>
  <si>
    <t>Energy</t>
  </si>
  <si>
    <t>Oil and gas</t>
  </si>
  <si>
    <t>2031–2060</t>
  </si>
  <si>
    <t>2045–2060</t>
  </si>
  <si>
    <t>Agriculture</t>
  </si>
  <si>
    <t>Fish farming</t>
  </si>
  <si>
    <t>Organic trout production</t>
  </si>
  <si>
    <t>The project envisages the cultivation of sea trout (Oncorhynchus mykiss) in cages with a capacity of 5,000 tons of fish per year. Location: Caspian Sea, 3,000 hectares, 20 km from the port of Kuryk. The lease of the site for the project was agreed upon by the Fisheries Committee of the Ministry of Ecology and Natural Resources of the Republic of Kazakhstan, approved by the Mangistau Regional Akimat</t>
  </si>
  <si>
    <t>2025-2031 (achievement of full planned scale)</t>
  </si>
  <si>
    <t>2025-2027 (achievement of full planned scale)</t>
  </si>
  <si>
    <t>2026 (full planned scale achieved)</t>
  </si>
  <si>
    <t>Industry</t>
  </si>
  <si>
    <t>Food industry</t>
  </si>
  <si>
    <t>Deep and comprehensive use of raw materials (oil seeds) for maximum yield of useful products</t>
  </si>
  <si>
    <t>2025-2026</t>
  </si>
  <si>
    <r>
      <t>Sector</t>
    </r>
    <r>
      <rPr>
        <b/>
        <i/>
        <vertAlign val="superscript"/>
        <sz val="9"/>
        <rFont val="Times New Roman"/>
        <family val="1"/>
      </rPr>
      <t>c</t>
    </r>
  </si>
  <si>
    <r>
      <t>Subsector</t>
    </r>
    <r>
      <rPr>
        <b/>
        <i/>
        <vertAlign val="superscript"/>
        <sz val="9"/>
        <rFont val="Times New Roman"/>
        <family val="1"/>
      </rPr>
      <t>c</t>
    </r>
  </si>
  <si>
    <r>
      <t>Expected time frame</t>
    </r>
    <r>
      <rPr>
        <b/>
        <i/>
        <vertAlign val="superscript"/>
        <sz val="9"/>
        <rFont val="Times New Roman"/>
        <family val="1"/>
      </rPr>
      <t>c</t>
    </r>
  </si>
  <si>
    <r>
      <t>Type of support</t>
    </r>
    <r>
      <rPr>
        <b/>
        <i/>
        <vertAlign val="superscript"/>
        <sz val="9"/>
        <rFont val="Times New Roman"/>
        <family val="1"/>
      </rPr>
      <t>c</t>
    </r>
  </si>
  <si>
    <r>
      <t>Expected use, impact and estimated results</t>
    </r>
    <r>
      <rPr>
        <b/>
        <i/>
        <vertAlign val="superscript"/>
        <sz val="9"/>
        <rFont val="Times New Roman"/>
        <family val="1"/>
      </rPr>
      <t>c</t>
    </r>
  </si>
  <si>
    <r>
      <t>Additional information</t>
    </r>
    <r>
      <rPr>
        <b/>
        <i/>
        <vertAlign val="superscript"/>
        <sz val="9"/>
        <rFont val="Times New Roman"/>
        <family val="1"/>
      </rPr>
      <t>f</t>
    </r>
  </si>
  <si>
    <t>The project envisages the production of high-quality alfalfa-based feed on a land plot with a total area of 10,000 hectares.</t>
  </si>
  <si>
    <t>Adaptation</t>
  </si>
  <si>
    <t>Fertilizers</t>
  </si>
  <si>
    <t>The project plans to utilize off-balance (oxidized in seams) brown coals, which are unutilized mining waste that pollutes the environment.</t>
  </si>
  <si>
    <t>Solid biofuel</t>
  </si>
  <si>
    <t>Waste management</t>
  </si>
  <si>
    <t>2025-2028</t>
  </si>
  <si>
    <t>Reusing plastic reduces greenhouse gas emissions and environmental pollution</t>
  </si>
  <si>
    <t>Production of pulp and paper products from straw</t>
  </si>
  <si>
    <t>Implementation of a pilot project for the production of blue hydrogen (using CCUS technology)</t>
  </si>
  <si>
    <t>Multilateral</t>
  </si>
  <si>
    <t>Host Government</t>
  </si>
  <si>
    <t>Natural Gas Power Plants</t>
  </si>
  <si>
    <t>1</t>
  </si>
  <si>
    <t>In progress</t>
  </si>
  <si>
    <t>The main objective of the project is to reduce CO2 emissions in the city by approximately 3 million tons (a reduction of approximately 56%) and completely eliminate particulate matter and NOx emissions into the atmosphere. The latter is particularly important given Almaty’s statistics on pollution-related diseases - according to research conducted by the Asfendiyarov Kazakh National Medical University, 24% of adults and 57% of children in Almaty suffer from chronic lung diseases (statistics for 2013-2017), which is higher than the national average and 2-3 times higher than in comparable urban areas of the CIS. The project will be implemented under an EPC contract, and the contractor will be selected in accordance with the EBRD’s PP&amp;R for public sector operations. Compliance of the technical design with best available techniques is a condition of the procurement.</t>
  </si>
  <si>
    <t>https://www.ebrd.com/sites/Satellite?c=Content&amp;cid=1395307663090&amp;pagename=EBRD%2FContent%2FDownloadDocument</t>
  </si>
  <si>
    <t>The Private Sector and a More Sustainable Economic Recovery DPF</t>
  </si>
  <si>
    <t>World Bank Program - Support for Institutional and Policy Change</t>
  </si>
  <si>
    <t>Energy Policy and Management</t>
  </si>
  <si>
    <t>Completed</t>
  </si>
  <si>
    <t>The Development Objectives of the Development Policy Financing for a More Resilient, Private Sector-led Economic Recovery in Kazakhstan supports institutional and policy changes for: (i) a more competitive economy driven by a dynamic private sector and a responsible public sector; and (ii) a sustainable economic transition.</t>
  </si>
  <si>
    <t xml:space="preserve"> https://projects.worldbank.org/en/projects-operations/project-detail/P174367 https://financesone.worldbank.org/countries/kazakhstan#:~:text=Economic%20Recovery%20DPF-,IBRD93110,-400%2C000%2C000</t>
  </si>
  <si>
    <t>Atyrau Oil Refinery, LLC</t>
  </si>
  <si>
    <t>Energy production (fossil fuels)</t>
  </si>
  <si>
    <t>The loan funds will be used to improve resource efficiency and reduce harmful emissions by upgrading industrial water treatment plants, which should result in increased water reuse and the resolution of long-standing environmental problems through the rehabilitation of evaporation ponds adjacent to the city of Atyrau with a total area of 860 hectares.</t>
  </si>
  <si>
    <t xml:space="preserve"> https://www.ebrd.com/what-we-do/project-information/environment-social-info-documents/1395298775269/Atyrau_Refinery_NTS_(Russian).pdf?blobnocache=true https://www.anpz.kz/press_center/news/?ELEMENT_ID=75881</t>
  </si>
  <si>
    <t>Expansion of Almaty International Airport</t>
  </si>
  <si>
    <t>Transport</t>
  </si>
  <si>
    <t>Air transport</t>
  </si>
  <si>
    <t>The new terminal will be the first green airport in Central Asia to be certified according to the EDGE Advanced standard. By implementing climate mitigation, water conservation and material efficiency methods, supported by a commitment to obtain EDGE certification at 40% higher than the baseline levels defined by national standards, the Project meets the requirements of the Transition to a Green Economy concept.</t>
  </si>
  <si>
    <t xml:space="preserve"> https://www.ebrd.com/work-with-us/projects/psd-translation/51186/1395294374874/Almaty_International_Airport_Expansion_(Russian).pdf?blobnocache=true</t>
  </si>
  <si>
    <t>Electricity generation from non-renewable sources, not specified</t>
  </si>
  <si>
    <t>Component of the project mentioned above</t>
  </si>
  <si>
    <t xml:space="preserve"> https://financesone.worldbank.org/countries/kazakhstan#:~:text=Economic%20Recovery%20DPF-,IBRD93110,-400%2C000%2C000 https://projects.worldbank.org/en/projects-operations/project-detail/P174367</t>
  </si>
  <si>
    <t>Reconstruction of the Kyzyl-Orda-Zhezkazgan road</t>
  </si>
  <si>
    <t>EBRD: Provision of a loan of 96.9 billion tenge (two tranches) under a sovereign guarantee to JSC KazAvtoZhol, a 100% state-owned road operator. The 1st tranche of 74.8 billion tenge will be used to reconstruct a 204 km section of the road between the cities of Kyzylorda and Zhezkazgan. The 2nd tranche of 22.1 billion tenge will be used to build a 14.8 km bypass road around Kyzylorda, adjacent to the highway.</t>
  </si>
  <si>
    <t>Road transport</t>
  </si>
  <si>
    <t>The project includes climate change adaptation measures to increase the road's resilience to increasingly frequent extreme weather events.</t>
  </si>
  <si>
    <t xml:space="preserve"> https://www.ebrd.com/sites/Satellite?c=Content&amp;cid=1395298778312&amp;pagename=EBRD%2FContent%2FDownloadDocument</t>
  </si>
  <si>
    <t>Intersectoral</t>
  </si>
  <si>
    <t>Environment - Policy and Management</t>
  </si>
  <si>
    <t>Completed</t>
  </si>
  <si>
    <t>Component of the 2 projects mentioned above</t>
  </si>
  <si>
    <t xml:space="preserve"> https://financesone.worldbank.org/countries/kazakhstan#:~:text=Economic%20Recovery%20DPF-,IBRD93110,-400%2C000%2C000 https://projects.worldbank.org/en/projects-operations/project-detail/P174367</t>
  </si>
  <si>
    <r>
      <t>Title of activity, program, project or other</t>
    </r>
    <r>
      <rPr>
        <b/>
        <i/>
        <vertAlign val="superscript"/>
        <sz val="11"/>
        <rFont val="Times New Roman"/>
        <family val="1"/>
      </rPr>
      <t>c, d</t>
    </r>
  </si>
  <si>
    <r>
      <t>Program/project description</t>
    </r>
    <r>
      <rPr>
        <b/>
        <i/>
        <vertAlign val="superscript"/>
        <sz val="11"/>
        <rFont val="Times New Roman"/>
        <family val="1"/>
      </rPr>
      <t>c</t>
    </r>
  </si>
  <si>
    <r>
      <t>Channel</t>
    </r>
    <r>
      <rPr>
        <b/>
        <i/>
        <vertAlign val="superscript"/>
        <sz val="11"/>
        <rFont val="Times New Roman"/>
        <family val="1"/>
      </rPr>
      <t>c</t>
    </r>
  </si>
  <si>
    <r>
      <t>Recipient entity</t>
    </r>
    <r>
      <rPr>
        <b/>
        <i/>
        <vertAlign val="superscript"/>
        <sz val="11"/>
        <rFont val="Times New Roman"/>
        <family val="1"/>
      </rPr>
      <t>c</t>
    </r>
  </si>
  <si>
    <r>
      <t>Implementing entity</t>
    </r>
    <r>
      <rPr>
        <b/>
        <i/>
        <vertAlign val="superscript"/>
        <sz val="11"/>
        <rFont val="Times New Roman"/>
        <family val="1"/>
      </rPr>
      <t>c</t>
    </r>
  </si>
  <si>
    <r>
      <t>Amount received_x000D_ (climate-specific)</t>
    </r>
    <r>
      <rPr>
        <b/>
        <i/>
        <vertAlign val="superscript"/>
        <sz val="11"/>
        <rFont val="Times New Roman"/>
        <family val="1"/>
      </rPr>
      <t>c</t>
    </r>
  </si>
  <si>
    <r>
      <t>Time frame</t>
    </r>
    <r>
      <rPr>
        <b/>
        <i/>
        <vertAlign val="superscript"/>
        <sz val="11"/>
        <rFont val="Times New Roman"/>
        <family val="1"/>
      </rPr>
      <t>c</t>
    </r>
  </si>
  <si>
    <r>
      <t>Financial instrument</t>
    </r>
    <r>
      <rPr>
        <b/>
        <i/>
        <vertAlign val="superscript"/>
        <sz val="11"/>
        <rFont val="Times New Roman"/>
        <family val="1"/>
      </rPr>
      <t>c</t>
    </r>
  </si>
  <si>
    <r>
      <t>Status</t>
    </r>
    <r>
      <rPr>
        <b/>
        <i/>
        <vertAlign val="superscript"/>
        <sz val="11"/>
        <rFont val="Times New Roman"/>
        <family val="1"/>
      </rPr>
      <t>c</t>
    </r>
  </si>
  <si>
    <r>
      <t>Type of support</t>
    </r>
    <r>
      <rPr>
        <b/>
        <i/>
        <vertAlign val="superscript"/>
        <sz val="11"/>
        <rFont val="Times New Roman"/>
        <family val="1"/>
      </rPr>
      <t>c</t>
    </r>
  </si>
  <si>
    <r>
      <t>Sector</t>
    </r>
    <r>
      <rPr>
        <b/>
        <i/>
        <vertAlign val="superscript"/>
        <sz val="11"/>
        <rFont val="Times New Roman"/>
        <family val="1"/>
      </rPr>
      <t>c</t>
    </r>
  </si>
  <si>
    <r>
      <t>Subsector</t>
    </r>
    <r>
      <rPr>
        <b/>
        <i/>
        <vertAlign val="superscript"/>
        <sz val="11"/>
        <rFont val="Times New Roman"/>
        <family val="1"/>
      </rPr>
      <t>c</t>
    </r>
  </si>
  <si>
    <r>
      <t>Contribution to technology development and transfer objectives</t>
    </r>
    <r>
      <rPr>
        <b/>
        <i/>
        <vertAlign val="superscript"/>
        <sz val="11"/>
        <rFont val="Times New Roman"/>
        <family val="1"/>
      </rPr>
      <t>c</t>
    </r>
  </si>
  <si>
    <r>
      <t>Contribution to capacity-building objectives</t>
    </r>
    <r>
      <rPr>
        <b/>
        <i/>
        <vertAlign val="superscript"/>
        <sz val="11"/>
        <rFont val="Times New Roman"/>
        <family val="1"/>
      </rPr>
      <t>c</t>
    </r>
  </si>
  <si>
    <r>
      <t>Activity status</t>
    </r>
    <r>
      <rPr>
        <b/>
        <i/>
        <vertAlign val="superscript"/>
        <sz val="11"/>
        <rFont val="Times New Roman"/>
        <family val="1"/>
      </rPr>
      <t>c</t>
    </r>
  </si>
  <si>
    <r>
      <t>Use, impact and results</t>
    </r>
    <r>
      <rPr>
        <b/>
        <i/>
        <vertAlign val="superscript"/>
        <sz val="11"/>
        <rFont val="Times New Roman"/>
        <family val="1"/>
      </rPr>
      <t>c</t>
    </r>
  </si>
  <si>
    <t>Energy</t>
  </si>
  <si>
    <t>Expertise of the energy system and large-scale implementation of smart grid - for energy balancing. Organization of exhibitions of technologies and equipment. Joint French-Kazakh plant, similar to the French-Australian Pilot projects on energy saving, thermal insulation of buildings and distribution of heat pumps and others. Creation of permanent demonstration and training centers at the local level. Creation of a revolving fund for preferential microcredit Pilot projects Creation of permanent demonstration and training centers at the local level Pilot projects Joint Canadian-French-Kazakh cooperation on natural geological hydrogen Pilot projects Trainings Joint Canadian-Chinese-Kazakh cooperation on contour-strip organization of lands with forest shelterbelts German-USA-Kazakh cooperation on accumulation of flood waters in underground horizons Flood-MAR</t>
  </si>
  <si>
    <t>mitigation</t>
  </si>
  <si>
    <t>2025- 2030 2025- 2030</t>
  </si>
  <si>
    <t>Modular, mobile</t>
  </si>
  <si>
    <t>2025- 2030</t>
  </si>
  <si>
    <t>Development of electric transport</t>
  </si>
  <si>
    <t>Carbon capture and storage and atmospheric emissions Technologies for the accumulation of natural geological gas methane-hydrogen from abandoned mines of mining companies for the production of electricity</t>
  </si>
  <si>
    <t>CCS plants</t>
  </si>
  <si>
    <t>Reducing GHG and pollutant emissions</t>
  </si>
  <si>
    <t>https://www.science.org/content/article/hidden-hydrogen-earth-may-hold-vast-stores-renewable-carbon-free-fuel, https://hydroma.ca/</t>
  </si>
  <si>
    <t>adaptation mitigation/ adaptation</t>
  </si>
  <si>
    <t>2025- 2030 2025- 2030</t>
  </si>
  <si>
    <t>https://www.unesco.org/en/iggp/geoparks/about</t>
  </si>
  <si>
    <t>mitigation, adaptation</t>
  </si>
  <si>
    <t>Training programs, demo sites</t>
  </si>
  <si>
    <t>2025- 2030</t>
  </si>
  <si>
    <t>Water and Sanitation</t>
  </si>
  <si>
    <t>Training programs, demo sites, Service</t>
  </si>
  <si>
    <t xml:space="preserve"> ,https://drive.google.com/file/d/1Vgr0pSSrkKg9TR07KoWZZSI6-h91e_92/view?usp=sharing</t>
  </si>
  <si>
    <t>Cross-cutting</t>
  </si>
  <si>
    <t>Stopping the extraction of water from rivers for irrigation by restoring the soil's water-retaining properties</t>
  </si>
  <si>
    <t>Training programs, demo sites, pilot projects</t>
  </si>
  <si>
    <t>Restoration of natural river regimes and water cycles. Restoration of soil fertility. Reduction of the threat of floods and inundations.</t>
  </si>
  <si>
    <t xml:space="preserve"> https://docs.google.com/document/d/1PqS17XOhzk8ay-0dZEdr1QReHKG09UEVCtt7OyrOay4/edit?usp=sharing</t>
  </si>
  <si>
    <t>RES</t>
  </si>
  <si>
    <t>EBRD Framework program on Renewable Energy</t>
  </si>
  <si>
    <t>Construction of renewable energy sources, Energy efficiency</t>
  </si>
  <si>
    <t>2022- 2027</t>
  </si>
  <si>
    <t>Kazakhstan</t>
  </si>
  <si>
    <t>Different</t>
  </si>
  <si>
    <t>Sany Group Co. Ltd</t>
  </si>
  <si>
    <t>2023- 2025</t>
  </si>
  <si>
    <t>https://www.sanyglobal.com/press_releases/2967/</t>
  </si>
  <si>
    <t>https://www.ebrd.com/news/2023/ebrd-helps-kazakhstan-add-100-mw-of-renewable-energy-capacity.html</t>
  </si>
  <si>
    <t>Development Bank of Kazakhstan</t>
  </si>
  <si>
    <t>Construction of renewable energy sources</t>
  </si>
  <si>
    <t>2022- 2024</t>
  </si>
  <si>
    <t>https://energomost.kz/en/news-en/the-accumulated-volume-of-investments-in-renewable-energy-in-kazakhstan-will-exceed-1-8-billion/#:~:text= The%20main%20national%20source%20of,installed%20capacity%20of%20295%20MW.</t>
  </si>
  <si>
    <t>Climate Adaptation and Mitigation Program for the Aral Sea Basin</t>
  </si>
  <si>
    <t>Water conservation, increasing agricultural productivity, renewable energy sources</t>
  </si>
  <si>
    <t>2021- 2024</t>
  </si>
  <si>
    <t>Central Asian countries</t>
  </si>
  <si>
    <t>https://projects.worldbank.org/en/projects-operations/project-detail/P151363</t>
  </si>
  <si>
    <t>Climate Adaptation Strategy for Central Asia</t>
  </si>
  <si>
    <t>Adaptation of agricultural, water and other sectors, pilot projects</t>
  </si>
  <si>
    <t>Glacier monitoring, emergency forecasting, information processing, databases</t>
  </si>
  <si>
    <t>2023- 2030</t>
  </si>
  <si>
    <t>Various, including NGOs from Central Asian countries</t>
  </si>
  <si>
    <t>agriculture, forestry, other</t>
  </si>
  <si>
    <t>Completed</t>
  </si>
  <si>
    <t xml:space="preserve"> https://greencentralasia.org/en/%D0%B3%D0%BB%D0%B0%D0%B2%D0%BD%D0%B0%D1%8F-english/</t>
  </si>
  <si>
    <t>The World Bank Operational Program for Kazakhstan</t>
  </si>
  <si>
    <t>Supporting the transition to low-carbon development, supporting the goals of the PS</t>
  </si>
  <si>
    <t>Water resources, infrastructure, energy networks</t>
  </si>
  <si>
    <t>2022- 2025</t>
  </si>
  <si>
    <t>https://www.vsemirnyjbank.org/ru/news/press-release/2024/03/14/shifting-to-a-more-competitive-greener-and-inclusive-economy-with-world-bank-support</t>
  </si>
  <si>
    <t>ADB framework program</t>
  </si>
  <si>
    <t>Integration of renewable energy sources into networks, Energy efficiency</t>
  </si>
  <si>
    <t>Power grids, transport, roads</t>
  </si>
  <si>
    <t>https://www.adb.org/where-we-work/kazakhstan</t>
  </si>
  <si>
    <t>https://sk.kz/press-center/news/76622/?lang=ru</t>
  </si>
  <si>
    <t>https://www.acwapower.com/news/acwa-power-signs-roadmap-agreement-for-1gw-wind-energy-and-battery-storage-project-in-kazakhstan/</t>
  </si>
  <si>
    <t>https://www.undp.org/ru/kazakhstan/projects/privlechenie-investorov-v-sektor-energoeffektivnosti-v-kazakhstane</t>
  </si>
  <si>
    <t xml:space="preserve"> https://24.kz/ru/news/social/item/675720-stroitelstvo-vetryanoj-elektrostantsii-zavershaetsya-v-ulytau</t>
  </si>
  <si>
    <t xml:space="preserve"> https://adilet.zan.kz/rus/docs/U2300000121</t>
  </si>
  <si>
    <t>Total Eren (60%), Samruk-Kazyna (20%), KazMunayGas (20%)</t>
  </si>
  <si>
    <t>2022-2024</t>
  </si>
  <si>
    <t>Total Eren</t>
  </si>
  <si>
    <t>ACWA Power, Saudi developer (1 GWt)</t>
  </si>
  <si>
    <t>ACWA</t>
  </si>
  <si>
    <t>Attracting investors to the energy efficiency sector (UNDP)</t>
  </si>
  <si>
    <t>Insulation of buildings</t>
  </si>
  <si>
    <t>2020-2024</t>
  </si>
  <si>
    <t>Damu Foundation</t>
  </si>
  <si>
    <t>Energy, construction</t>
  </si>
  <si>
    <t>Ulytau Wind Farm</t>
  </si>
  <si>
    <t>Ulytau Wind</t>
  </si>
  <si>
    <t>The Strategy on Achieving Carbon Neutrality by 2060 of Kazakhstan</t>
  </si>
  <si>
    <t>Construction of renewable energy sources, energy saving measures in all sectors, tree planting</t>
  </si>
  <si>
    <t>Energy efficiency, renewable energy sources</t>
  </si>
  <si>
    <t>2023- 2060</t>
  </si>
  <si>
    <t>Energy, transport, industry, agriculture, forestry, water supply and sanitation Other cross-cutting</t>
  </si>
  <si>
    <t/>
  </si>
  <si>
    <t>Planning</t>
  </si>
  <si>
    <t>Effective coordination of national climate policy</t>
  </si>
  <si>
    <t>Establishment of a coordinating commission under the President or Government, consisting of high-ranking officials representing various ministries and local authorities, with the authority to manage the process of developing and implementing measures in the field of climate change</t>
  </si>
  <si>
    <t>Complex</t>
  </si>
  <si>
    <t>2024-2025</t>
  </si>
  <si>
    <t>Effective coordination of national climate policy, clarification of goals and indicators and monitoring of activities for the implementation of climate programs and projects</t>
  </si>
  <si>
    <t xml:space="preserve"> https://adilet.zan.kz/rus/docs/P2300000313</t>
  </si>
  <si>
    <t>Private sector participation</t>
  </si>
  <si>
    <t>Accelerating reforms and achieving climate goals</t>
  </si>
  <si>
    <t>https://www.vsemirnyjbank.org/ru/news/press-release/2022/11/03/climate-action-can-help-kazakhstan-diversify-its-economy-away-from-oil-and-create-new-drivers-of-growth-world-bank</t>
  </si>
  <si>
    <t>Public participation</t>
  </si>
  <si>
    <t>Support for reforms by citizens of the country</t>
  </si>
  <si>
    <t>Programs to increase understanding and support for reforms</t>
  </si>
  <si>
    <t>2024-2030</t>
  </si>
  <si>
    <t>Building public support for climate policy</t>
  </si>
  <si>
    <t>https://www.vsemirnyjbank.org/ru/news/press-release/2022/11/03/climate-action-can-help-kazakhstan-diversify-its-economy-away-from-oil-and-create- new-drivers-of-growth-world-bank</t>
  </si>
  <si>
    <t>Water supply and sanitation</t>
  </si>
  <si>
    <t>Control</t>
  </si>
  <si>
    <t>Strengthening the institutional capacity of the water sector</t>
  </si>
  <si>
    <t>Development of criteria and procedures for taking climate risks into account in water policy, creation of strong and empowered basin and national water councils</t>
  </si>
  <si>
    <t>Climate policy criteria are taken into account in water policy on a systematic basis</t>
  </si>
  <si>
    <t>Planning solutions based on natural processes</t>
  </si>
  <si>
    <t>2024-2027</t>
  </si>
  <si>
    <t xml:space="preserve"> https://sdgs.un.org/partnerships/water-climate-healing-new-water-paradigm</t>
  </si>
  <si>
    <t>Reduction of forest fires and landscape carbon sequestration</t>
  </si>
  <si>
    <t xml:space="preserve"> http://www.worldbank.org.kz/</t>
  </si>
  <si>
    <t>Digital Climate Platform</t>
  </si>
  <si>
    <t>Improving the reliability and quality of data, its collection and analysis will help fill key information gaps and improve decision-making systems and their transparency, as well as the cooperation of all neutral stakeholders</t>
  </si>
  <si>
    <t>Financing</t>
  </si>
  <si>
    <t>Strengthening capacity to scale up climate finance.</t>
  </si>
  <si>
    <t>Preparation of high-quality projects, training courses and state support for innovation activities, research and development work. Pilot project to create a Public Fund with the participation of Kazakhmys and other stakeholders to finance the Lake Balkhash Basin Program</t>
  </si>
  <si>
    <t>Social policy</t>
  </si>
  <si>
    <t>Support for the population during the transition period</t>
  </si>
  <si>
    <t>2025-2030</t>
  </si>
  <si>
    <t xml:space="preserve"> https://www.undp.org/kazakhstan</t>
  </si>
  <si>
    <t>Reforming the subsidy system</t>
  </si>
  <si>
    <t>Targeted support for the population, just climate transition, Capacity building</t>
  </si>
  <si>
    <t>Coal sector</t>
  </si>
  <si>
    <t>Preparation for mine closure, closure and regional energy transition. In addition, all measures can be divided into the areas of institutional management, people and communities, as well as the elimination of environmental damage, land and asset conversion</t>
  </si>
  <si>
    <t>Mitigation</t>
  </si>
  <si>
    <t>2025-2035</t>
  </si>
  <si>
    <t>Reducing GHG emissions by 40-50%, Increasing potential and supporting green transition</t>
  </si>
  <si>
    <t>Education</t>
  </si>
  <si>
    <t>Improve access to information and its dissemination - create national and local (NGO-based) climate information centers; conduct information campaigns on the benefits of a “green” transition</t>
  </si>
  <si>
    <t>Capacity building and support for the green transition</t>
  </si>
  <si>
    <t>https://greencentralasia.org/en/%D0%B3%D0%BB%D0%B0%D0%B2%D0%BD%D0%B0%D1%8F-english/</t>
  </si>
  <si>
    <t>Construction of renewable energy sources, Energy efficiency. Clean transport. Green city (Almaty, Ust-Kamenogorsk) Education, trainings</t>
  </si>
  <si>
    <t>2019 - 2027</t>
  </si>
  <si>
    <t>Ministry of Energy, National Bank of Kazakhstan, local authorities, AIFC, SMEs</t>
  </si>
  <si>
    <t>Energy, Transport, Others</t>
  </si>
  <si>
    <t>Support for the transition to low-carbon development, adaptation to climate change in Central Asia. Support for the goals of the PS. Education, training</t>
  </si>
  <si>
    <t>2019- 2025</t>
  </si>
  <si>
    <t>Ministry of Energy, CAREC</t>
  </si>
  <si>
    <t>Energy and food security, environmental protection, increasing the share of renewable energy sources, energy efficiency, reducing greenhouse gases, increasing potential</t>
  </si>
  <si>
    <t>Construction of renewable energy sources. Development of energy efficiency. Education, trainings</t>
  </si>
  <si>
    <t>2022- 2024</t>
  </si>
  <si>
    <t>Kazakhstan organizations</t>
  </si>
  <si>
    <t>Energy, industry</t>
  </si>
  <si>
    <t>Reduction of CO2 emissions, Additional energy sources, Increasing the potential of SMEs</t>
  </si>
  <si>
    <t xml:space="preserve"> https://energomost.kz/en/news-en/the-accumulated-volume-of-investments-in-renewable-energy-in-kazakhstan-will-exceed-1-8-billion/#:~:text=The%20main%20national%20source%20of,installed%20capacity%20of%20295%20MW</t>
  </si>
  <si>
    <t>UNDP</t>
  </si>
  <si>
    <t>Supporting sustainable agriculture, renewable energy and emission reduction, Education, training</t>
  </si>
  <si>
    <t>2020- 2025</t>
  </si>
  <si>
    <t>Farmers, local communities, ministries</t>
  </si>
  <si>
    <t>Adaptation, mitigation</t>
  </si>
  <si>
    <t>Agriculture, energy</t>
  </si>
  <si>
    <t>Increasing agricultural sustainability and reducing emissions, Building capacity</t>
  </si>
  <si>
    <t>Adaptation of agricultural, water and other sectors, pilot projects. Education, trainings</t>
  </si>
  <si>
    <t>Agriculture, Forestry, Others</t>
  </si>
  <si>
    <t>Food security, environmental protection, emergency prevention, capacity building</t>
  </si>
  <si>
    <t>2022- 2027</t>
  </si>
  <si>
    <t>Transport, Agriculture, Water Supply and Sanitation Other cross-cutting</t>
  </si>
  <si>
    <t xml:space="preserve"> https://www.adb.org/where-we-work/kazakhstan</t>
  </si>
  <si>
    <t>Total Eren (60%), Samruk-Kazyna (20%), KazMunayGas (20%)</t>
  </si>
  <si>
    <t>Total Eren</t>
  </si>
  <si>
    <t>Reduction of CO2 emissions, Additional energy sources, Increased potential</t>
  </si>
  <si>
    <t>Climate Adaptation and Mitigation Program for the Aral Sea Basin (CAREC/ Worl Bank)</t>
  </si>
  <si>
    <t>2021- 2024</t>
  </si>
  <si>
    <t>Agriculture, Forestry, Water Supply and Sanitation Others</t>
  </si>
  <si>
    <t>Reducing CO2 emissions, Saving water, Additional energy sources, Increasing potential</t>
  </si>
  <si>
    <t>https://projects.worldbank.org/en/projects-operations/project-detail/P15136</t>
  </si>
  <si>
    <t>Japanese Government Projects</t>
  </si>
  <si>
    <t>2022- 2026</t>
  </si>
  <si>
    <t>Local water authorities, agriculture</t>
  </si>
  <si>
    <t>Government of Japan, companies</t>
  </si>
  <si>
    <t>Water resources, Agriculture</t>
  </si>
  <si>
    <t>https://www.undp.org/kazakhstan</t>
  </si>
  <si>
    <t>KazMunaiGas/ Chevron</t>
  </si>
  <si>
    <t>Energy companies</t>
  </si>
  <si>
    <t>KMG</t>
  </si>
  <si>
    <t>Reducing emissions and investing in green energy, Increasing potential</t>
  </si>
  <si>
    <t xml:space="preserve"> https://newsline.kz/ru/article/1086022</t>
  </si>
  <si>
    <t>UNDP: Strengthening National Capacities for Climate Risk Integration</t>
  </si>
  <si>
    <t>The program includes training, development of recommendations on climate risk management and assistance in creating a national climate strategy, Education, training</t>
  </si>
  <si>
    <t>2021- 2024</t>
  </si>
  <si>
    <t>Ministries, scientific and research institutions</t>
  </si>
  <si>
    <t>Public administration, science</t>
  </si>
  <si>
    <t>Strengthening institutional capacity to take climate risks into account, raising awareness among government agencies</t>
  </si>
  <si>
    <t xml:space="preserve"> https://www.kz.undp.org/content/kazakhstan/ru/home.html</t>
  </si>
  <si>
    <t>GIZ: Training of climate adaptation specialists based on natural processes</t>
  </si>
  <si>
    <t>The project is aimed at training specialists in public and private organizations to implement measures to adapt to climate change, Education, training</t>
  </si>
  <si>
    <t>2019- 2023</t>
  </si>
  <si>
    <t>Public and private organizations</t>
  </si>
  <si>
    <t>GIZ</t>
  </si>
  <si>
    <t>Education, public administration</t>
  </si>
  <si>
    <t>Improving the skills of employees and increasing potential, creating professional personnel to work with climate risks</t>
  </si>
  <si>
    <t xml:space="preserve"> https://www.giz.de/en/worldwide/10724.html</t>
  </si>
  <si>
    <t>Construction of renewable energy sources, Energy efficiency, Education, trainings</t>
  </si>
  <si>
    <t>2020- 2024</t>
  </si>
  <si>
    <t>SMEs, local organizations</t>
  </si>
  <si>
    <t>Adaptation, Mitigation</t>
  </si>
  <si>
    <t>Reducing CO2 emissions, Additional energy sources, increasing potential</t>
  </si>
  <si>
    <t>USAID: Central Asia Water and Environment Program, Climate Leadership Academy</t>
  </si>
  <si>
    <t>Grant programs for research institutes, small and medium-sized businesses, NGOs, Regional cooperation, Preparation of climate leaders and their training in project management methods for adaptation and mitigation of climate impacts. Trainings</t>
  </si>
  <si>
    <t>2021- 2025</t>
  </si>
  <si>
    <t>Preparing a new generation of climate leaders, raising awareness on climate change issues</t>
  </si>
  <si>
    <t xml:space="preserve"> https://www.usaid.gov/central-asia-regional</t>
  </si>
  <si>
    <t>OSCE: Strengthening Disaster Preparedness</t>
  </si>
  <si>
    <t>The program includes trainings and workshops to improve preparedness for climate-related disasters for government agencies and local communities.</t>
  </si>
  <si>
    <t>2019- 2023</t>
  </si>
  <si>
    <t>Government bodies, local communities</t>
  </si>
  <si>
    <t>OSCE</t>
  </si>
  <si>
    <t>Strengthening preparedness for climate threats, strengthening rapid response systems</t>
  </si>
  <si>
    <t>https://www.osce.org/central-asia</t>
  </si>
  <si>
    <t>EU Platform on Environment and Climate Change (EC-CA)</t>
  </si>
  <si>
    <t>Regional cooperation, support of seminars, trainings, information support, conferences</t>
  </si>
  <si>
    <t>2019- 2023</t>
  </si>
  <si>
    <t>EU</t>
  </si>
  <si>
    <t>Environmental Protection, Capacity Building</t>
  </si>
  <si>
    <t xml:space="preserve"> https://www.eeas.europa.eu/delegations/kazakhstan_en?s=222</t>
  </si>
  <si>
    <t>Reduction of CO2 emissions, Additional energy sources</t>
  </si>
  <si>
    <t xml:space="preserve"> Reduction of CO2 emissions, Additional energy sources</t>
  </si>
  <si>
    <t xml:space="preserve"> Food security, environmental protection, emergency prevention</t>
  </si>
  <si>
    <t>Energy and food security, environmental protection</t>
  </si>
  <si>
    <t>Energy and food security, environmental protection. Reduction of emissions, new energy sources</t>
  </si>
  <si>
    <t>Monitoring, reporting and verification</t>
  </si>
  <si>
    <t>Improve monitoring, reporting and verification (MRV) of data related to greenhouse gas emissions and adaptation measures</t>
  </si>
  <si>
    <t>MENR, UNDP</t>
  </si>
  <si>
    <t>Planned</t>
  </si>
  <si>
    <t>Improving Monitoring, Reporting and Verification (MRV) systems</t>
  </si>
  <si>
    <t>National Digital Climate Platform</t>
  </si>
  <si>
    <t>Creation of a single digital climate platform integrated with information platforms on energy, water resources, environmental protection and other sectors</t>
  </si>
  <si>
    <t>MENR, UNDP, Qazaq Green</t>
  </si>
  <si>
    <t>MENR, ICLT, UNDP</t>
  </si>
  <si>
    <t>Strengthening expert capacity for data collection, processing and analysis</t>
  </si>
  <si>
    <t>Strengthening regional Central Asian climate cooperation</t>
  </si>
  <si>
    <t>Strengthening capacities for cross-border cooperation and exchange of data and experience and for joint projects and initiatives</t>
  </si>
  <si>
    <t>2025-2027</t>
  </si>
  <si>
    <t>Strengthening the capacity of national and local organizations to use climate information to improve the effectiveness of climate programs and projects</t>
  </si>
  <si>
    <t>MENR, basin organizations, NGOs</t>
  </si>
  <si>
    <t>Public participation in the discussion of information and reports on climate commitments of Kazakhstan</t>
  </si>
  <si>
    <t>Seminars and training sessions for NGOs and local communities to engage them in the process of transparency and accountability, increasing the credibility and effectiveness of climate policy</t>
  </si>
  <si>
    <t>Ecoforum of NGOs of Kazakhstan</t>
  </si>
  <si>
    <t>Strengthening the capacity of public and local communities to improve the reliability of reporting and the effectiveness of climate programs and projects</t>
  </si>
  <si>
    <t>Improving the efficiency of information management, climate policy, sectoral and territorial planning and coordination</t>
  </si>
  <si>
    <t>Strengthening capacity and creating a working network in the region to improve climate action transparency systems (monitoring, reporting and visibility)</t>
  </si>
  <si>
    <t>2021-2024</t>
  </si>
  <si>
    <t>Regional</t>
  </si>
  <si>
    <t>Current</t>
  </si>
  <si>
    <t>Increasing transparency in reporting on emissions and climate action</t>
  </si>
  <si>
    <t>https://carececo.org/main/activity/projects/recath/</t>
  </si>
  <si>
    <t>Regional Initiative for Transparency of Climate Actions ICAT/CAREC</t>
  </si>
  <si>
    <t>Eighth National Communication and Fifth Biennial Report of Kazakhstan</t>
  </si>
  <si>
    <t>Providing data on GHG emissions, removals and climate change mitigation and adaptation measures</t>
  </si>
  <si>
    <t>Completed</t>
  </si>
  <si>
    <t>Strengthening climate reporting and meeting international commitments</t>
  </si>
  <si>
    <t>https://example.com/kazakhstan_climate_reporting</t>
  </si>
  <si>
    <t>adaptation</t>
  </si>
  <si>
    <t>A project to mitigate the impacts of deforestation</t>
  </si>
  <si>
    <t>Grant                                                      
                                                   Concessional loan
                                                                                                                                                        Cost-sharing with Chevron Corp</t>
  </si>
  <si>
    <t>2024-2025 - Finalization of the Working Plan for afforestation. Development and approval of the project for monetization of carbon units.                                                                                              2025-2029 - Planting and maintenance                                                                                               2031-2060 - Obtaining carbon units.</t>
  </si>
  <si>
    <t>The project will improve air quality, ecosystems and support biodiversity. Carbon offset units can be used to compensate CO2 emissions, as well as to attract international investments in reforestation and opening global carbon markets for Kazakhstan.</t>
  </si>
  <si>
    <t>The implementation of a forest-climate project for growing forests to generate carbon offset units is of key importance for the Republic of Kazakhstan. It contributes to reducing the country’s carbon footprint in line with national climate commitments, including the goal of achieving carbon neutrality by 2060.
The project is presented by the Ministry of Ecology and Natural Resources of the Republic of Kazakhstan</t>
  </si>
  <si>
    <t>Implementation of a pilot project for small-scale CCUS technology with a capacity of 9,000 tons of CO2 per year</t>
  </si>
  <si>
    <t>The low-carbon development program of JSC NC "KazMunayGas" seeks financial support from international sources</t>
  </si>
  <si>
    <t>The implementation of a small-scale CCUS technology pilot project will reduce greenhouse gas emissions by 9,000 tons of CO2 per year and introduce innovative technology</t>
  </si>
  <si>
    <t>The project aligns with Kazakhstan's strategy to achieve carbon neutrality by 2060.
The project is presented by JSC NC "KazMunayGas"</t>
  </si>
  <si>
    <t>The implementation of the CCUS technology project with a capacity of 412,000 tons of CO2 per year</t>
  </si>
  <si>
    <t>The implementation of the CCUS technology project will reduce greenhouse gas emissions by 412,000 tons of CO2 per year and introduce innovative technology</t>
  </si>
  <si>
    <t>The low-carbon development program of JSC NC "KazMunayGas" requires financial support from international sources</t>
  </si>
  <si>
    <t>The implementation of the project will reduce greenhouse gas emissions by 172,000 tons of CO2 per year</t>
  </si>
  <si>
    <t>Reducing transportation needs and replacing livestock products with fish will result in mitigating effects; replacing climate-sensitive food production will improve adaptation</t>
  </si>
  <si>
    <t>Implementation of the project will reduce pressure on biodiversity, as well as reduce emissions associated with the transportation of fish to Kazakhstan, and provide good conditions for saturation of the regional market (location near the port and transportation hub).
The project is in line with Kazakhstan's strategy to achieve carbon neutrality by 2060: “To further ensure food security, agroforestry and organic farming practices will be expanded and producer-consumer chains will be shortened”.
Organic Fish TOO project submitted through Kazakh Invest</t>
  </si>
  <si>
    <t>Animal feed</t>
  </si>
  <si>
    <t>The plant will enable more efficient use of poultry waste for animal feed production, with an output of approximately 5,750 tons of various products per year</t>
  </si>
  <si>
    <t>Waste reduction aligns with the Strategy for achieving carbon neutrality by 2060 and the NDCs.
The project of JSC "Aitas KZ" is submitted through "Kazakh Invest"</t>
  </si>
  <si>
    <t>Reducing waste, including bones and feathers, and reducing the need for transportation to deliver animal feed will result in mitigation effects; replacing feed for climate-sensitive animals will improve adaptation</t>
  </si>
  <si>
    <t>Hydroponic green fodder farming with a production capacity of 20 tons per day</t>
  </si>
  <si>
    <t>Year-round production of fresh green grass for cows, allowing for immediate consumption without drying. This improves the health and growth of the animals</t>
  </si>
  <si>
    <t>The hydroponic system allows efficient use of water and energy. Plants receive precise amounts of water and nutrients, automation saves energy.
Eliminating dependence on weather is an adaptive investment</t>
  </si>
  <si>
    <t>Water and energy savings are in line with the Strategy for Achieving Carbon Neutrality by 2060 and the LSE
Zhana-Bereke LLP project, part of the Altyn Taga cooperative, submitted through Kazakh Invest</t>
  </si>
  <si>
    <t>Oil extraction plant and by-products: protein and biofuel pellets</t>
  </si>
  <si>
    <t>2025-2028
(achieving full planned scale)</t>
  </si>
  <si>
    <t>The modern oil extraction plant will save energy and materials, as well as produce green fuel from waste, contributing to Kazakhstan's efforts to mitigate climate change and setting a new standard for the industry</t>
  </si>
  <si>
    <t>Raw material and energy savings align with the Strategy for achieving carbon neutrality by 2060 and the GHGIs.
The project, TOO "Atameken-Agro Oils," is submitted through "Kazakh Invest"</t>
  </si>
  <si>
    <t>The factory, with a capacity of 6,000 tons of fish feed per year, will be built on 10 hectares of land. By-products will be used to produce high-calorie animal feed. The factory will be located in the "Baiserke Agro" industrial zone, which has the necessary infrastructure</t>
  </si>
  <si>
    <t>The modern fish feed production plant will help save energy and materials, contributing to Kazakhstan's climate efforts and setting a new standard for the industry.
Aquaculture reduces the dependence of food production on climatic conditions (adaptation effect)</t>
  </si>
  <si>
    <t>The savings in raw materials and energy align with the Strategy for achieving carbon neutrality by 2060 and the NDCs.
The "KazBioFeed" project is submitted through Kazakh Invest</t>
  </si>
  <si>
    <t>Dependence on weather conditions and natural disasters increases the risk of crop losses or poor-quality harvests. The irrigation system minimizes the negative impact of weather conditions, contributing to climate change adaptation.</t>
  </si>
  <si>
    <t>Investments in climate change adaptation projects align with the Strategy for achieving carbon neutrality by 2060.
The project "Tin Oris" is presented through "Kazakh Invest"</t>
  </si>
  <si>
    <t>Production of organic and organo-humic complex fertilizers in Karaganda</t>
  </si>
  <si>
    <t>The replacement of chemical fertilizers with organic ones reduces greenhouse gas emissions</t>
  </si>
  <si>
    <t>Investments in waste processing projects align with the Strategy for achieving carbon neutrality by 2060.
The project of the Special Economic Zone Sary Arka is presented through Kazakh Invest</t>
  </si>
  <si>
    <t>The replacement of coal with biofuel will lead to a reduction in environmental pollution, a decrease in greenhouse gas emissions, and additional economic growth in the agricultural sector</t>
  </si>
  <si>
    <t>Renewable and environmentally friendly energy sources are in high demand in industrial enterprises in Europe and East Asia. Renewable energy is at the core of the UN Sustainable Development Goals (SDGs) and Kazakhstan's Strategy for achieving carbon neutrality by 2060.
The project "Armandas Star" is presented through "Kazakh Invest"</t>
  </si>
  <si>
    <t>Investments in waste recycling projects align with Kazakhstan's Strategy for achieving carbon neutrality by 2060 and the Environmental Code of Kazakhstan.
The project TOO "Ak-Service" is presented through "Kazakh Invest"</t>
  </si>
  <si>
    <t>Using straw instead of wood helps prevent deforestation and preserves carbon sequestration.
Reusing straw prevents CO2 and methane emissions (which would otherwise occur if the straw decomposed).</t>
  </si>
  <si>
    <t>Investments in waste recycling and forest conservation projects align with Kazakhstan's Strategy for achieving carbon neutrality by 2060 and the Environmental Code of Kazakhstan.
The project "Turkestan Pulp and Paper Mill" is presented through "Kazakh Invest"</t>
  </si>
  <si>
    <t>The EBRD is providing a senior loan of up to €252 million (in KZT equivalent) to JSC "Almaty Power Stations" for the comprehensive modernization of Combined Heat and Power Plant 2 (CHPP-2). This project includes a complete switch from coal to natural gas as the primary fuel, aiming to significantly reduce CO2 emissions and improve air quality in Almaty. The Almaty CHPP-2 is the largest heating source in Kazakhstan's largest city. The project is part of the EBRD's "Green Cities" program</t>
  </si>
  <si>
    <t>The modernization of Almaty CHPP-2 (GRCF2 W2)</t>
  </si>
  <si>
    <t>Committed</t>
  </si>
  <si>
    <t>Non-concessional loan</t>
  </si>
  <si>
    <t>2019-2023</t>
  </si>
  <si>
    <t>RES                  Modular plants Thermal insulation manufacturing technologies</t>
  </si>
  <si>
    <t>Modern renewable energy production technologies
Coal gasification technologies
Technologies for manufacturing energy storage systems and renewable energy recycling
Technologies for electricity generation from gas (methane-hydrogen)
Thermal modernization of buildings</t>
  </si>
  <si>
    <t>Energy system expertise and large-scale implementation of smart grid technologies for energy balancing
Organization of technology and equipment exhibitions
Joint French-Kazakh factory, similar to the French-Australian model
Pilot projects on energy conservation, building thermal insulation, and the promotion of heat pumps, among others
Establishment of permanent demonstration and training centers at the local level
Creation of a revolving fund for preferential microcredit financing
Pilot projects
Establishment of permanent demonstration and training centers at the local level
Pilot projects
Joint Canadian-French-Kazakh cooperation on natural geological hydrogen
Pilot projects
Training sessions
Joint Canadian-Chinese-Kazakh cooperation on contour-strip land management with shelterbelts
German-U.S.-Kazakh cooperation on the accumulation of floodwaters in underground aquifers (Flood-MAR)</t>
  </si>
  <si>
    <t xml:space="preserve">Widespread adoption of renewable energy sources (RES)
Reduction in the use of coal and other fossil fuels
Significant energy savings
Reduction of emissions
</t>
  </si>
  <si>
    <t>Electric Transport</t>
  </si>
  <si>
    <t>Manufacturing components for electric transport                                           Recycling, including storage batteries</t>
  </si>
  <si>
    <t>Energy system expertise and large-scale implementation of smart grid technologies for energy balancing
Organization of exhibitions showcasing technologies and equipment
Joint French-Kazakh factory, modeled after the French-Australian collaboration
Pilot projects on energy efficiency, building thermal insulation, and the promotion of heat pumps, among others
Establishment of permanent demonstration and training centers at the local level
Creation of a revolving fund for preferential microcredit financing
Pilot projects
Establishment of permanent demonstration and training centers at the local level
Pilot projects
Joint Canadian-French-Kazakh cooperation on natural geological hydrogen
Pilot projects
Training programs
Joint Canadian-Chinese-Kazakh cooperation on contour-strip land management with protective shelterbelts
German-U.S.-Kazakh cooperation on storing floodwaters in underground aquifers (Flood-MAR)</t>
  </si>
  <si>
    <t>Mining</t>
  </si>
  <si>
    <t>Mobile modern greenhouses for year-round food production
Contour-strip land management technologies with protective shelterbelts</t>
  </si>
  <si>
    <t>Greenhouse production, maintenance services</t>
  </si>
  <si>
    <t>Land restoration, returning it to nature, and supporting food security solutions
Cessation of water extraction for irrigation
Restoration of local water cycles for climate resilience</t>
  </si>
  <si>
    <t>Technologies for restoration of forest and pasture ecosystems based on natural processes                                   Sensors and early detection systems for forest fires</t>
  </si>
  <si>
    <t>Restoration of forests, pasture ecosystems</t>
  </si>
  <si>
    <t>River and lake cleaning using biological and low-cost methods
Technologies for producing drinking water from air
Local modern (including plasma) technologies for water supply and purification
Digitalization of water management – integrated databases and platforms
Technologies for storing floodwater in underground aquifers (Flood-MAR)</t>
  </si>
  <si>
    <t>Restoration of water bodies quality,                             Improvement of drinking water supply                    Creation of a basis for joint and conflict-free water use</t>
  </si>
  <si>
    <t>"Returning water to rivers" – technology for restoring rivers and land surfaces to rejuvenate water cycles</t>
  </si>
  <si>
    <t>Mitigation, adaptation</t>
  </si>
  <si>
    <t>Ongoing</t>
  </si>
  <si>
    <t>1GW wind project represented by ACWA Power with an investment of US$1.5 billion</t>
  </si>
  <si>
    <t>Supporting small and medium enterprises (SMEs) in reducing energy intensity</t>
  </si>
  <si>
    <t>Construction of 100 MW wind power plant in Ulytay region</t>
  </si>
  <si>
    <t>Reduction of CO2 emissions             Additional energy sources</t>
  </si>
  <si>
    <t>Regional cooperation on adapting management and monitoring systems</t>
  </si>
  <si>
    <t>Agriculture, forestry, water supply and sanitation Others</t>
  </si>
  <si>
    <t>Reduction of CO2 emissions
Water conservation
Additional energy sources</t>
  </si>
  <si>
    <t>Agriculture, cross-cutting</t>
  </si>
  <si>
    <t>Transport, agriculture, water supply and sanitation Other cross-cutting</t>
  </si>
  <si>
    <t>wind power plant</t>
  </si>
  <si>
    <t>Development of private enterprise potential</t>
  </si>
  <si>
    <t>Increasing the role of the private sector for climate investment</t>
  </si>
  <si>
    <t>Training for specialists from ministries, agencies, and local authorities on planning and implementing solutions based on natural processes
Educational trips</t>
  </si>
  <si>
    <t>Restoration of soil properties and reforestation
Restoration of riparian and delta ecosystems, and wetlands</t>
  </si>
  <si>
    <t xml:space="preserve">Forest fire reduction and landscape sequestration
</t>
  </si>
  <si>
    <t>Assessment of sequestration potential and the implementation of promising solutions on a pilot basis</t>
  </si>
  <si>
    <t>Creation of a single digital and agency-independent climate platform integrated with energy, water, environment, emergency and other information platforms, and with private sector and public participation</t>
  </si>
  <si>
    <t>Increasing climate finance
Capacity building and support for the green transition
Preservation of natural ecosystems</t>
  </si>
  <si>
    <t>Revenues generated from the energy transition will be consistently used to support vulnerable groups</t>
  </si>
  <si>
    <t>Just climate transition,
 Capacity building</t>
  </si>
  <si>
    <t>Reinvestment of saved funds into the economy, direct financial support for households and shared development goals
Ensuring transparency of systems</t>
  </si>
  <si>
    <t>Energy transition from coal</t>
  </si>
  <si>
    <t>Capacity building of public associations of RES and others, research institutes and technical experts</t>
  </si>
  <si>
    <t>Agriculture, energy, cross-cutting</t>
  </si>
  <si>
    <t>Increasing the share of renewable energy sources, Energy efficiency, reducing GHGs, Trainings,capacity building</t>
  </si>
  <si>
    <t>Integration of renewable energy sources into networks,             Energy efficiency,       Education, trainings</t>
  </si>
  <si>
    <t>Reducion of CO2 emissions, Additional energy sources, Increasing potential</t>
  </si>
  <si>
    <t>Construction of renewable energy sources,            Education, trainings</t>
  </si>
  <si>
    <t>Regional cooperation on adaptation of management systems,                       Education, trainings monitoring</t>
  </si>
  <si>
    <t>Adaptation of water systems and improvement of resilience to extreme climate events, preparation of Central Asian cities for climate risks. Education, trainings</t>
  </si>
  <si>
    <t>Resilience of water resources to climate change,             Strengthening the potential of cities and communities</t>
  </si>
  <si>
    <t>Reduction of CO2 emissions and investment in renewable energy, CCS technology, Education, training</t>
  </si>
  <si>
    <t>Private Sector</t>
  </si>
  <si>
    <t>Republic of Kazakhstan</t>
  </si>
  <si>
    <t>Atyrau Refinery LLP</t>
  </si>
  <si>
    <t>Almaty International Airport JSC</t>
  </si>
  <si>
    <t xml:space="preserve"> Information on financial support needed by developing country Parties under Article 9 of the Paris Agreementa, b</t>
  </si>
  <si>
    <t xml:space="preserve"> Information on financial support received by developing country Parties under Article 9 of the Paris Agreementa, b</t>
  </si>
  <si>
    <t xml:space="preserve"> Information on technology development and transfer support needed by developing country Parties under Article 10 of the Paris Agreementa, b</t>
  </si>
  <si>
    <t xml:space="preserve"> Information on technology development and transfer support received by developing country Parties under Article 10 of the Paris Agreementa, b</t>
  </si>
  <si>
    <t xml:space="preserve"> Information on capacity-building support needed by developing country Parties under Article 11 of the Paris Agreementa, b</t>
  </si>
  <si>
    <t xml:space="preserve"> Information on capacity-building support received by developing country Parties under Article 11 of the Paris Agreementa, b</t>
  </si>
  <si>
    <t xml:space="preserve"> Information on support needed by developing country Parties for the implementation of Article 13 of the Paris Agreement and transparency-related activities, including for transparency-related capacity-buildinga, b</t>
  </si>
  <si>
    <t>Other: Education</t>
  </si>
  <si>
    <t>Other: Education, interstate cooperation</t>
  </si>
  <si>
    <t>Renewable Energy                                                                       Buildings</t>
  </si>
  <si>
    <t>Grant
                                                   Equity needs will be determined after the approval of international support and the completion of the technical and economic justification</t>
  </si>
  <si>
    <t>Grant
                                                Concessional loan
                                                   Equity requirements will be determined after the approval of international support and the technical and economic justification.</t>
  </si>
  <si>
    <t>Indicative funding needs to be discussed: USD 19.5 million - equity or mezzanine loan required
USD 2.6 million - own funds of the initiator</t>
  </si>
  <si>
    <t>Estimated funding needs to be discussed: USD 4.1 million – concessional loan required
USD 9.6 million – originator's own funds</t>
  </si>
  <si>
    <t>Meat and bone powder production plant in Kasym Kaisenov village, Ulan district, East Kazakhstan region</t>
  </si>
  <si>
    <t>Estimated funding needs subject to discussion: USD 1.25 million - concessional loan required
USD 0.53 million - originator's own funds.</t>
  </si>
  <si>
    <t>Estimated funding needs to be discussed: USD 23.3 million - concessional loan required
USD 23.3 million - originator's own fund</t>
  </si>
  <si>
    <t>Granulated fish feed factory in the village of Baisereke, Ili district, Almaty region</t>
  </si>
  <si>
    <t>Estimated funding requirements to be discussed: USD 10.7 million - concessional loan required
USD 4.6 million - originator's own funds</t>
  </si>
  <si>
    <t>Project of alfalfa cultivation using sprinkler irrigation in Shieli district of Kyzylorda region</t>
  </si>
  <si>
    <t>Estimated funding needs subject to discussion: USD 46.6 million – concessional loan required
USD 20.0 million – originator's own funds</t>
  </si>
  <si>
    <t>Estimated funding requirements to be discussed: USD 3.0 million - concessional loan required
USD 1.3 million - equity requirement</t>
  </si>
  <si>
    <t>Construction of a plant for production of biofuel from flax shives in Akmola region</t>
  </si>
  <si>
    <t>Production of fuel pellets and briquettes from flax shives (woody parts of flax stems) with a capacity of 40 000 tons per year.</t>
  </si>
  <si>
    <t>Estimated funding requirements to be discussed: USD 2.2 million - concessional loan and USD 0.9 million - required equity.
USD 1.4 million - initiator's own funds.</t>
  </si>
  <si>
    <t>Recycling of industrial waste (big bags, plastic), production of plastic granules</t>
  </si>
  <si>
    <t>The production of recycled plastic granules and shredded plastic—12,000 tons per year in Pavlodar. The project will process five types of plastic waste: high-density polyethylene (HDPE), low-density polyethylene (LDPE), polypropylene (PP), acrylonitrile butadiene styrene (ABS), and polystyrene (PS)</t>
  </si>
  <si>
    <t>Estimated funding needs subject to discussion: USD 1.54 million - concessional loan
USD 0.66 million - initiator's own funds.</t>
  </si>
  <si>
    <t>In the city of Atbasar, Akmola region, it is planned to build a plant for the production of rolled paper (150 000 tons per year) and cardboard (50 000 tons per year) from straw waste. Straw will be purchased from local suppliers</t>
  </si>
  <si>
    <t>Estimated funding needs subject to discussion: USD 103.8 million - concessional loan
USD 44.5 million - initiator's own funds</t>
  </si>
  <si>
    <t>JSC "Almaty Power Stations"</t>
  </si>
  <si>
    <t>EBRD: Provision of a corporate loan of USD 80 million in Kazakh tenge to Atyrau Oil Refinery for the modernisation of its process water treatment facilities in accordance with best available solutions and the rehabilitation of evaporation ponds, near the city of Atyrau. The loan will be fully guaranteed by JSC National Company KazMunayGas, a 99.54% shareholder of the company.</t>
  </si>
  <si>
    <t>EBRD: Provision of a syndicated loan of up to USD 229.4 million to finance: (i) the capital expenditure programme of Almaty International Airport (ALA), including the construction of a new passenger terminal and (ii) the refinancing of the acquisition of ALA and its related fuel company Venus Trading LLP (VT) by a consortium of investors led by TAV Airports.</t>
  </si>
  <si>
    <t>KazAutoZhol JSC</t>
  </si>
  <si>
    <t>Bilateral, other</t>
  </si>
  <si>
    <t>Training and education of experts for transparency issues</t>
  </si>
  <si>
    <t>Strengthening expert capacity to collect and process data for transparency, conduct analysis, provide necessary methodologies and strengthen the ability and skills of experts and institutions to conduct analysis</t>
  </si>
  <si>
    <t>Joint projects for cooperation of Central Asian countries on adaptation of transboundary water, forest resources and ecosystems for adaptation to climate change</t>
  </si>
  <si>
    <t>CAREC</t>
  </si>
  <si>
    <t xml:space="preserve">NDC
https://adilet.zan.kz/rus/docs/P2300000313 </t>
  </si>
  <si>
    <t>NDC https://adilet.zan.kz/rus/docs/P2300000313</t>
  </si>
  <si>
    <t>National, territorial centers for transparency, collecting, analyzing and providing climate information and training to local authorities, enterprises and the population</t>
  </si>
  <si>
    <t>Establishment of national and regional centres for transparency, collecting and providing local authorities, businesses and the population with climate information and training on issues of mitigation and adaptation to climate change</t>
  </si>
  <si>
    <t>National CBIT project</t>
  </si>
  <si>
    <t>Training, pilot projects for strengthening the capacity to improve the reliability of the effectiveness of climate programs and projects</t>
  </si>
  <si>
    <t>2025-
2027</t>
  </si>
  <si>
    <t>MENR/ UNDP</t>
  </si>
  <si>
    <t>Strengthening the capacity to improve the reliability of reporting and the effectiveness of climate programs and projects </t>
  </si>
  <si>
    <t>NDC, Strategy for achieving carbon neutrality of the Republic of Kazakhstan https://adilet.zan.kz/rus/docs/P2300000313</t>
  </si>
  <si>
    <t>USAID, others</t>
  </si>
  <si>
    <t>Different, including NGOs from Central Asian countries</t>
  </si>
  <si>
    <t>2023-2060</t>
  </si>
  <si>
    <t>Ministries, regional authorities, companies, research institutes, others</t>
  </si>
  <si>
    <t>Ministry of Energy, others</t>
  </si>
  <si>
    <t xml:space="preserve">Energy, transport, industry, agriculture, forestry, other  </t>
  </si>
  <si>
    <t>Reducing CO2 emissions,
Additional energy sources,
increasing potential</t>
  </si>
  <si>
    <r>
      <t>Programme/project description</t>
    </r>
    <r>
      <rPr>
        <b/>
        <i/>
        <vertAlign val="superscript"/>
        <sz val="11"/>
        <rFont val="Times New Roman"/>
        <family val="1"/>
      </rPr>
      <t>c</t>
    </r>
  </si>
  <si>
    <r>
      <t>Type of technology</t>
    </r>
    <r>
      <rPr>
        <b/>
        <i/>
        <vertAlign val="superscript"/>
        <sz val="11"/>
        <rFont val="Times New Roman"/>
        <family val="1"/>
      </rPr>
      <t>c</t>
    </r>
  </si>
  <si>
    <r>
      <t>Expected time frame</t>
    </r>
    <r>
      <rPr>
        <b/>
        <i/>
        <vertAlign val="superscript"/>
        <sz val="11"/>
        <rFont val="Times New Roman"/>
        <family val="1"/>
      </rPr>
      <t>c</t>
    </r>
  </si>
  <si>
    <r>
      <t>Expected use, impact and estimated results</t>
    </r>
    <r>
      <rPr>
        <b/>
        <i/>
        <vertAlign val="superscript"/>
        <sz val="11"/>
        <rFont val="Times New Roman"/>
        <family val="1"/>
      </rPr>
      <t>c</t>
    </r>
  </si>
  <si>
    <r>
      <t>Additional information</t>
    </r>
    <r>
      <rPr>
        <b/>
        <i/>
        <vertAlign val="superscript"/>
        <sz val="11"/>
        <rFont val="Times New Roman"/>
        <family val="1"/>
      </rPr>
      <t>f</t>
    </r>
  </si>
  <si>
    <r>
      <t>Programme/project description</t>
    </r>
    <r>
      <rPr>
        <b/>
        <i/>
        <vertAlign val="superscript"/>
        <sz val="9"/>
        <rFont val="Times New Roman"/>
        <family val="1"/>
      </rPr>
      <t>c</t>
    </r>
  </si>
  <si>
    <r>
      <t>Type of technology</t>
    </r>
    <r>
      <rPr>
        <b/>
        <i/>
        <vertAlign val="superscript"/>
        <sz val="9"/>
        <rFont val="Times New Roman"/>
        <family val="1"/>
      </rPr>
      <t>c</t>
    </r>
  </si>
  <si>
    <r>
      <t>Time frame</t>
    </r>
    <r>
      <rPr>
        <b/>
        <i/>
        <vertAlign val="superscript"/>
        <sz val="9"/>
        <rFont val="Times New Roman"/>
        <family val="1"/>
      </rPr>
      <t>c</t>
    </r>
  </si>
  <si>
    <r>
      <t>Recipient entity</t>
    </r>
    <r>
      <rPr>
        <b/>
        <i/>
        <vertAlign val="superscript"/>
        <sz val="9"/>
        <rFont val="Times New Roman"/>
        <family val="1"/>
      </rPr>
      <t>c</t>
    </r>
  </si>
  <si>
    <r>
      <t>Implementing entity</t>
    </r>
    <r>
      <rPr>
        <b/>
        <i/>
        <vertAlign val="superscript"/>
        <sz val="9"/>
        <rFont val="Times New Roman"/>
        <family val="1"/>
      </rPr>
      <t>c</t>
    </r>
  </si>
  <si>
    <r>
      <t>Activity status</t>
    </r>
    <r>
      <rPr>
        <b/>
        <i/>
        <vertAlign val="superscript"/>
        <sz val="9"/>
        <rFont val="Times New Roman"/>
        <family val="1"/>
      </rPr>
      <t>c</t>
    </r>
  </si>
  <si>
    <r>
      <t>Use, impact and estimated results</t>
    </r>
    <r>
      <rPr>
        <b/>
        <i/>
        <vertAlign val="superscript"/>
        <sz val="9"/>
        <rFont val="Times New Roman"/>
        <family val="1"/>
      </rPr>
      <t>c</t>
    </r>
  </si>
  <si>
    <r>
      <t>Sector</t>
    </r>
    <r>
      <rPr>
        <b/>
        <i/>
        <vertAlign val="superscript"/>
        <sz val="9"/>
        <rFont val="Times New Roman"/>
        <family val="1"/>
      </rPr>
      <t>c, d</t>
    </r>
  </si>
  <si>
    <r>
      <t>Expected time frame</t>
    </r>
    <r>
      <rPr>
        <b/>
        <i/>
        <vertAlign val="superscript"/>
        <sz val="9"/>
        <rFont val="Times New Roman"/>
        <family val="1"/>
      </rPr>
      <t>b</t>
    </r>
  </si>
  <si>
    <r>
      <t>Expected use, impact and estimated results</t>
    </r>
    <r>
      <rPr>
        <b/>
        <i/>
        <vertAlign val="superscript"/>
        <sz val="9"/>
        <rFont val="Times New Roman"/>
        <family val="1"/>
      </rPr>
      <t>b</t>
    </r>
  </si>
  <si>
    <r>
      <t>Objectives and description</t>
    </r>
    <r>
      <rPr>
        <b/>
        <i/>
        <vertAlign val="superscript"/>
        <sz val="9"/>
        <rFont val="Times New Roman"/>
        <family val="1"/>
      </rPr>
      <t>c</t>
    </r>
  </si>
  <si>
    <r>
      <t>Channel</t>
    </r>
    <r>
      <rPr>
        <b/>
        <i/>
        <vertAlign val="superscript"/>
        <sz val="9"/>
        <rFont val="Times New Roman"/>
        <family val="1"/>
      </rPr>
      <t>c</t>
    </r>
  </si>
  <si>
    <r>
      <t>Amount</t>
    </r>
    <r>
      <rPr>
        <b/>
        <i/>
        <vertAlign val="superscript"/>
        <sz val="9"/>
        <rFont val="Times New Roman"/>
        <family val="1"/>
      </rPr>
      <t>c</t>
    </r>
  </si>
  <si>
    <t>Central Asian countries, EU, IGTIPC</t>
  </si>
  <si>
    <t>Central Asian government organizations, research institutes, NGOs, youth activists</t>
  </si>
  <si>
    <t>Construction of renewable energy sources, energy saving measures in all sectors, tree planting, enhancing energy efficiency</t>
  </si>
  <si>
    <t>Total</t>
  </si>
  <si>
    <t>Other projects*</t>
  </si>
  <si>
    <t>148 projects</t>
  </si>
  <si>
    <t>Total**</t>
  </si>
  <si>
    <t xml:space="preserve"> * full information on the projects is available at OECD website: https://webfs.oecd.org/climate/RecipientPerspective/CRDF-RP-2022.xlsx , 2 cancelled projects (2 lines) by World Bank are excluded: https://www.worldbank.org/en/news/statement/2022/04/21/cancellation-of-sustainable-livestock-development-program-for-results-in-kazakhstan ; a detailed aggregated analysis of the projects is available in the text of Chapter IV of The First Biennial Transparency Report of the Republic of Kazakhstan</t>
  </si>
  <si>
    <t xml:space="preserve"> ** difference due to rounding</t>
  </si>
  <si>
    <r>
      <t>Title of activity, program, project or other</t>
    </r>
    <r>
      <rPr>
        <b/>
        <i/>
        <vertAlign val="superscript"/>
        <sz val="11"/>
        <rFont val="Times New Roman"/>
        <family val="1"/>
      </rPr>
      <t xml:space="preserve"> c, d</t>
    </r>
  </si>
  <si>
    <r>
      <t>Estimated amount _x000D_ (climate-specific)</t>
    </r>
    <r>
      <rPr>
        <b/>
        <i/>
        <vertAlign val="superscript"/>
        <sz val="11"/>
        <rFont val="Times New Roman"/>
        <family val="1"/>
      </rPr>
      <t>c</t>
    </r>
  </si>
  <si>
    <r>
      <t>Expected financial instrument</t>
    </r>
    <r>
      <rPr>
        <b/>
        <i/>
        <vertAlign val="superscript"/>
        <sz val="11"/>
        <rFont val="Times New Roman"/>
        <family val="1"/>
      </rPr>
      <t>c</t>
    </r>
  </si>
  <si>
    <r>
      <t>Whether the activity is anchored in a national strategy and/or an NDC</t>
    </r>
    <r>
      <rPr>
        <b/>
        <i/>
        <vertAlign val="superscript"/>
        <sz val="11"/>
        <rFont val="Times New Roman"/>
        <family val="1"/>
      </rPr>
      <t>c</t>
    </r>
  </si>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</sst>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9"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vertAlign val="superscript"/>
      <sz val="9"/>
      <color theme="1"/>
      <name val="Times New Roman"/>
      <family val="1"/>
    </font>
    <font>
      <i/>
      <sz val="8"/>
      <color theme="1"/>
      <name val="Times New Roman"/>
      <family val="1"/>
    </font>
    <font>
      <sz val="9"/>
      <color rgb="FF000000"/>
      <name val="Times New Roman"/>
      <family val="1"/>
    </font>
    <font>
      <b/>
      <vertAlign val="superscript"/>
      <sz val="12"/>
      <name val="Times New Roman"/>
      <family val="1"/>
    </font>
    <font>
      <i/>
      <vertAlign val="superscript"/>
      <sz val="9"/>
      <name val="Times New Roman"/>
      <family val="1"/>
    </font>
    <font>
      <sz val="9"/>
      <name val="Times New Roman"/>
      <family val="1"/>
    </font>
    <font>
      <b/>
      <i/>
      <vertAlign val="superscript"/>
      <sz val="9"/>
      <name val="Times New Roman"/>
      <family val="1"/>
    </font>
    <font>
      <b/>
      <i/>
      <sz val="9"/>
      <color theme="1"/>
      <name val="Times New Roman"/>
      <family val="1"/>
    </font>
    <font>
      <i/>
      <sz val="11"/>
      <color theme="1"/>
      <name val="Times New Roman"/>
      <family val="1"/>
    </font>
    <font>
      <b/>
      <i/>
      <sz val="11"/>
      <color theme="1"/>
      <name val="Times New Roman"/>
      <family val="1"/>
    </font>
    <font>
      <b/>
      <i/>
      <vertAlign val="superscript"/>
      <sz val="11"/>
      <name val="Times New Roman"/>
      <family val="1"/>
    </font>
    <font>
      <sz val="11"/>
      <color theme="1"/>
      <name val="Calibri"/>
      <family val="2"/>
      <scheme val="minor"/>
    </font>
    <font>
      <b/>
      <sz val="9"/>
      <color theme="1"/>
      <name val="Times New Roman"/>
      <family val="1"/>
      <charset val="204"/>
    </font>
    <font>
      <u/>
      <sz val="11"/>
      <color theme="10"/>
      <name val="Calibri"/>
      <family val="2"/>
      <scheme val="minor"/>
    </font>
    <font>
      <i/>
      <sz val="9"/>
      <name val="Times New Roman"/>
      <family val="1"/>
    </font>
    <font>
      <i/>
      <sz val="9"/>
      <color rgb="FF000000"/>
      <name val="Times New Roman"/>
      <family val="1"/>
    </font>
    <font>
      <i/>
      <u/>
      <sz val="11"/>
      <color theme="10"/>
      <name val="Calibri"/>
      <family val="2"/>
      <scheme val="minor"/>
    </font>
    <font>
      <b/>
      <i/>
      <sz val="11"/>
      <color theme="1"/>
      <name val="Times New Roman"/>
      <family val="1"/>
      <charset val="204"/>
    </font>
    <font>
      <b/>
      <sz val="11"/>
      <color theme="1"/>
      <name val="Times New Roman"/>
      <family val="1"/>
    </font>
  </fonts>
  <fills count="5">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theme="2" tint="-9.9978637043366805E-2"/>
        <bgColor indexed="64"/>
      </patternFill>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5" fillId="0" borderId="0"/>
    <xf numFmtId="0" fontId="8" fillId="0" borderId="2"/>
    <xf numFmtId="0" fontId="8" fillId="0" borderId="2"/>
    <xf numFmtId="43" fontId="21" fillId="0" borderId="0" applyFont="0" applyFill="0" applyBorder="0" applyAlignment="0" applyProtection="0"/>
    <xf numFmtId="0" fontId="23" fillId="0" borderId="0" applyNumberFormat="0" applyFill="0" applyBorder="0" applyAlignment="0" applyProtection="0"/>
  </cellStyleXfs>
  <cellXfs count="160">
    <xf numFmtId="0" fontId="0" fillId="0" borderId="0" xfId="0"/>
    <xf numFmtId="0" fontId="1" fillId="0" borderId="0" xfId="0" applyFont="1"/>
    <xf numFmtId="0" fontId="2" fillId="0" borderId="0" xfId="0" applyFont="1"/>
    <xf numFmtId="0" fontId="3" fillId="0" borderId="0" xfId="5" applyFont="1"/>
    <xf numFmtId="0" fontId="2" fillId="0" borderId="0" xfId="5" applyFont="1"/>
    <xf numFmtId="0" fontId="4" fillId="0" borderId="0" xfId="0" applyFont="1"/>
    <xf numFmtId="0" fontId="5" fillId="0" borderId="0" xfId="1" applyAlignment="1">
      <alignment horizontal="left"/>
    </xf>
    <xf numFmtId="0" fontId="6" fillId="0" borderId="0" xfId="0" applyFont="1"/>
    <xf numFmtId="0" fontId="1" fillId="0" borderId="0" xfId="1" applyFont="1" applyAlignment="1">
      <alignment horizontal="left"/>
    </xf>
    <xf numFmtId="0" fontId="3" fillId="0" borderId="0" xfId="5" applyFont="1" applyAlignment="1">
      <alignment horizontal="left"/>
    </xf>
    <xf numFmtId="0" fontId="7" fillId="0" borderId="0" xfId="0" applyFont="1"/>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2" xfId="2" applyAlignment="1">
      <alignment horizontal="center" vertical="center" wrapText="1"/>
    </xf>
    <xf numFmtId="0" fontId="8" fillId="0" borderId="2" xfId="2" applyAlignment="1">
      <alignment horizontal="center"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6" xfId="0" applyFont="1" applyBorder="1" applyAlignment="1">
      <alignment horizontal="left" vertical="top" wrapText="1"/>
    </xf>
    <xf numFmtId="0" fontId="8" fillId="0" borderId="0" xfId="0" applyFont="1"/>
    <xf numFmtId="2" fontId="1" fillId="0" borderId="0" xfId="1" applyNumberFormat="1" applyFont="1" applyAlignment="1">
      <alignment horizontal="left"/>
    </xf>
    <xf numFmtId="0" fontId="9" fillId="0" borderId="0" xfId="5" applyFont="1" applyAlignment="1">
      <alignment horizontal="left"/>
    </xf>
    <xf numFmtId="0" fontId="1" fillId="0" borderId="5" xfId="0" applyFont="1" applyBorder="1"/>
    <xf numFmtId="0" fontId="8" fillId="0" borderId="2" xfId="0" applyFont="1" applyBorder="1" applyAlignment="1">
      <alignment horizontal="left" vertical="top" wrapText="1"/>
    </xf>
    <xf numFmtId="0" fontId="3" fillId="2" borderId="0" xfId="5" applyFont="1" applyFill="1" applyAlignment="1">
      <alignment horizontal="left"/>
    </xf>
    <xf numFmtId="0" fontId="9" fillId="2" borderId="0" xfId="5" applyFont="1" applyFill="1" applyAlignment="1">
      <alignment horizontal="left"/>
    </xf>
    <xf numFmtId="0" fontId="10" fillId="0" borderId="0" xfId="0" applyFont="1" applyAlignment="1">
      <alignment vertical="top" wrapText="1"/>
    </xf>
    <xf numFmtId="0" fontId="5" fillId="2" borderId="0" xfId="1" applyFill="1"/>
    <xf numFmtId="0" fontId="5" fillId="2" borderId="0" xfId="1" applyFill="1" applyAlignment="1">
      <alignment horizontal="left"/>
    </xf>
    <xf numFmtId="0" fontId="2" fillId="2" borderId="0" xfId="1" applyFont="1" applyFill="1"/>
    <xf numFmtId="0" fontId="1" fillId="0" borderId="2" xfId="0" applyFont="1" applyBorder="1"/>
    <xf numFmtId="0" fontId="1" fillId="0" borderId="6" xfId="0" applyFont="1" applyBorder="1"/>
    <xf numFmtId="0" fontId="12" fillId="0" borderId="0" xfId="0" applyFont="1"/>
    <xf numFmtId="0" fontId="11" fillId="0" borderId="0" xfId="0" applyFont="1" applyAlignment="1">
      <alignment horizontal="center" vertical="center" wrapText="1"/>
    </xf>
    <xf numFmtId="0" fontId="1" fillId="0" borderId="2" xfId="0" applyFont="1" applyBorder="1" applyAlignment="1">
      <alignment vertical="top" wrapText="1"/>
    </xf>
    <xf numFmtId="0" fontId="10" fillId="0" borderId="0" xfId="0" applyFont="1" applyAlignment="1">
      <alignment horizontal="left" vertical="top" wrapText="1"/>
    </xf>
    <xf numFmtId="0" fontId="1" fillId="0" borderId="0" xfId="0" applyFont="1" applyAlignment="1">
      <alignment horizontal="left" vertical="top" wrapText="1"/>
    </xf>
    <xf numFmtId="0" fontId="1" fillId="2" borderId="0" xfId="1" applyFont="1" applyFill="1"/>
    <xf numFmtId="0" fontId="1" fillId="2" borderId="0" xfId="1" applyFont="1" applyFill="1" applyAlignment="1">
      <alignment horizontal="left"/>
    </xf>
    <xf numFmtId="0" fontId="4" fillId="2" borderId="0" xfId="5" applyFont="1" applyFill="1" applyAlignment="1">
      <alignment horizontal="left"/>
    </xf>
    <xf numFmtId="0" fontId="8" fillId="0" borderId="3" xfId="0" applyFont="1" applyBorder="1" applyAlignment="1">
      <alignment vertical="center" wrapText="1"/>
    </xf>
    <xf numFmtId="0" fontId="8" fillId="0" borderId="4" xfId="0" applyFont="1" applyBorder="1" applyAlignment="1">
      <alignment vertical="center" wrapText="1"/>
    </xf>
    <xf numFmtId="0" fontId="12" fillId="0" borderId="2" xfId="0" applyFont="1" applyBorder="1"/>
    <xf numFmtId="0" fontId="12" fillId="0" borderId="6" xfId="0" applyFont="1" applyBorder="1"/>
    <xf numFmtId="0" fontId="12" fillId="0" borderId="2" xfId="0" applyFont="1" applyBorder="1" applyAlignment="1">
      <alignment horizontal="left" vertical="top" wrapText="1"/>
    </xf>
    <xf numFmtId="0" fontId="5" fillId="2" borderId="0" xfId="1" applyFill="1" applyAlignment="1">
      <alignment horizontal="left" vertical="top"/>
    </xf>
    <xf numFmtId="0" fontId="5" fillId="0" borderId="0" xfId="1" applyAlignment="1">
      <alignment horizontal="centerContinuous" wrapText="1"/>
    </xf>
    <xf numFmtId="0" fontId="4" fillId="2" borderId="0" xfId="1" applyFont="1" applyFill="1" applyAlignment="1">
      <alignment horizontal="left"/>
    </xf>
    <xf numFmtId="0" fontId="2" fillId="2" borderId="0" xfId="1" applyFont="1" applyFill="1" applyAlignment="1">
      <alignment horizontal="left"/>
    </xf>
    <xf numFmtId="0" fontId="4" fillId="2" borderId="0" xfId="1" applyFont="1" applyFill="1" applyAlignment="1">
      <alignment horizontal="left" wrapText="1"/>
    </xf>
    <xf numFmtId="2" fontId="12" fillId="0" borderId="2" xfId="0" applyNumberFormat="1" applyFont="1" applyBorder="1"/>
    <xf numFmtId="0" fontId="8" fillId="0" borderId="3" xfId="0" applyFont="1" applyBorder="1" applyAlignment="1">
      <alignment horizontal="left" vertical="center" wrapText="1"/>
    </xf>
    <xf numFmtId="0" fontId="1" fillId="0" borderId="0" xfId="0" applyFont="1" applyAlignment="1">
      <alignment horizontal="left"/>
    </xf>
    <xf numFmtId="0" fontId="17" fillId="0" borderId="1"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8" fillId="0" borderId="3" xfId="0" applyFont="1" applyBorder="1" applyAlignment="1">
      <alignment horizontal="left" vertical="center" wrapText="1"/>
    </xf>
    <xf numFmtId="0" fontId="18" fillId="0" borderId="2" xfId="0" applyFont="1" applyBorder="1" applyAlignment="1">
      <alignment horizontal="left" vertical="top" wrapText="1"/>
    </xf>
    <xf numFmtId="0" fontId="19" fillId="0" borderId="1" xfId="0" applyFont="1" applyBorder="1" applyAlignment="1">
      <alignment horizontal="centerContinuous" vertical="center" wrapText="1"/>
    </xf>
    <xf numFmtId="0" fontId="19" fillId="0" borderId="2" xfId="2" applyFont="1" applyAlignment="1">
      <alignment horizontal="centerContinuous" vertical="center" wrapText="1"/>
    </xf>
    <xf numFmtId="0" fontId="19" fillId="0" borderId="3" xfId="0" applyFont="1" applyBorder="1" applyAlignment="1">
      <alignment horizontal="centerContinuous" vertical="center" wrapText="1"/>
    </xf>
    <xf numFmtId="0" fontId="19" fillId="0" borderId="2" xfId="2" applyFont="1" applyAlignment="1">
      <alignment horizontal="center" vertical="center"/>
    </xf>
    <xf numFmtId="0" fontId="19" fillId="0" borderId="4" xfId="0" applyFont="1" applyBorder="1" applyAlignment="1">
      <alignment horizontal="centerContinuous" vertical="center" wrapText="1"/>
    </xf>
    <xf numFmtId="0" fontId="18" fillId="0" borderId="3" xfId="0" applyFont="1" applyBorder="1" applyAlignment="1">
      <alignment horizontal="left" vertical="top" wrapText="1"/>
    </xf>
    <xf numFmtId="0" fontId="8" fillId="0" borderId="6" xfId="0" applyFont="1" applyBorder="1" applyAlignment="1">
      <alignment horizontal="left" vertical="top" wrapText="1"/>
    </xf>
    <xf numFmtId="3" fontId="18" fillId="0" borderId="3" xfId="0" applyNumberFormat="1" applyFont="1" applyBorder="1" applyAlignment="1">
      <alignment horizontal="left" vertical="center" wrapText="1"/>
    </xf>
    <xf numFmtId="3" fontId="18" fillId="0" borderId="2" xfId="0" applyNumberFormat="1" applyFont="1" applyBorder="1" applyAlignment="1">
      <alignment horizontal="left" vertical="top"/>
    </xf>
    <xf numFmtId="0" fontId="18"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left" vertical="center" wrapText="1"/>
    </xf>
    <xf numFmtId="0" fontId="18" fillId="0" borderId="6" xfId="0" applyFont="1" applyBorder="1" applyAlignment="1">
      <alignment horizontal="left" vertical="center" wrapText="1"/>
    </xf>
    <xf numFmtId="0" fontId="18" fillId="0" borderId="6" xfId="0" applyFont="1" applyBorder="1" applyAlignment="1">
      <alignment horizontal="center" vertical="center" wrapText="1"/>
    </xf>
    <xf numFmtId="0" fontId="18" fillId="0" borderId="2" xfId="0" applyFont="1" applyBorder="1" applyAlignment="1">
      <alignment vertical="center" wrapText="1"/>
    </xf>
    <xf numFmtId="0" fontId="8" fillId="0" borderId="7" xfId="0" applyFont="1" applyBorder="1" applyAlignment="1">
      <alignment vertical="center" wrapText="1"/>
    </xf>
    <xf numFmtId="0" fontId="8" fillId="0" borderId="3" xfId="0" applyFont="1" applyBorder="1" applyAlignment="1">
      <alignment horizontal="left" vertical="top" wrapText="1"/>
    </xf>
    <xf numFmtId="0" fontId="8" fillId="0" borderId="4" xfId="0" applyFont="1" applyBorder="1" applyAlignment="1">
      <alignment vertical="top" wrapText="1"/>
    </xf>
    <xf numFmtId="164" fontId="8" fillId="0" borderId="2" xfId="4" applyNumberFormat="1" applyFont="1" applyBorder="1" applyAlignment="1">
      <alignment horizontal="center" vertical="center"/>
    </xf>
    <xf numFmtId="0" fontId="1" fillId="0" borderId="0" xfId="1" applyFont="1"/>
    <xf numFmtId="164" fontId="8" fillId="0" borderId="2" xfId="3" applyNumberFormat="1" applyAlignment="1">
      <alignment horizontal="center" vertical="center" wrapText="1"/>
    </xf>
    <xf numFmtId="0" fontId="19" fillId="0" borderId="2" xfId="2" applyFont="1" applyAlignment="1">
      <alignment horizontal="center" vertical="center" wrapText="1"/>
    </xf>
    <xf numFmtId="164" fontId="18" fillId="0" borderId="3" xfId="4" applyNumberFormat="1" applyFont="1" applyFill="1" applyBorder="1" applyAlignment="1">
      <alignment horizontal="left" vertical="center" wrapText="1"/>
    </xf>
    <xf numFmtId="164" fontId="18" fillId="0" borderId="2" xfId="4" applyNumberFormat="1" applyFont="1" applyFill="1" applyBorder="1" applyAlignment="1">
      <alignment horizontal="left" vertical="top"/>
    </xf>
    <xf numFmtId="0" fontId="18" fillId="0" borderId="0" xfId="0" applyFont="1" applyAlignment="1">
      <alignment horizontal="left" vertical="top" wrapText="1"/>
    </xf>
    <xf numFmtId="164" fontId="18" fillId="0" borderId="0" xfId="4" applyNumberFormat="1" applyFont="1" applyFill="1" applyBorder="1" applyAlignment="1">
      <alignment horizontal="left" vertical="top"/>
    </xf>
    <xf numFmtId="3" fontId="18" fillId="0" borderId="0" xfId="0" applyNumberFormat="1" applyFont="1" applyAlignment="1">
      <alignment horizontal="left" vertical="top"/>
    </xf>
    <xf numFmtId="0" fontId="18" fillId="0" borderId="0" xfId="0" applyFont="1" applyAlignment="1">
      <alignment horizontal="left" vertical="center" wrapText="1"/>
    </xf>
    <xf numFmtId="0" fontId="8" fillId="0" borderId="0" xfId="0" applyFont="1" applyAlignment="1">
      <alignment horizontal="left" vertical="top" wrapText="1"/>
    </xf>
    <xf numFmtId="0" fontId="18" fillId="3" borderId="2" xfId="0" applyFont="1" applyFill="1" applyBorder="1" applyAlignment="1">
      <alignment horizontal="left" vertical="top" wrapText="1"/>
    </xf>
    <xf numFmtId="0" fontId="18" fillId="3" borderId="2" xfId="0" applyFont="1" applyFill="1" applyBorder="1" applyAlignment="1">
      <alignment horizontal="center" vertical="center" wrapText="1"/>
    </xf>
    <xf numFmtId="0" fontId="18" fillId="3" borderId="2" xfId="0" applyFont="1" applyFill="1" applyBorder="1" applyAlignment="1">
      <alignment vertical="center"/>
    </xf>
    <xf numFmtId="0" fontId="6" fillId="0" borderId="0" xfId="1" applyFont="1" applyAlignment="1">
      <alignment horizontal="left"/>
    </xf>
    <xf numFmtId="2" fontId="6" fillId="0" borderId="0" xfId="1" applyNumberFormat="1" applyFont="1" applyAlignment="1">
      <alignment horizontal="left"/>
    </xf>
    <xf numFmtId="0" fontId="8" fillId="0" borderId="2" xfId="0" applyFont="1" applyBorder="1" applyAlignment="1">
      <alignment horizontal="left" wrapText="1"/>
    </xf>
    <xf numFmtId="0" fontId="8" fillId="0" borderId="2" xfId="0" applyFont="1" applyBorder="1" applyAlignment="1">
      <alignment horizontal="center"/>
    </xf>
    <xf numFmtId="0" fontId="8" fillId="0" borderId="6" xfId="0" applyFont="1" applyBorder="1" applyAlignment="1">
      <alignment horizontal="left" wrapText="1"/>
    </xf>
    <xf numFmtId="0" fontId="8" fillId="0" borderId="2" xfId="0" applyFont="1" applyBorder="1" applyAlignment="1">
      <alignment horizontal="left"/>
    </xf>
    <xf numFmtId="0" fontId="8" fillId="0" borderId="2" xfId="0" applyFont="1" applyBorder="1" applyAlignment="1">
      <alignment horizontal="center" wrapText="1"/>
    </xf>
    <xf numFmtId="0" fontId="8" fillId="0" borderId="1" xfId="0" applyFont="1" applyBorder="1" applyAlignment="1">
      <alignment horizontal="left" vertical="top" wrapText="1"/>
    </xf>
    <xf numFmtId="0" fontId="8" fillId="0" borderId="7" xfId="0" applyFont="1" applyBorder="1" applyAlignment="1">
      <alignment horizontal="center"/>
    </xf>
    <xf numFmtId="0" fontId="8" fillId="0" borderId="7" xfId="0" applyFont="1" applyBorder="1" applyAlignment="1">
      <alignment horizontal="left"/>
    </xf>
    <xf numFmtId="0" fontId="24" fillId="0" borderId="7" xfId="0" applyFont="1" applyBorder="1" applyAlignment="1">
      <alignment wrapText="1"/>
    </xf>
    <xf numFmtId="0" fontId="8" fillId="0" borderId="7" xfId="0" applyFont="1" applyBorder="1" applyAlignment="1">
      <alignment wrapText="1"/>
    </xf>
    <xf numFmtId="0" fontId="8" fillId="0" borderId="7" xfId="0" applyFont="1" applyBorder="1" applyAlignment="1">
      <alignment horizontal="center" wrapText="1"/>
    </xf>
    <xf numFmtId="0" fontId="8" fillId="0" borderId="7" xfId="0" applyFont="1" applyBorder="1" applyAlignment="1">
      <alignment horizontal="left" wrapText="1"/>
    </xf>
    <xf numFmtId="0" fontId="8" fillId="0" borderId="7" xfId="0" applyFont="1" applyBorder="1" applyAlignment="1">
      <alignment horizontal="left" vertical="top" wrapText="1"/>
    </xf>
    <xf numFmtId="0" fontId="19"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7" fillId="0" borderId="2" xfId="3" applyFont="1" applyAlignment="1">
      <alignment horizontal="center" vertical="center" wrapText="1"/>
    </xf>
    <xf numFmtId="0" fontId="17" fillId="0" borderId="2" xfId="0" applyFont="1" applyBorder="1" applyAlignment="1">
      <alignment horizontal="center" vertical="center" wrapText="1"/>
    </xf>
    <xf numFmtId="0" fontId="8" fillId="0" borderId="3" xfId="0" applyFont="1" applyBorder="1" applyAlignment="1">
      <alignment horizontal="left" wrapText="1"/>
    </xf>
    <xf numFmtId="0" fontId="8" fillId="0" borderId="3" xfId="0" applyFont="1" applyBorder="1" applyAlignment="1">
      <alignment horizontal="center"/>
    </xf>
    <xf numFmtId="0" fontId="8" fillId="0" borderId="4" xfId="0" applyFont="1" applyBorder="1" applyAlignment="1">
      <alignment horizontal="left" wrapText="1"/>
    </xf>
    <xf numFmtId="0" fontId="17" fillId="0" borderId="7" xfId="3" applyFont="1" applyBorder="1" applyAlignment="1">
      <alignment horizontal="center" vertical="center" wrapText="1"/>
    </xf>
    <xf numFmtId="0" fontId="17" fillId="0" borderId="7"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 xfId="0" applyFont="1" applyBorder="1" applyAlignment="1">
      <alignment horizontal="center" vertical="center"/>
    </xf>
    <xf numFmtId="0" fontId="8" fillId="0" borderId="2" xfId="0" applyFont="1" applyBorder="1"/>
    <xf numFmtId="0" fontId="8" fillId="0" borderId="2" xfId="0" applyFont="1" applyBorder="1" applyAlignment="1">
      <alignment wrapText="1"/>
    </xf>
    <xf numFmtId="0" fontId="8" fillId="0" borderId="6" xfId="0" applyFont="1" applyBorder="1" applyAlignment="1">
      <alignment wrapText="1"/>
    </xf>
    <xf numFmtId="0" fontId="8" fillId="0" borderId="2" xfId="0" applyFont="1" applyBorder="1" applyAlignment="1">
      <alignment vertical="top" wrapText="1"/>
    </xf>
    <xf numFmtId="0" fontId="8" fillId="3" borderId="2" xfId="0" applyFont="1" applyFill="1" applyBorder="1" applyAlignment="1">
      <alignment wrapText="1"/>
    </xf>
    <xf numFmtId="0" fontId="24" fillId="0" borderId="2" xfId="0" applyFont="1" applyBorder="1" applyAlignment="1">
      <alignment wrapText="1"/>
    </xf>
    <xf numFmtId="0" fontId="17" fillId="0" borderId="2" xfId="3" applyFont="1" applyAlignment="1">
      <alignment horizontal="centerContinuous" vertical="center" wrapText="1"/>
    </xf>
    <xf numFmtId="0" fontId="17" fillId="0" borderId="2" xfId="3" applyFont="1" applyAlignment="1">
      <alignment horizontal="center" vertical="center"/>
    </xf>
    <xf numFmtId="0" fontId="17" fillId="0" borderId="3" xfId="0" applyFont="1" applyBorder="1" applyAlignment="1">
      <alignment vertical="center" wrapText="1"/>
    </xf>
    <xf numFmtId="0" fontId="17" fillId="0" borderId="4" xfId="0" applyFont="1" applyBorder="1" applyAlignment="1">
      <alignment vertical="center" wrapText="1"/>
    </xf>
    <xf numFmtId="0" fontId="17" fillId="0" borderId="5" xfId="0" applyFont="1" applyBorder="1" applyAlignment="1">
      <alignment vertical="center" wrapText="1"/>
    </xf>
    <xf numFmtId="0" fontId="17" fillId="0" borderId="2" xfId="3" applyFont="1" applyAlignment="1">
      <alignment horizontal="centerContinuous" vertical="center"/>
    </xf>
    <xf numFmtId="0" fontId="25" fillId="0" borderId="2" xfId="0" applyFont="1" applyBorder="1" applyAlignment="1">
      <alignment wrapText="1"/>
    </xf>
    <xf numFmtId="0" fontId="25" fillId="0" borderId="2" xfId="0" applyFont="1" applyBorder="1"/>
    <xf numFmtId="164" fontId="25" fillId="0" borderId="2" xfId="4" applyNumberFormat="1" applyFont="1" applyBorder="1"/>
    <xf numFmtId="164" fontId="25" fillId="0" borderId="2" xfId="4" applyNumberFormat="1" applyFont="1" applyBorder="1" applyAlignment="1">
      <alignment horizontal="left"/>
    </xf>
    <xf numFmtId="0" fontId="25" fillId="0" borderId="6" xfId="0" applyFont="1" applyBorder="1"/>
    <xf numFmtId="0" fontId="26" fillId="0" borderId="2" xfId="5" applyFont="1" applyBorder="1" applyAlignment="1">
      <alignment horizontal="left" vertical="top" wrapText="1"/>
    </xf>
    <xf numFmtId="0" fontId="25" fillId="0" borderId="2" xfId="0" applyFont="1" applyBorder="1" applyAlignment="1">
      <alignment horizontal="left"/>
    </xf>
    <xf numFmtId="0" fontId="15" fillId="0" borderId="0" xfId="5" applyFont="1" applyFill="1" applyAlignment="1">
      <alignment horizontal="left"/>
    </xf>
    <xf numFmtId="0" fontId="10" fillId="0" borderId="0" xfId="0" applyFont="1" applyFill="1" applyAlignment="1">
      <alignment vertical="top" wrapText="1"/>
    </xf>
    <xf numFmtId="0" fontId="1" fillId="0" borderId="0" xfId="0" applyFont="1" applyFill="1"/>
    <xf numFmtId="0" fontId="22" fillId="0" borderId="2" xfId="0" applyFont="1" applyFill="1" applyBorder="1" applyAlignment="1">
      <alignment horizontal="left" vertical="top" wrapText="1"/>
    </xf>
    <xf numFmtId="0" fontId="18" fillId="0" borderId="2" xfId="0" applyFont="1" applyFill="1" applyBorder="1" applyAlignment="1">
      <alignment horizontal="left" vertical="top" wrapText="1"/>
    </xf>
    <xf numFmtId="3" fontId="27" fillId="0" borderId="3" xfId="0" applyNumberFormat="1" applyFont="1" applyFill="1" applyBorder="1" applyAlignment="1">
      <alignment horizontal="left" vertical="center" wrapText="1"/>
    </xf>
    <xf numFmtId="0" fontId="28" fillId="0" borderId="2" xfId="2" applyFont="1" applyAlignment="1">
      <alignment horizontal="centerContinuous"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2" applyFont="1" applyAlignment="1">
      <alignment horizontal="center" vertical="center" wrapText="1"/>
    </xf>
    <xf numFmtId="0" fontId="18" fillId="0" borderId="2" xfId="2" applyFont="1" applyAlignment="1">
      <alignment horizontal="center" vertical="center"/>
    </xf>
    <xf numFmtId="0" fontId="18" fillId="0" borderId="4" xfId="0" applyFont="1" applyBorder="1" applyAlignment="1">
      <alignment horizontal="center" vertical="center" wrapText="1"/>
    </xf>
    <xf numFmtId="0" fontId="18" fillId="0" borderId="7" xfId="0" applyFont="1" applyBorder="1" applyAlignment="1">
      <alignment horizontal="center" vertical="top" wrapText="1"/>
    </xf>
    <xf numFmtId="164" fontId="18" fillId="0" borderId="2" xfId="4" applyNumberFormat="1" applyFont="1" applyFill="1" applyBorder="1" applyAlignment="1">
      <alignment horizontal="center" vertical="center" wrapText="1"/>
    </xf>
    <xf numFmtId="164" fontId="18" fillId="0" borderId="2" xfId="4" applyNumberFormat="1" applyFont="1" applyFill="1" applyBorder="1" applyAlignment="1">
      <alignment horizontal="center" vertical="center"/>
    </xf>
    <xf numFmtId="0" fontId="18" fillId="0" borderId="7" xfId="0" applyFont="1" applyBorder="1" applyAlignment="1">
      <alignment horizontal="center" vertical="center" wrapText="1"/>
    </xf>
    <xf numFmtId="164" fontId="18" fillId="0" borderId="2" xfId="2" applyNumberFormat="1" applyFont="1" applyAlignment="1">
      <alignment horizontal="center" vertical="center" wrapText="1"/>
    </xf>
    <xf numFmtId="0" fontId="19" fillId="0" borderId="3" xfId="0" applyFont="1" applyFill="1" applyBorder="1" applyAlignment="1">
      <alignment horizontal="left" vertical="center" wrapText="1"/>
    </xf>
    <xf numFmtId="164" fontId="19" fillId="0" borderId="2" xfId="2" applyNumberFormat="1" applyFont="1" applyFill="1" applyAlignment="1">
      <alignment horizontal="center" vertical="center" wrapText="1"/>
    </xf>
    <xf numFmtId="0" fontId="18" fillId="0" borderId="5" xfId="0" applyFont="1" applyBorder="1" applyAlignment="1">
      <alignment horizontal="center" vertical="center" wrapText="1"/>
    </xf>
    <xf numFmtId="2" fontId="22" fillId="4" borderId="0" xfId="1" applyNumberFormat="1" applyFont="1" applyFill="1" applyAlignment="1">
      <alignment horizontal="left"/>
    </xf>
  </cellXfs>
  <cellStyles count="6">
    <cellStyle name="Comma" xfId="4" builtinId="3"/>
    <cellStyle name="Headline" xfId="1" xr:uid="{00000000-0005-0000-0000-000002000000}"/>
    <cellStyle name="Hyperlink" xfId="5" xr:uid="{00000000-0005-0000-0000-000001000000}"/>
    <cellStyle name="Normal" xfId="0" builtinId="0" customBuiltin="1"/>
    <cellStyle name="Normal 2" xfId="2" xr:uid="{00000000-0005-0000-0000-000003000000}"/>
    <cellStyle name="Normal 2 2" xfId="3" xr:uid="{00000000-0005-0000-0000-000004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projects.worldbank.org/en/projects-operations/project-detail/P151363"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hyperlink" Target="https://example.com/kazakhstan_climate_reporting" TargetMode="External"/><Relationship Id="rId1" Type="http://schemas.openxmlformats.org/officeDocument/2006/relationships/hyperlink" Target="https://carececo.org/main/activity/projects/reca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showGridLines="0" tabSelected="1" zoomScale="130" zoomScaleNormal="130" workbookViewId="0">
      <selection activeCell="F22" sqref="F22"/>
    </sheetView>
  </sheetViews>
  <sheetFormatPr defaultColWidth="8.6328125" defaultRowHeight="12" customHeight="1" x14ac:dyDescent="0.25"/>
  <cols>
    <col min="1" max="1" width="10.08984375" style="1" customWidth="1"/>
    <col min="2" max="2" width="3.36328125" style="1" customWidth="1"/>
    <col min="3" max="3" width="8.6328125" style="1" customWidth="1"/>
    <col min="4" max="16384" width="8.6328125" style="1"/>
  </cols>
  <sheetData>
    <row r="1" spans="1:3" ht="12" customHeight="1" x14ac:dyDescent="0.25">
      <c r="A1" s="2" t="s">
        <v>0</v>
      </c>
    </row>
    <row r="3" spans="1:3" ht="12" customHeight="1" x14ac:dyDescent="0.25">
      <c r="A3" s="3"/>
    </row>
    <row r="4" spans="1:3" ht="12" customHeight="1" x14ac:dyDescent="0.25">
      <c r="A4" s="4" t="s">
        <v>1</v>
      </c>
      <c r="C4" s="2" t="s">
        <v>2</v>
      </c>
    </row>
    <row r="5" spans="1:3" ht="12" customHeight="1" x14ac:dyDescent="0.25">
      <c r="A5" s="4" t="s">
        <v>3</v>
      </c>
    </row>
    <row r="6" spans="1:3" ht="12" customHeight="1" x14ac:dyDescent="0.25">
      <c r="A6" s="4" t="s">
        <v>4</v>
      </c>
      <c r="B6" s="4"/>
    </row>
    <row r="7" spans="1:3" ht="12" customHeight="1" x14ac:dyDescent="0.25">
      <c r="A7" s="3" t="s">
        <v>5</v>
      </c>
      <c r="B7" s="1" t="s">
        <v>496</v>
      </c>
    </row>
    <row r="8" spans="1:3" ht="12" customHeight="1" x14ac:dyDescent="0.25">
      <c r="A8" s="3" t="s">
        <v>6</v>
      </c>
      <c r="B8" s="1" t="s">
        <v>497</v>
      </c>
    </row>
    <row r="9" spans="1:3" ht="12" customHeight="1" x14ac:dyDescent="0.25">
      <c r="A9" s="3" t="s">
        <v>7</v>
      </c>
      <c r="B9" s="1" t="s">
        <v>498</v>
      </c>
    </row>
    <row r="10" spans="1:3" ht="12" customHeight="1" x14ac:dyDescent="0.25">
      <c r="A10" s="3" t="s">
        <v>8</v>
      </c>
      <c r="B10" s="1" t="s">
        <v>499</v>
      </c>
    </row>
    <row r="11" spans="1:3" ht="12" customHeight="1" x14ac:dyDescent="0.25">
      <c r="A11" s="3" t="s">
        <v>9</v>
      </c>
      <c r="B11" s="1" t="s">
        <v>500</v>
      </c>
    </row>
    <row r="12" spans="1:3" ht="12" customHeight="1" x14ac:dyDescent="0.25">
      <c r="A12" s="3" t="s">
        <v>10</v>
      </c>
      <c r="B12" s="1" t="s">
        <v>501</v>
      </c>
    </row>
    <row r="13" spans="1:3" ht="12" customHeight="1" x14ac:dyDescent="0.25">
      <c r="A13" s="3" t="s">
        <v>11</v>
      </c>
      <c r="B13" s="1" t="s">
        <v>502</v>
      </c>
    </row>
    <row r="14" spans="1:3" ht="12" customHeight="1" x14ac:dyDescent="0.25">
      <c r="A14" s="3" t="s">
        <v>12</v>
      </c>
      <c r="B14" s="1" t="s">
        <v>57</v>
      </c>
    </row>
    <row r="16" spans="1:3" ht="12" customHeight="1" x14ac:dyDescent="0.25">
      <c r="A16" s="5"/>
    </row>
    <row r="17" spans="1:4" ht="12" customHeight="1" x14ac:dyDescent="0.25">
      <c r="A17" s="8" t="s">
        <v>15</v>
      </c>
      <c r="D17" s="159">
        <v>462.65</v>
      </c>
    </row>
  </sheetData>
  <hyperlinks>
    <hyperlink ref="A7" location="'Table6'!A1" display="Table6" xr:uid="{00000000-0004-0000-0000-000000000000}"/>
    <hyperlink ref="A8" location="'Table7'!A1" display="Table7" xr:uid="{00000000-0004-0000-0000-000001000000}"/>
    <hyperlink ref="A9" location="'Table8'!A1" display="Table8" xr:uid="{00000000-0004-0000-0000-000002000000}"/>
    <hyperlink ref="A10" location="'Table9'!A1" display="Table9" xr:uid="{00000000-0004-0000-0000-000003000000}"/>
    <hyperlink ref="A11" location="'Table10'!A1" display="Table10" xr:uid="{00000000-0004-0000-0000-000004000000}"/>
    <hyperlink ref="A12" location="'Table11'!A1" display="Table11" xr:uid="{00000000-0004-0000-0000-000005000000}"/>
    <hyperlink ref="A13" location="'Table12'!A1" display="Table12" xr:uid="{00000000-0004-0000-0000-000006000000}"/>
    <hyperlink ref="A14" location="'Table13'!A1" display="Table13" xr:uid="{00000000-0004-0000-0000-000007000000}"/>
  </hyperlinks>
  <pageMargins left="0.7" right="0.7" top="0.75" bottom="0.75" header="0.3" footer="0.3"/>
  <pageSetup orientation="portrait" horizontalDpi="4294967293" verticalDpi="4294967293"/>
  <ignoredErrors>
    <ignoredError sqref="A1:C6 A15:C16 A7 A8 A9 C9 A10 C10 A11 C11 A12 C12 A13 C13 A14 C1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O35"/>
  <sheetViews>
    <sheetView showGridLines="0" topLeftCell="A19" zoomScale="85" zoomScaleNormal="85" workbookViewId="0">
      <selection activeCell="F9" sqref="F9"/>
    </sheetView>
  </sheetViews>
  <sheetFormatPr defaultColWidth="8.6328125" defaultRowHeight="12" customHeight="1" x14ac:dyDescent="0.25"/>
  <cols>
    <col min="1" max="1" width="3.36328125" style="1" customWidth="1"/>
    <col min="2" max="2" width="16.36328125" style="1" customWidth="1"/>
    <col min="3" max="3" width="15.08984375" style="1" customWidth="1"/>
    <col min="4" max="4" width="18.6328125" style="1" customWidth="1"/>
    <col min="5" max="5" width="26.6328125" style="1" customWidth="1"/>
    <col min="6" max="6" width="19.6328125" style="1" customWidth="1"/>
    <col min="7" max="7" width="22.36328125" style="1" customWidth="1"/>
    <col min="8" max="8" width="35.90625" style="1" customWidth="1"/>
    <col min="9" max="9" width="23.54296875" style="1" customWidth="1"/>
    <col min="10" max="12" width="11.6328125" style="1" customWidth="1"/>
    <col min="13" max="13" width="18.08984375" style="1" customWidth="1"/>
    <col min="14" max="14" width="28.36328125" style="1" customWidth="1"/>
    <col min="15" max="15" width="34.36328125" style="1" customWidth="1"/>
    <col min="16" max="16" width="8.6328125" style="1" customWidth="1"/>
    <col min="17" max="16384" width="8.6328125" style="1"/>
  </cols>
  <sheetData>
    <row r="1" spans="1:15" s="7" customFormat="1" ht="15.75" customHeight="1" x14ac:dyDescent="0.35">
      <c r="B1" s="6" t="s">
        <v>13</v>
      </c>
      <c r="C1" s="6"/>
      <c r="D1" s="6"/>
      <c r="E1" s="6"/>
      <c r="F1" s="6"/>
      <c r="G1" s="6"/>
      <c r="H1" s="6"/>
      <c r="I1" s="6"/>
      <c r="J1" s="6"/>
      <c r="K1" s="6"/>
    </row>
    <row r="2" spans="1:15" s="7" customFormat="1" ht="15" customHeight="1" x14ac:dyDescent="0.35">
      <c r="B2" s="6" t="s">
        <v>14</v>
      </c>
      <c r="C2" s="6"/>
      <c r="D2" s="6"/>
      <c r="E2" s="6"/>
      <c r="F2" s="6"/>
      <c r="G2" s="6"/>
      <c r="H2" s="6"/>
      <c r="I2" s="6"/>
      <c r="J2" s="6"/>
      <c r="K2" s="6"/>
      <c r="L2" s="6"/>
      <c r="M2" s="6"/>
      <c r="N2" s="6"/>
      <c r="O2" s="6"/>
    </row>
    <row r="3" spans="1:15" ht="15.9" customHeight="1" x14ac:dyDescent="0.25">
      <c r="B3" s="8" t="s">
        <v>15</v>
      </c>
      <c r="C3" s="8" t="s">
        <v>16</v>
      </c>
      <c r="D3" s="1">
        <v>462.65</v>
      </c>
    </row>
    <row r="4" spans="1:15" ht="15.9" customHeight="1" x14ac:dyDescent="0.25">
      <c r="B4" s="8"/>
      <c r="C4" s="8"/>
    </row>
    <row r="5" spans="1:15" ht="11.5" x14ac:dyDescent="0.25">
      <c r="B5" s="9" t="s">
        <v>17</v>
      </c>
      <c r="C5" s="9"/>
      <c r="D5" s="10"/>
      <c r="E5" s="10"/>
      <c r="F5" s="9"/>
      <c r="G5" s="9"/>
      <c r="H5" s="9"/>
      <c r="I5" s="9"/>
      <c r="J5" s="9"/>
      <c r="K5" s="9"/>
    </row>
    <row r="7" spans="1:15" ht="104" customHeight="1" x14ac:dyDescent="0.25">
      <c r="B7" s="108" t="s">
        <v>139</v>
      </c>
      <c r="C7" s="108" t="s">
        <v>140</v>
      </c>
      <c r="D7" s="108" t="s">
        <v>579</v>
      </c>
      <c r="E7" s="108" t="s">
        <v>130</v>
      </c>
      <c r="F7" s="61" t="s">
        <v>580</v>
      </c>
      <c r="G7" s="143"/>
      <c r="H7" s="108" t="s">
        <v>554</v>
      </c>
      <c r="I7" s="108" t="s">
        <v>581</v>
      </c>
      <c r="J7" s="108" t="s">
        <v>138</v>
      </c>
      <c r="K7" s="108" t="s">
        <v>141</v>
      </c>
      <c r="L7" s="108" t="s">
        <v>142</v>
      </c>
      <c r="M7" s="108" t="s">
        <v>582</v>
      </c>
      <c r="N7" s="108" t="s">
        <v>555</v>
      </c>
      <c r="O7" s="108" t="s">
        <v>556</v>
      </c>
    </row>
    <row r="8" spans="1:15" ht="24" customHeight="1" x14ac:dyDescent="0.25">
      <c r="B8" s="144"/>
      <c r="C8" s="144"/>
      <c r="D8" s="144"/>
      <c r="E8" s="144"/>
      <c r="F8" s="81" t="s">
        <v>19</v>
      </c>
      <c r="G8" s="63" t="s">
        <v>20</v>
      </c>
      <c r="H8" s="144"/>
      <c r="I8" s="144"/>
      <c r="J8" s="144"/>
      <c r="K8" s="144"/>
      <c r="L8" s="144"/>
      <c r="M8" s="144"/>
      <c r="N8" s="145"/>
      <c r="O8" s="146"/>
    </row>
    <row r="9" spans="1:15" ht="126" customHeight="1" x14ac:dyDescent="0.25">
      <c r="B9" s="147" t="s">
        <v>59</v>
      </c>
      <c r="C9" s="147" t="s">
        <v>60</v>
      </c>
      <c r="D9" s="58" t="s">
        <v>397</v>
      </c>
      <c r="E9" s="58" t="s">
        <v>61</v>
      </c>
      <c r="F9" s="148" t="s">
        <v>62</v>
      </c>
      <c r="G9" s="149" t="s">
        <v>62</v>
      </c>
      <c r="H9" s="58" t="s">
        <v>399</v>
      </c>
      <c r="I9" s="58" t="s">
        <v>398</v>
      </c>
      <c r="J9" s="147" t="s">
        <v>268</v>
      </c>
      <c r="K9" s="147">
        <v>1</v>
      </c>
      <c r="L9" s="147">
        <v>1</v>
      </c>
      <c r="M9" s="147">
        <v>1</v>
      </c>
      <c r="N9" s="150" t="s">
        <v>400</v>
      </c>
      <c r="O9" s="151" t="s">
        <v>401</v>
      </c>
    </row>
    <row r="10" spans="1:15" ht="94.25" customHeight="1" x14ac:dyDescent="0.25">
      <c r="A10" s="1">
        <v>2</v>
      </c>
      <c r="B10" s="147" t="s">
        <v>63</v>
      </c>
      <c r="C10" s="147" t="s">
        <v>64</v>
      </c>
      <c r="D10" s="58" t="s">
        <v>402</v>
      </c>
      <c r="E10" s="58" t="s">
        <v>403</v>
      </c>
      <c r="F10" s="152">
        <f>G10*D3</f>
        <v>11566250000</v>
      </c>
      <c r="G10" s="153">
        <v>25000000</v>
      </c>
      <c r="H10" s="147" t="s">
        <v>65</v>
      </c>
      <c r="I10" s="147" t="s">
        <v>506</v>
      </c>
      <c r="J10" s="147" t="s">
        <v>268</v>
      </c>
      <c r="K10" s="147">
        <v>1</v>
      </c>
      <c r="L10" s="147">
        <v>1</v>
      </c>
      <c r="M10" s="147">
        <v>1</v>
      </c>
      <c r="N10" s="150" t="s">
        <v>404</v>
      </c>
      <c r="O10" s="154" t="s">
        <v>405</v>
      </c>
    </row>
    <row r="11" spans="1:15" ht="112.25" customHeight="1" x14ac:dyDescent="0.25">
      <c r="B11" s="147" t="s">
        <v>63</v>
      </c>
      <c r="C11" s="147" t="s">
        <v>64</v>
      </c>
      <c r="D11" s="58" t="s">
        <v>406</v>
      </c>
      <c r="E11" s="58" t="s">
        <v>403</v>
      </c>
      <c r="F11" s="152">
        <f>G11*D3</f>
        <v>323855000000</v>
      </c>
      <c r="G11" s="153">
        <v>700000000</v>
      </c>
      <c r="H11" s="147" t="s">
        <v>66</v>
      </c>
      <c r="I11" s="147" t="s">
        <v>506</v>
      </c>
      <c r="J11" s="147" t="s">
        <v>268</v>
      </c>
      <c r="K11" s="147">
        <v>1</v>
      </c>
      <c r="L11" s="147">
        <v>1</v>
      </c>
      <c r="M11" s="147">
        <v>1</v>
      </c>
      <c r="N11" s="150" t="s">
        <v>407</v>
      </c>
      <c r="O11" s="154" t="s">
        <v>405</v>
      </c>
    </row>
    <row r="12" spans="1:15" ht="112.25" customHeight="1" x14ac:dyDescent="0.25">
      <c r="B12" s="147" t="s">
        <v>63</v>
      </c>
      <c r="C12" s="147" t="s">
        <v>64</v>
      </c>
      <c r="D12" s="58" t="s">
        <v>93</v>
      </c>
      <c r="E12" s="58" t="s">
        <v>408</v>
      </c>
      <c r="F12" s="155">
        <f>G12*D3</f>
        <v>171180500000</v>
      </c>
      <c r="G12" s="153">
        <v>370000000</v>
      </c>
      <c r="H12" s="147" t="s">
        <v>66</v>
      </c>
      <c r="I12" s="147" t="s">
        <v>507</v>
      </c>
      <c r="J12" s="147" t="s">
        <v>268</v>
      </c>
      <c r="K12" s="147">
        <v>1</v>
      </c>
      <c r="L12" s="147">
        <v>1</v>
      </c>
      <c r="M12" s="147">
        <v>1</v>
      </c>
      <c r="N12" s="150" t="s">
        <v>409</v>
      </c>
      <c r="O12" s="154" t="s">
        <v>405</v>
      </c>
    </row>
    <row r="13" spans="1:15" ht="183" customHeight="1" x14ac:dyDescent="0.25">
      <c r="B13" s="147" t="s">
        <v>67</v>
      </c>
      <c r="C13" s="147" t="s">
        <v>68</v>
      </c>
      <c r="D13" s="58" t="s">
        <v>69</v>
      </c>
      <c r="E13" s="58" t="s">
        <v>70</v>
      </c>
      <c r="F13" s="155">
        <f>G13*D3</f>
        <v>10224565000</v>
      </c>
      <c r="G13" s="153">
        <v>22100000</v>
      </c>
      <c r="H13" s="147" t="s">
        <v>71</v>
      </c>
      <c r="I13" s="147" t="s">
        <v>508</v>
      </c>
      <c r="J13" s="147" t="s">
        <v>165</v>
      </c>
      <c r="K13" s="147">
        <v>1</v>
      </c>
      <c r="L13" s="147">
        <v>1</v>
      </c>
      <c r="M13" s="147">
        <v>1</v>
      </c>
      <c r="N13" s="150" t="s">
        <v>410</v>
      </c>
      <c r="O13" s="151" t="s">
        <v>411</v>
      </c>
    </row>
    <row r="14" spans="1:15" ht="120.65" customHeight="1" x14ac:dyDescent="0.25">
      <c r="B14" s="147" t="s">
        <v>67</v>
      </c>
      <c r="C14" s="147" t="s">
        <v>412</v>
      </c>
      <c r="D14" s="58" t="s">
        <v>510</v>
      </c>
      <c r="E14" s="58" t="s">
        <v>413</v>
      </c>
      <c r="F14" s="155">
        <f>G14*D3</f>
        <v>6338305000</v>
      </c>
      <c r="G14" s="153">
        <v>13700000</v>
      </c>
      <c r="H14" s="147" t="s">
        <v>72</v>
      </c>
      <c r="I14" s="58" t="s">
        <v>509</v>
      </c>
      <c r="J14" s="147" t="s">
        <v>165</v>
      </c>
      <c r="K14" s="147">
        <v>1</v>
      </c>
      <c r="L14" s="147">
        <v>1</v>
      </c>
      <c r="M14" s="147">
        <v>1</v>
      </c>
      <c r="N14" s="150" t="s">
        <v>415</v>
      </c>
      <c r="O14" s="154" t="s">
        <v>414</v>
      </c>
    </row>
    <row r="15" spans="1:15" ht="127.25" customHeight="1" x14ac:dyDescent="0.25">
      <c r="B15" s="147" t="s">
        <v>67</v>
      </c>
      <c r="C15" s="147" t="s">
        <v>412</v>
      </c>
      <c r="D15" s="58" t="s">
        <v>416</v>
      </c>
      <c r="E15" s="58" t="s">
        <v>417</v>
      </c>
      <c r="F15" s="155">
        <f>G15*D3</f>
        <v>823517000</v>
      </c>
      <c r="G15" s="153">
        <v>1780000</v>
      </c>
      <c r="H15" s="147" t="s">
        <v>73</v>
      </c>
      <c r="I15" s="58" t="s">
        <v>511</v>
      </c>
      <c r="J15" s="147" t="s">
        <v>165</v>
      </c>
      <c r="K15" s="147">
        <v>1</v>
      </c>
      <c r="L15" s="147">
        <v>1</v>
      </c>
      <c r="M15" s="147">
        <v>1</v>
      </c>
      <c r="N15" s="150" t="s">
        <v>418</v>
      </c>
      <c r="O15" s="154" t="s">
        <v>419</v>
      </c>
    </row>
    <row r="16" spans="1:15" ht="128.4" customHeight="1" x14ac:dyDescent="0.25">
      <c r="B16" s="147" t="s">
        <v>74</v>
      </c>
      <c r="C16" s="147" t="s">
        <v>75</v>
      </c>
      <c r="D16" s="58" t="s">
        <v>420</v>
      </c>
      <c r="E16" s="58" t="s">
        <v>76</v>
      </c>
      <c r="F16" s="152">
        <f>G16*D3</f>
        <v>21559490000</v>
      </c>
      <c r="G16" s="152">
        <v>46600000</v>
      </c>
      <c r="H16" s="147" t="s">
        <v>421</v>
      </c>
      <c r="I16" s="58" t="s">
        <v>512</v>
      </c>
      <c r="J16" s="147" t="s">
        <v>268</v>
      </c>
      <c r="K16" s="147">
        <v>1</v>
      </c>
      <c r="L16" s="147">
        <v>1</v>
      </c>
      <c r="M16" s="147">
        <v>1</v>
      </c>
      <c r="N16" s="150" t="s">
        <v>422</v>
      </c>
      <c r="O16" s="154" t="s">
        <v>423</v>
      </c>
    </row>
    <row r="17" spans="2:15" ht="128.4" customHeight="1" x14ac:dyDescent="0.25">
      <c r="B17" s="147" t="s">
        <v>67</v>
      </c>
      <c r="C17" s="147" t="s">
        <v>412</v>
      </c>
      <c r="D17" s="58" t="s">
        <v>513</v>
      </c>
      <c r="E17" s="58" t="s">
        <v>424</v>
      </c>
      <c r="F17" s="152">
        <f>G17*D3</f>
        <v>7078545000</v>
      </c>
      <c r="G17" s="152">
        <v>15300000</v>
      </c>
      <c r="H17" s="147" t="s">
        <v>77</v>
      </c>
      <c r="I17" s="58" t="s">
        <v>514</v>
      </c>
      <c r="J17" s="147" t="s">
        <v>165</v>
      </c>
      <c r="K17" s="147">
        <v>1</v>
      </c>
      <c r="L17" s="147">
        <v>1</v>
      </c>
      <c r="M17" s="147">
        <v>1</v>
      </c>
      <c r="N17" s="150" t="s">
        <v>425</v>
      </c>
      <c r="O17" s="154" t="s">
        <v>426</v>
      </c>
    </row>
    <row r="18" spans="2:15" ht="128.4" customHeight="1" x14ac:dyDescent="0.25">
      <c r="B18" s="147" t="s">
        <v>67</v>
      </c>
      <c r="C18" s="147" t="s">
        <v>412</v>
      </c>
      <c r="D18" s="58" t="s">
        <v>515</v>
      </c>
      <c r="E18" s="58" t="s">
        <v>84</v>
      </c>
      <c r="F18" s="152">
        <f>G18*D3</f>
        <v>30812490000</v>
      </c>
      <c r="G18" s="152">
        <v>66600000</v>
      </c>
      <c r="H18" s="147" t="s">
        <v>77</v>
      </c>
      <c r="I18" s="58" t="s">
        <v>516</v>
      </c>
      <c r="J18" s="147" t="s">
        <v>85</v>
      </c>
      <c r="K18" s="147">
        <v>1</v>
      </c>
      <c r="L18" s="147">
        <v>1</v>
      </c>
      <c r="M18" s="147">
        <v>1</v>
      </c>
      <c r="N18" s="150" t="s">
        <v>427</v>
      </c>
      <c r="O18" s="154" t="s">
        <v>428</v>
      </c>
    </row>
    <row r="19" spans="2:15" ht="128.4" customHeight="1" x14ac:dyDescent="0.25">
      <c r="B19" s="147" t="s">
        <v>74</v>
      </c>
      <c r="C19" s="147" t="s">
        <v>86</v>
      </c>
      <c r="D19" s="58" t="s">
        <v>429</v>
      </c>
      <c r="E19" s="58" t="s">
        <v>87</v>
      </c>
      <c r="F19" s="152">
        <f>G19*D3</f>
        <v>1989395000</v>
      </c>
      <c r="G19" s="152">
        <v>4300000</v>
      </c>
      <c r="H19" s="147" t="s">
        <v>77</v>
      </c>
      <c r="I19" s="58" t="s">
        <v>517</v>
      </c>
      <c r="J19" s="147" t="s">
        <v>268</v>
      </c>
      <c r="K19" s="147">
        <v>1</v>
      </c>
      <c r="L19" s="147">
        <v>1</v>
      </c>
      <c r="M19" s="147">
        <v>1</v>
      </c>
      <c r="N19" s="150" t="s">
        <v>430</v>
      </c>
      <c r="O19" s="154" t="s">
        <v>431</v>
      </c>
    </row>
    <row r="20" spans="2:15" ht="144.65" customHeight="1" x14ac:dyDescent="0.25">
      <c r="B20" s="147" t="s">
        <v>63</v>
      </c>
      <c r="C20" s="147" t="s">
        <v>88</v>
      </c>
      <c r="D20" s="58" t="s">
        <v>518</v>
      </c>
      <c r="E20" s="58" t="s">
        <v>519</v>
      </c>
      <c r="F20" s="152">
        <f>G20*462.65</f>
        <v>2081925000</v>
      </c>
      <c r="G20" s="152">
        <v>4500000</v>
      </c>
      <c r="H20" s="147" t="s">
        <v>77</v>
      </c>
      <c r="I20" s="58" t="s">
        <v>520</v>
      </c>
      <c r="J20" s="147" t="s">
        <v>165</v>
      </c>
      <c r="K20" s="147">
        <v>1</v>
      </c>
      <c r="L20" s="147">
        <v>1</v>
      </c>
      <c r="M20" s="147">
        <v>1</v>
      </c>
      <c r="N20" s="150" t="s">
        <v>432</v>
      </c>
      <c r="O20" s="154" t="s">
        <v>433</v>
      </c>
    </row>
    <row r="21" spans="2:15" ht="144.65" customHeight="1" x14ac:dyDescent="0.25">
      <c r="B21" s="147" t="s">
        <v>74</v>
      </c>
      <c r="C21" s="147" t="s">
        <v>89</v>
      </c>
      <c r="D21" s="58" t="s">
        <v>521</v>
      </c>
      <c r="E21" s="58" t="s">
        <v>522</v>
      </c>
      <c r="F21" s="155">
        <f>G21*D3</f>
        <v>1017830000</v>
      </c>
      <c r="G21" s="152">
        <v>2200000</v>
      </c>
      <c r="H21" s="147" t="s">
        <v>90</v>
      </c>
      <c r="I21" s="58" t="s">
        <v>523</v>
      </c>
      <c r="J21" s="147" t="s">
        <v>268</v>
      </c>
      <c r="K21" s="147">
        <v>1</v>
      </c>
      <c r="L21" s="147">
        <v>1</v>
      </c>
      <c r="M21" s="147">
        <v>1</v>
      </c>
      <c r="N21" s="150" t="s">
        <v>91</v>
      </c>
      <c r="O21" s="154" t="s">
        <v>434</v>
      </c>
    </row>
    <row r="22" spans="2:15" ht="144.65" customHeight="1" x14ac:dyDescent="0.25">
      <c r="B22" s="147" t="s">
        <v>74</v>
      </c>
      <c r="C22" s="147" t="s">
        <v>89</v>
      </c>
      <c r="D22" s="58" t="s">
        <v>92</v>
      </c>
      <c r="E22" s="58" t="s">
        <v>524</v>
      </c>
      <c r="F22" s="152">
        <f>G22*D3</f>
        <v>68610995000</v>
      </c>
      <c r="G22" s="152">
        <v>148300000</v>
      </c>
      <c r="H22" s="147" t="s">
        <v>77</v>
      </c>
      <c r="I22" s="58" t="s">
        <v>525</v>
      </c>
      <c r="J22" s="147" t="s">
        <v>268</v>
      </c>
      <c r="K22" s="147">
        <v>1</v>
      </c>
      <c r="L22" s="147">
        <v>1</v>
      </c>
      <c r="M22" s="147">
        <v>1</v>
      </c>
      <c r="N22" s="150" t="s">
        <v>435</v>
      </c>
      <c r="O22" s="154" t="s">
        <v>436</v>
      </c>
    </row>
    <row r="23" spans="2:15" ht="17.399999999999999" customHeight="1" x14ac:dyDescent="0.25">
      <c r="B23" s="147"/>
      <c r="C23" s="147"/>
      <c r="D23" s="156" t="s">
        <v>573</v>
      </c>
      <c r="E23" s="156"/>
      <c r="F23" s="157">
        <f>SUM(F10:F22)</f>
        <v>657138807000</v>
      </c>
      <c r="G23" s="157">
        <f>SUM(G10:G22)</f>
        <v>1420380000</v>
      </c>
      <c r="H23" s="147"/>
      <c r="I23" s="147"/>
      <c r="J23" s="147"/>
      <c r="K23" s="147"/>
      <c r="L23" s="147"/>
      <c r="M23" s="147"/>
      <c r="N23" s="150"/>
      <c r="O23" s="158"/>
    </row>
    <row r="24" spans="2:15" ht="17.399999999999999" customHeight="1" x14ac:dyDescent="0.25">
      <c r="B24" s="12"/>
      <c r="C24" s="12"/>
      <c r="D24" s="52"/>
      <c r="E24" s="52"/>
      <c r="F24" s="13"/>
      <c r="G24" s="14"/>
      <c r="H24" s="12"/>
      <c r="I24" s="12"/>
      <c r="J24" s="12"/>
      <c r="K24" s="12"/>
      <c r="L24" s="12"/>
      <c r="M24" s="12"/>
      <c r="N24" s="15"/>
      <c r="O24" s="16"/>
    </row>
    <row r="25" spans="2:15" ht="11.5" x14ac:dyDescent="0.25">
      <c r="B25" s="17"/>
      <c r="C25" s="18"/>
      <c r="D25" s="17"/>
      <c r="E25" s="17"/>
      <c r="F25" s="17"/>
      <c r="G25" s="17"/>
      <c r="H25" s="17"/>
      <c r="I25" s="17"/>
      <c r="J25" s="17"/>
      <c r="K25" s="17"/>
      <c r="L25" s="17"/>
      <c r="M25" s="17"/>
      <c r="N25" s="19"/>
      <c r="O25" s="17"/>
    </row>
    <row r="26" spans="2:15" ht="11.5" x14ac:dyDescent="0.25">
      <c r="B26" s="10"/>
      <c r="D26" s="53"/>
      <c r="E26" s="53"/>
    </row>
    <row r="27" spans="2:15" ht="11.5" x14ac:dyDescent="0.25">
      <c r="B27" s="20" t="s">
        <v>21</v>
      </c>
      <c r="D27" s="53"/>
      <c r="E27" s="53"/>
    </row>
    <row r="28" spans="2:15" ht="12.75" customHeight="1" x14ac:dyDescent="0.25">
      <c r="B28" s="1" t="s">
        <v>22</v>
      </c>
    </row>
    <row r="29" spans="2:15" ht="12.75" customHeight="1" x14ac:dyDescent="0.25">
      <c r="B29" s="1" t="s">
        <v>23</v>
      </c>
    </row>
    <row r="30" spans="2:15" ht="12.75" customHeight="1" x14ac:dyDescent="0.25">
      <c r="B30" s="1" t="s">
        <v>24</v>
      </c>
    </row>
    <row r="31" spans="2:15" ht="12.75" customHeight="1" x14ac:dyDescent="0.25">
      <c r="B31" s="1" t="s">
        <v>25</v>
      </c>
    </row>
    <row r="32" spans="2:15" ht="12.75" customHeight="1" x14ac:dyDescent="0.25">
      <c r="B32" s="1" t="s">
        <v>26</v>
      </c>
    </row>
    <row r="33" spans="2:7" ht="12.75" customHeight="1" x14ac:dyDescent="0.25">
      <c r="B33" s="1" t="s">
        <v>27</v>
      </c>
    </row>
    <row r="34" spans="2:7" ht="12.75" customHeight="1" x14ac:dyDescent="0.25"/>
    <row r="35" spans="2:7" ht="11.5" x14ac:dyDescent="0.25">
      <c r="B35" s="2" t="s">
        <v>28</v>
      </c>
      <c r="C35" s="2"/>
      <c r="D35" s="2"/>
      <c r="E35" s="2"/>
      <c r="F35" s="2"/>
      <c r="G35" s="2"/>
    </row>
  </sheetData>
  <hyperlinks>
    <hyperlink ref="B5" location="'Index sheet'!A1" display="Back to index" xr:uid="{00000000-0004-0000-0100-000000000000}"/>
  </hyperlinks>
  <pageMargins left="0.7" right="0.7" top="0.75" bottom="0.75" header="0.3" footer="0.3"/>
  <pageSetup paperSize="9" orientation="portrait" r:id="rId1"/>
  <ignoredErrors>
    <ignoredError sqref="B1:O2 B26:O35 B36:O38 B4:O8 B3 E3:O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14999847407452621"/>
  </sheetPr>
  <dimension ref="B1:S56"/>
  <sheetViews>
    <sheetView showGridLines="0" topLeftCell="A12" zoomScaleNormal="100" workbookViewId="0">
      <selection activeCell="D10" sqref="D10"/>
    </sheetView>
  </sheetViews>
  <sheetFormatPr defaultColWidth="8.6328125" defaultRowHeight="12" customHeight="1" x14ac:dyDescent="0.25"/>
  <cols>
    <col min="1" max="1" width="2.453125" style="1" customWidth="1"/>
    <col min="2" max="2" width="17.6328125" style="1" customWidth="1"/>
    <col min="3" max="3" width="38.90625" style="1" customWidth="1"/>
    <col min="4" max="4" width="17.6328125" style="1" customWidth="1"/>
    <col min="5" max="5" width="13.6328125" style="1" customWidth="1"/>
    <col min="6" max="6" width="16.36328125" style="1" customWidth="1"/>
    <col min="7" max="7" width="21" style="1" customWidth="1"/>
    <col min="8" max="8" width="15.6328125" style="1" customWidth="1"/>
    <col min="9" max="10" width="13.6328125" style="1" customWidth="1"/>
    <col min="11" max="11" width="18" style="1" customWidth="1"/>
    <col min="12" max="17" width="13.6328125" style="1" customWidth="1"/>
    <col min="18" max="18" width="27.6328125" style="1" customWidth="1"/>
    <col min="19" max="19" width="20.6328125" style="1" customWidth="1"/>
    <col min="20" max="20" width="8.6328125" style="1" customWidth="1"/>
    <col min="21" max="16384" width="8.6328125" style="1"/>
  </cols>
  <sheetData>
    <row r="1" spans="2:19" s="7" customFormat="1" ht="15.75" customHeight="1" x14ac:dyDescent="0.35">
      <c r="B1" s="6" t="s">
        <v>31</v>
      </c>
      <c r="C1" s="6"/>
      <c r="D1" s="6"/>
      <c r="E1" s="6"/>
      <c r="F1" s="6"/>
      <c r="G1" s="6"/>
      <c r="H1" s="6"/>
    </row>
    <row r="2" spans="2:19" s="7" customFormat="1" ht="15" customHeight="1" x14ac:dyDescent="0.35">
      <c r="B2" s="6" t="s">
        <v>32</v>
      </c>
      <c r="C2" s="6"/>
      <c r="D2" s="6"/>
      <c r="E2" s="6"/>
      <c r="F2" s="6"/>
      <c r="G2" s="6"/>
      <c r="H2" s="6"/>
      <c r="I2" s="6"/>
      <c r="J2" s="6"/>
      <c r="K2" s="6"/>
      <c r="L2" s="6"/>
      <c r="M2" s="6"/>
      <c r="N2" s="6"/>
      <c r="O2" s="6"/>
      <c r="P2" s="6"/>
      <c r="Q2" s="6"/>
      <c r="R2" s="6"/>
      <c r="S2" s="6"/>
    </row>
    <row r="3" spans="2:19" ht="15.9" customHeight="1" x14ac:dyDescent="0.35">
      <c r="B3" s="92" t="s">
        <v>15</v>
      </c>
      <c r="C3" s="93">
        <v>462.65</v>
      </c>
    </row>
    <row r="4" spans="2:19" ht="15.9" customHeight="1" x14ac:dyDescent="0.25">
      <c r="B4" s="8"/>
      <c r="C4" s="8"/>
    </row>
    <row r="5" spans="2:19" ht="11.5" x14ac:dyDescent="0.25">
      <c r="B5" s="9" t="s">
        <v>17</v>
      </c>
      <c r="C5" s="22"/>
      <c r="D5" s="10"/>
      <c r="E5" s="22"/>
      <c r="F5" s="22"/>
      <c r="G5" s="9"/>
      <c r="H5" s="9"/>
      <c r="M5" s="9"/>
    </row>
    <row r="6" spans="2:19" ht="11.5" x14ac:dyDescent="0.25">
      <c r="B6" s="9"/>
      <c r="C6" s="22"/>
      <c r="D6" s="22"/>
      <c r="E6" s="22"/>
      <c r="F6" s="22"/>
      <c r="G6" s="9"/>
      <c r="H6" s="9"/>
      <c r="M6" s="9"/>
    </row>
    <row r="7" spans="2:19" ht="60.75" customHeight="1" x14ac:dyDescent="0.25">
      <c r="B7" s="60" t="s">
        <v>129</v>
      </c>
      <c r="C7" s="60" t="s">
        <v>130</v>
      </c>
      <c r="D7" s="60" t="s">
        <v>131</v>
      </c>
      <c r="E7" s="60" t="s">
        <v>132</v>
      </c>
      <c r="F7" s="60" t="s">
        <v>133</v>
      </c>
      <c r="G7" s="61" t="s">
        <v>134</v>
      </c>
      <c r="H7" s="61"/>
      <c r="I7" s="60" t="s">
        <v>135</v>
      </c>
      <c r="J7" s="60" t="s">
        <v>136</v>
      </c>
      <c r="K7" s="60" t="s">
        <v>137</v>
      </c>
      <c r="L7" s="60" t="s">
        <v>138</v>
      </c>
      <c r="M7" s="60" t="s">
        <v>139</v>
      </c>
      <c r="N7" s="60" t="s">
        <v>140</v>
      </c>
      <c r="O7" s="60" t="s">
        <v>141</v>
      </c>
      <c r="P7" s="60" t="s">
        <v>142</v>
      </c>
      <c r="Q7" s="60" t="s">
        <v>143</v>
      </c>
      <c r="R7" s="60" t="s">
        <v>144</v>
      </c>
      <c r="S7" s="11" t="s">
        <v>18</v>
      </c>
    </row>
    <row r="8" spans="2:19" ht="29.4" customHeight="1" x14ac:dyDescent="0.25">
      <c r="B8" s="62"/>
      <c r="C8" s="62"/>
      <c r="D8" s="62"/>
      <c r="E8" s="62"/>
      <c r="F8" s="62"/>
      <c r="G8" s="81" t="s">
        <v>19</v>
      </c>
      <c r="H8" s="63" t="s">
        <v>20</v>
      </c>
      <c r="I8" s="62"/>
      <c r="J8" s="62"/>
      <c r="K8" s="62"/>
      <c r="L8" s="62"/>
      <c r="M8" s="62"/>
      <c r="N8" s="62"/>
      <c r="O8" s="62"/>
      <c r="P8" s="62"/>
      <c r="Q8" s="62"/>
      <c r="R8" s="64"/>
      <c r="S8" s="23"/>
    </row>
    <row r="9" spans="2:19" ht="227" customHeight="1" x14ac:dyDescent="0.25">
      <c r="B9" s="58" t="s">
        <v>438</v>
      </c>
      <c r="C9" s="58" t="s">
        <v>437</v>
      </c>
      <c r="D9" s="58" t="s">
        <v>94</v>
      </c>
      <c r="E9" s="58" t="s">
        <v>526</v>
      </c>
      <c r="F9" s="58" t="s">
        <v>492</v>
      </c>
      <c r="G9" s="82">
        <f>H9*C3</f>
        <v>84521991150</v>
      </c>
      <c r="H9" s="67">
        <v>182691000</v>
      </c>
      <c r="I9" s="58">
        <v>2022</v>
      </c>
      <c r="J9" s="58" t="s">
        <v>440</v>
      </c>
      <c r="K9" s="58" t="s">
        <v>439</v>
      </c>
      <c r="L9" s="58" t="s">
        <v>268</v>
      </c>
      <c r="M9" s="58" t="s">
        <v>63</v>
      </c>
      <c r="N9" s="58" t="s">
        <v>96</v>
      </c>
      <c r="O9" s="58" t="s">
        <v>97</v>
      </c>
      <c r="P9" s="58" t="s">
        <v>97</v>
      </c>
      <c r="Q9" s="58" t="s">
        <v>98</v>
      </c>
      <c r="R9" s="52" t="s">
        <v>99</v>
      </c>
      <c r="S9" s="24" t="s">
        <v>100</v>
      </c>
    </row>
    <row r="10" spans="2:19" ht="82.25" customHeight="1" x14ac:dyDescent="0.25">
      <c r="B10" s="59" t="s">
        <v>101</v>
      </c>
      <c r="C10" s="59" t="s">
        <v>102</v>
      </c>
      <c r="D10" s="59" t="s">
        <v>94</v>
      </c>
      <c r="E10" s="59" t="s">
        <v>493</v>
      </c>
      <c r="F10" s="59" t="s">
        <v>95</v>
      </c>
      <c r="G10" s="83">
        <f>H10*C3</f>
        <v>39888757700</v>
      </c>
      <c r="H10" s="68">
        <v>86218000</v>
      </c>
      <c r="I10" s="59">
        <v>2021</v>
      </c>
      <c r="J10" s="58" t="s">
        <v>440</v>
      </c>
      <c r="K10" s="58" t="s">
        <v>439</v>
      </c>
      <c r="L10" s="59" t="s">
        <v>268</v>
      </c>
      <c r="M10" s="59" t="s">
        <v>63</v>
      </c>
      <c r="N10" s="65" t="s">
        <v>103</v>
      </c>
      <c r="O10" s="59" t="s">
        <v>97</v>
      </c>
      <c r="P10" s="59" t="s">
        <v>97</v>
      </c>
      <c r="Q10" s="59" t="s">
        <v>104</v>
      </c>
      <c r="R10" s="66" t="s">
        <v>105</v>
      </c>
      <c r="S10" s="24" t="s">
        <v>106</v>
      </c>
    </row>
    <row r="11" spans="2:19" ht="177.65" customHeight="1" x14ac:dyDescent="0.25">
      <c r="B11" s="59" t="s">
        <v>107</v>
      </c>
      <c r="C11" s="59" t="s">
        <v>527</v>
      </c>
      <c r="D11" s="59" t="s">
        <v>94</v>
      </c>
      <c r="E11" s="59" t="s">
        <v>494</v>
      </c>
      <c r="F11" s="59" t="s">
        <v>492</v>
      </c>
      <c r="G11" s="83">
        <f>H11*C3</f>
        <v>36783450900</v>
      </c>
      <c r="H11" s="68">
        <v>79506000</v>
      </c>
      <c r="I11" s="59">
        <v>2021</v>
      </c>
      <c r="J11" s="58" t="s">
        <v>440</v>
      </c>
      <c r="K11" s="58" t="s">
        <v>439</v>
      </c>
      <c r="L11" s="59" t="s">
        <v>268</v>
      </c>
      <c r="M11" s="59" t="s">
        <v>74</v>
      </c>
      <c r="N11" s="65" t="s">
        <v>108</v>
      </c>
      <c r="O11" s="59" t="s">
        <v>97</v>
      </c>
      <c r="P11" s="59" t="s">
        <v>97</v>
      </c>
      <c r="Q11" s="59" t="s">
        <v>98</v>
      </c>
      <c r="R11" s="66" t="s">
        <v>109</v>
      </c>
      <c r="S11" s="24" t="s">
        <v>110</v>
      </c>
    </row>
    <row r="12" spans="2:19" ht="138" x14ac:dyDescent="0.25">
      <c r="B12" s="59" t="s">
        <v>111</v>
      </c>
      <c r="C12" s="59" t="s">
        <v>528</v>
      </c>
      <c r="D12" s="59" t="s">
        <v>94</v>
      </c>
      <c r="E12" s="59" t="s">
        <v>495</v>
      </c>
      <c r="F12" s="59" t="s">
        <v>492</v>
      </c>
      <c r="G12" s="83">
        <f>H12*C3</f>
        <v>22033243600</v>
      </c>
      <c r="H12" s="68">
        <v>47624000</v>
      </c>
      <c r="I12" s="59">
        <v>2021</v>
      </c>
      <c r="J12" s="58" t="s">
        <v>440</v>
      </c>
      <c r="K12" s="58" t="s">
        <v>439</v>
      </c>
      <c r="L12" s="59" t="s">
        <v>268</v>
      </c>
      <c r="M12" s="59" t="s">
        <v>112</v>
      </c>
      <c r="N12" s="65" t="s">
        <v>113</v>
      </c>
      <c r="O12" s="59" t="s">
        <v>97</v>
      </c>
      <c r="P12" s="59" t="s">
        <v>97</v>
      </c>
      <c r="Q12" s="59" t="s">
        <v>98</v>
      </c>
      <c r="R12" s="66" t="s">
        <v>114</v>
      </c>
      <c r="S12" s="24" t="s">
        <v>115</v>
      </c>
    </row>
    <row r="13" spans="2:19" ht="80" customHeight="1" x14ac:dyDescent="0.25">
      <c r="B13" s="59" t="s">
        <v>101</v>
      </c>
      <c r="C13" s="59" t="s">
        <v>102</v>
      </c>
      <c r="D13" s="59" t="s">
        <v>94</v>
      </c>
      <c r="E13" s="89" t="s">
        <v>493</v>
      </c>
      <c r="F13" s="59" t="s">
        <v>95</v>
      </c>
      <c r="G13" s="83">
        <f>H13*C3</f>
        <v>19944378850</v>
      </c>
      <c r="H13" s="68">
        <v>43109000</v>
      </c>
      <c r="I13" s="59">
        <v>2021</v>
      </c>
      <c r="J13" s="58" t="s">
        <v>440</v>
      </c>
      <c r="K13" s="58" t="s">
        <v>439</v>
      </c>
      <c r="L13" s="59" t="s">
        <v>268</v>
      </c>
      <c r="M13" s="59" t="s">
        <v>63</v>
      </c>
      <c r="N13" s="65" t="s">
        <v>116</v>
      </c>
      <c r="O13" s="59"/>
      <c r="P13" s="59"/>
      <c r="Q13" s="59" t="s">
        <v>104</v>
      </c>
      <c r="R13" s="66" t="s">
        <v>117</v>
      </c>
      <c r="S13" s="24" t="s">
        <v>118</v>
      </c>
    </row>
    <row r="14" spans="2:19" ht="140" x14ac:dyDescent="0.25">
      <c r="B14" s="59" t="s">
        <v>119</v>
      </c>
      <c r="C14" s="59" t="s">
        <v>120</v>
      </c>
      <c r="D14" s="59" t="s">
        <v>94</v>
      </c>
      <c r="E14" s="89" t="s">
        <v>529</v>
      </c>
      <c r="F14" s="59" t="s">
        <v>492</v>
      </c>
      <c r="G14" s="83">
        <f>H14*C3</f>
        <v>16716469800</v>
      </c>
      <c r="H14" s="68">
        <v>36132000</v>
      </c>
      <c r="I14" s="59">
        <v>2021</v>
      </c>
      <c r="J14" s="58" t="s">
        <v>440</v>
      </c>
      <c r="K14" s="58" t="s">
        <v>439</v>
      </c>
      <c r="L14" s="59" t="s">
        <v>85</v>
      </c>
      <c r="M14" s="59" t="s">
        <v>112</v>
      </c>
      <c r="N14" s="65" t="s">
        <v>121</v>
      </c>
      <c r="O14" s="59" t="s">
        <v>97</v>
      </c>
      <c r="P14" s="59" t="s">
        <v>97</v>
      </c>
      <c r="Q14" s="59" t="s">
        <v>98</v>
      </c>
      <c r="R14" s="66" t="s">
        <v>122</v>
      </c>
      <c r="S14" s="24" t="s">
        <v>123</v>
      </c>
    </row>
    <row r="15" spans="2:19" ht="115" x14ac:dyDescent="0.25">
      <c r="B15" s="59" t="s">
        <v>101</v>
      </c>
      <c r="C15" s="59" t="s">
        <v>102</v>
      </c>
      <c r="D15" s="59" t="s">
        <v>94</v>
      </c>
      <c r="E15" s="89" t="s">
        <v>493</v>
      </c>
      <c r="F15" s="59" t="s">
        <v>95</v>
      </c>
      <c r="G15" s="83">
        <f>H15*C3</f>
        <v>14960250400</v>
      </c>
      <c r="H15" s="68">
        <v>32336000</v>
      </c>
      <c r="I15" s="59">
        <v>2021</v>
      </c>
      <c r="J15" s="58" t="s">
        <v>440</v>
      </c>
      <c r="K15" s="58" t="s">
        <v>439</v>
      </c>
      <c r="L15" s="59" t="s">
        <v>165</v>
      </c>
      <c r="M15" s="59" t="s">
        <v>124</v>
      </c>
      <c r="N15" s="65" t="s">
        <v>125</v>
      </c>
      <c r="O15" s="59"/>
      <c r="P15" s="59"/>
      <c r="Q15" s="59" t="s">
        <v>126</v>
      </c>
      <c r="R15" s="66" t="s">
        <v>127</v>
      </c>
      <c r="S15" s="24" t="s">
        <v>128</v>
      </c>
    </row>
    <row r="16" spans="2:19" ht="14" x14ac:dyDescent="0.25">
      <c r="B16" s="140" t="s">
        <v>574</v>
      </c>
      <c r="C16" s="140" t="s">
        <v>575</v>
      </c>
      <c r="D16" s="141"/>
      <c r="E16" s="141"/>
      <c r="F16" s="141"/>
      <c r="G16" s="83">
        <f>H16*$C$3</f>
        <v>98870155600</v>
      </c>
      <c r="H16" s="142">
        <v>213704000</v>
      </c>
      <c r="I16" s="59"/>
      <c r="J16" s="58"/>
      <c r="K16" s="58"/>
      <c r="L16" s="59"/>
      <c r="M16" s="59"/>
      <c r="N16" s="65"/>
      <c r="O16" s="59"/>
      <c r="P16" s="59"/>
      <c r="Q16" s="59"/>
      <c r="R16" s="66"/>
      <c r="S16" s="24"/>
    </row>
    <row r="17" spans="2:19" ht="14" x14ac:dyDescent="0.25">
      <c r="B17" s="140" t="s">
        <v>576</v>
      </c>
      <c r="C17" s="140"/>
      <c r="D17" s="141"/>
      <c r="E17" s="141"/>
      <c r="F17" s="141"/>
      <c r="G17" s="83">
        <f>H17*$C$3</f>
        <v>333719537691.71356</v>
      </c>
      <c r="H17" s="142">
        <v>721321814.96101499</v>
      </c>
      <c r="I17" s="59"/>
      <c r="J17" s="58"/>
      <c r="K17" s="58"/>
      <c r="L17" s="59"/>
      <c r="M17" s="59"/>
      <c r="N17" s="65"/>
      <c r="O17" s="59"/>
      <c r="P17" s="59"/>
      <c r="Q17" s="59"/>
      <c r="R17" s="66"/>
      <c r="S17" s="24"/>
    </row>
    <row r="18" spans="2:19" ht="14" x14ac:dyDescent="0.25">
      <c r="B18" s="84"/>
      <c r="C18" s="84"/>
      <c r="D18" s="84"/>
      <c r="E18" s="84"/>
      <c r="F18" s="84"/>
      <c r="G18" s="85"/>
      <c r="H18" s="86"/>
      <c r="I18" s="84"/>
      <c r="J18" s="87"/>
      <c r="K18" s="87"/>
      <c r="L18" s="84"/>
      <c r="M18" s="84"/>
      <c r="N18" s="84"/>
      <c r="O18" s="84"/>
      <c r="P18" s="84"/>
      <c r="Q18" s="84"/>
      <c r="R18" s="88"/>
      <c r="S18" s="88"/>
    </row>
    <row r="19" spans="2:19" ht="14" x14ac:dyDescent="0.25">
      <c r="B19" s="84"/>
      <c r="C19" s="84"/>
      <c r="D19" s="84"/>
      <c r="E19" s="84"/>
      <c r="F19" s="84"/>
      <c r="G19" s="85"/>
      <c r="H19" s="86"/>
      <c r="I19" s="84"/>
      <c r="J19" s="87"/>
      <c r="K19" s="87"/>
      <c r="L19" s="84"/>
      <c r="M19" s="84"/>
      <c r="N19" s="84"/>
      <c r="O19" s="84"/>
      <c r="P19" s="84"/>
      <c r="Q19" s="84"/>
      <c r="R19" s="88"/>
      <c r="S19" s="88"/>
    </row>
    <row r="20" spans="2:19" ht="11.5" x14ac:dyDescent="0.25">
      <c r="B20" s="25"/>
      <c r="C20" s="26"/>
      <c r="D20" s="26"/>
      <c r="E20" s="26"/>
      <c r="F20" s="26"/>
      <c r="G20" s="9"/>
      <c r="H20" s="25"/>
      <c r="M20" s="25"/>
    </row>
    <row r="21" spans="2:19" ht="11.5" x14ac:dyDescent="0.25">
      <c r="B21" s="20" t="s">
        <v>21</v>
      </c>
      <c r="C21" s="26"/>
      <c r="D21" s="26"/>
      <c r="E21" s="26"/>
      <c r="F21" s="26"/>
      <c r="G21" s="9"/>
      <c r="H21" s="25"/>
      <c r="M21" s="25"/>
    </row>
    <row r="22" spans="2:19" ht="12.75" customHeight="1" x14ac:dyDescent="0.25">
      <c r="B22" s="1" t="s">
        <v>33</v>
      </c>
      <c r="C22" s="26"/>
      <c r="D22" s="26"/>
      <c r="E22" s="26"/>
      <c r="F22" s="26"/>
      <c r="G22" s="9"/>
      <c r="H22" s="25"/>
      <c r="M22" s="25"/>
    </row>
    <row r="23" spans="2:19" ht="12.75" customHeight="1" x14ac:dyDescent="0.25">
      <c r="B23" s="1" t="s">
        <v>34</v>
      </c>
      <c r="C23" s="26"/>
      <c r="D23" s="26"/>
      <c r="E23" s="26"/>
      <c r="F23" s="26"/>
      <c r="G23" s="9"/>
      <c r="H23" s="25"/>
      <c r="M23" s="25"/>
    </row>
    <row r="24" spans="2:19" ht="12.75" customHeight="1" x14ac:dyDescent="0.25">
      <c r="B24" s="1" t="s">
        <v>24</v>
      </c>
      <c r="C24" s="26"/>
      <c r="D24" s="26"/>
      <c r="E24" s="26"/>
      <c r="F24" s="26"/>
      <c r="G24" s="9"/>
      <c r="H24" s="25"/>
      <c r="M24" s="25"/>
    </row>
    <row r="25" spans="2:19" ht="12.75" customHeight="1" x14ac:dyDescent="0.25">
      <c r="B25" s="1" t="s">
        <v>25</v>
      </c>
      <c r="C25" s="26"/>
      <c r="D25" s="26"/>
      <c r="E25" s="26"/>
      <c r="F25" s="26"/>
      <c r="G25" s="9"/>
      <c r="H25" s="25"/>
      <c r="M25" s="25"/>
    </row>
    <row r="26" spans="2:19" ht="12.75" customHeight="1" x14ac:dyDescent="0.25">
      <c r="B26" s="1" t="s">
        <v>26</v>
      </c>
      <c r="C26" s="26"/>
      <c r="D26" s="26"/>
      <c r="E26" s="26"/>
      <c r="F26" s="26"/>
      <c r="G26" s="9"/>
      <c r="H26" s="25"/>
      <c r="M26" s="25"/>
    </row>
    <row r="27" spans="2:19" ht="12.75" customHeight="1" x14ac:dyDescent="0.25">
      <c r="B27" s="1" t="s">
        <v>35</v>
      </c>
      <c r="C27" s="26"/>
      <c r="D27" s="26"/>
      <c r="E27" s="26"/>
      <c r="F27" s="26"/>
      <c r="G27" s="9"/>
      <c r="H27" s="25"/>
      <c r="M27" s="25"/>
    </row>
    <row r="28" spans="2:19" ht="11.5" x14ac:dyDescent="0.25">
      <c r="B28" s="25"/>
      <c r="C28" s="26"/>
      <c r="D28" s="26"/>
      <c r="E28" s="26"/>
      <c r="F28" s="26"/>
      <c r="G28" s="9"/>
      <c r="H28" s="25"/>
      <c r="M28" s="25"/>
    </row>
    <row r="29" spans="2:19" ht="11.5" x14ac:dyDescent="0.25">
      <c r="B29" s="2" t="s">
        <v>28</v>
      </c>
      <c r="C29" s="2"/>
      <c r="D29" s="2"/>
      <c r="E29" s="2"/>
      <c r="F29" s="2"/>
      <c r="M29" s="2"/>
    </row>
    <row r="30" spans="2:19" ht="14" x14ac:dyDescent="0.25">
      <c r="B30" s="137" t="s">
        <v>577</v>
      </c>
      <c r="C30" s="138"/>
      <c r="D30" s="138"/>
      <c r="E30" s="138"/>
      <c r="F30" s="27"/>
      <c r="M30" s="27"/>
    </row>
    <row r="31" spans="2:19" ht="12" customHeight="1" x14ac:dyDescent="0.25">
      <c r="B31" s="137" t="s">
        <v>578</v>
      </c>
      <c r="C31" s="139"/>
      <c r="D31" s="139"/>
      <c r="E31" s="139"/>
    </row>
    <row r="32" spans="2:19" ht="13.5" customHeight="1" x14ac:dyDescent="0.25">
      <c r="B32" s="139"/>
      <c r="C32" s="139"/>
      <c r="D32" s="139"/>
      <c r="E32" s="139"/>
    </row>
    <row r="33" spans="2:2" ht="13.5" customHeight="1" x14ac:dyDescent="0.25"/>
    <row r="34" spans="2:2" ht="13.5" customHeight="1" x14ac:dyDescent="0.25">
      <c r="B34" s="27"/>
    </row>
    <row r="35" spans="2:2" ht="13.5" customHeight="1" x14ac:dyDescent="0.25">
      <c r="B35" s="27"/>
    </row>
    <row r="36" spans="2:2" ht="13.5" customHeight="1" x14ac:dyDescent="0.25">
      <c r="B36" s="27"/>
    </row>
    <row r="37" spans="2:2" ht="13.5" customHeight="1" x14ac:dyDescent="0.25">
      <c r="B37" s="27"/>
    </row>
    <row r="38" spans="2:2" ht="13.5" customHeight="1" x14ac:dyDescent="0.25">
      <c r="B38" s="27"/>
    </row>
    <row r="39" spans="2:2" ht="13.5" customHeight="1" x14ac:dyDescent="0.25">
      <c r="B39" s="27"/>
    </row>
    <row r="40" spans="2:2" ht="13.5" customHeight="1" x14ac:dyDescent="0.25">
      <c r="B40" s="27"/>
    </row>
    <row r="41" spans="2:2" ht="13.5" customHeight="1" x14ac:dyDescent="0.25">
      <c r="B41" s="27"/>
    </row>
    <row r="42" spans="2:2" ht="13.5" customHeight="1" x14ac:dyDescent="0.25">
      <c r="B42" s="27"/>
    </row>
    <row r="43" spans="2:2" ht="13.5" customHeight="1" x14ac:dyDescent="0.25">
      <c r="B43" s="27"/>
    </row>
    <row r="44" spans="2:2" ht="13.5" customHeight="1" x14ac:dyDescent="0.25">
      <c r="B44" s="27"/>
    </row>
    <row r="45" spans="2:2" ht="13.5" customHeight="1" x14ac:dyDescent="0.25">
      <c r="B45" s="27"/>
    </row>
    <row r="46" spans="2:2" ht="13.5" customHeight="1" x14ac:dyDescent="0.25">
      <c r="B46" s="27"/>
    </row>
    <row r="47" spans="2:2" ht="13.5" customHeight="1" x14ac:dyDescent="0.25">
      <c r="B47" s="27"/>
    </row>
    <row r="48" spans="2:2" ht="13.5" customHeight="1" x14ac:dyDescent="0.25">
      <c r="B48" s="27"/>
    </row>
    <row r="49" spans="2:2" ht="13.5" customHeight="1" x14ac:dyDescent="0.25">
      <c r="B49" s="27"/>
    </row>
    <row r="50" spans="2:2" ht="13.5" customHeight="1" x14ac:dyDescent="0.25">
      <c r="B50" s="27"/>
    </row>
    <row r="51" spans="2:2" ht="13.5" customHeight="1" x14ac:dyDescent="0.25">
      <c r="B51" s="27"/>
    </row>
    <row r="52" spans="2:2" ht="13.5" customHeight="1" x14ac:dyDescent="0.25">
      <c r="B52" s="27"/>
    </row>
    <row r="53" spans="2:2" ht="13.5" customHeight="1" x14ac:dyDescent="0.25"/>
    <row r="54" spans="2:2" ht="13.5" customHeight="1" x14ac:dyDescent="0.25"/>
    <row r="55" spans="2:2" ht="13.5" customHeight="1" x14ac:dyDescent="0.25"/>
    <row r="56" spans="2:2" ht="13.5" customHeight="1" x14ac:dyDescent="0.25"/>
  </sheetData>
  <hyperlinks>
    <hyperlink ref="B5" location="'Index sheet'!A1" display="Back to index" xr:uid="{00000000-0004-0000-0200-000000000000}"/>
  </hyperlinks>
  <pageMargins left="0.7" right="0.7" top="0.75" bottom="0.75" header="0.3" footer="0.3"/>
  <pageSetup paperSize="9" orientation="portrait" r:id="rId1"/>
  <ignoredErrors>
    <ignoredError sqref="B1:S1 B4:S8 C2:S2 B20:S29 B32:S56 B3 D3:S3 C30:S3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52"/>
  <sheetViews>
    <sheetView showGridLines="0" topLeftCell="A9" zoomScale="85" zoomScaleNormal="85" workbookViewId="0">
      <selection activeCell="J8" sqref="J8"/>
    </sheetView>
  </sheetViews>
  <sheetFormatPr defaultColWidth="8.6328125" defaultRowHeight="12" customHeight="1" x14ac:dyDescent="0.25"/>
  <cols>
    <col min="1" max="1" width="2.453125" style="1" customWidth="1"/>
    <col min="2" max="2" width="23.08984375" style="1" customWidth="1"/>
    <col min="3" max="3" width="16.90625" style="1" customWidth="1"/>
    <col min="4" max="4" width="33.36328125" style="1" customWidth="1"/>
    <col min="5" max="5" width="30" style="1" customWidth="1"/>
    <col min="6" max="6" width="13.90625" style="1" customWidth="1"/>
    <col min="7" max="7" width="18.08984375" style="1" customWidth="1"/>
    <col min="8" max="8" width="13.90625" style="1" customWidth="1"/>
    <col min="9" max="9" width="24.6328125" style="1" customWidth="1"/>
    <col min="10" max="10" width="21.54296875" style="1" customWidth="1"/>
    <col min="11" max="11" width="8.6328125" style="1" customWidth="1"/>
    <col min="12" max="16384" width="8.6328125" style="1"/>
  </cols>
  <sheetData>
    <row r="1" spans="2:10" ht="15.75" customHeight="1" x14ac:dyDescent="0.35">
      <c r="B1" s="28" t="s">
        <v>36</v>
      </c>
      <c r="C1" s="28"/>
      <c r="D1" s="28"/>
      <c r="E1" s="29"/>
      <c r="F1" s="7"/>
      <c r="G1" s="7"/>
      <c r="H1" s="7"/>
      <c r="I1" s="7"/>
      <c r="J1" s="7"/>
    </row>
    <row r="2" spans="2:10" ht="15" customHeight="1" x14ac:dyDescent="0.3">
      <c r="B2" s="28" t="s">
        <v>37</v>
      </c>
      <c r="C2" s="28"/>
      <c r="D2" s="28"/>
      <c r="E2" s="28"/>
      <c r="F2" s="28"/>
      <c r="G2" s="28"/>
      <c r="H2" s="28"/>
      <c r="I2" s="28"/>
      <c r="J2" s="28"/>
    </row>
    <row r="3" spans="2:10" ht="11.5" x14ac:dyDescent="0.25">
      <c r="B3" s="30"/>
      <c r="C3" s="30"/>
      <c r="D3" s="30"/>
      <c r="E3" s="30"/>
      <c r="F3" s="30"/>
      <c r="G3" s="30"/>
    </row>
    <row r="4" spans="2:10" ht="11.5" x14ac:dyDescent="0.25">
      <c r="B4" s="25" t="s">
        <v>17</v>
      </c>
      <c r="C4" s="25"/>
      <c r="D4" s="10"/>
      <c r="E4" s="25"/>
      <c r="F4" s="25"/>
      <c r="G4" s="25"/>
      <c r="H4" s="25"/>
    </row>
    <row r="6" spans="2:10" ht="54" customHeight="1" x14ac:dyDescent="0.25">
      <c r="B6" s="107" t="s">
        <v>139</v>
      </c>
      <c r="C6" s="107" t="s">
        <v>140</v>
      </c>
      <c r="D6" s="107" t="s">
        <v>129</v>
      </c>
      <c r="E6" s="107" t="s">
        <v>552</v>
      </c>
      <c r="F6" s="107" t="s">
        <v>138</v>
      </c>
      <c r="G6" s="107" t="s">
        <v>553</v>
      </c>
      <c r="H6" s="107" t="s">
        <v>554</v>
      </c>
      <c r="I6" s="107" t="s">
        <v>555</v>
      </c>
      <c r="J6" s="108" t="s">
        <v>556</v>
      </c>
    </row>
    <row r="7" spans="2:10" ht="123" customHeight="1" x14ac:dyDescent="0.25">
      <c r="B7" s="69" t="s">
        <v>145</v>
      </c>
      <c r="C7" s="71" t="s">
        <v>505</v>
      </c>
      <c r="D7" s="71" t="s">
        <v>443</v>
      </c>
      <c r="E7" s="59" t="s">
        <v>444</v>
      </c>
      <c r="F7" s="69" t="s">
        <v>147</v>
      </c>
      <c r="G7" s="69" t="s">
        <v>442</v>
      </c>
      <c r="H7" s="69" t="s">
        <v>148</v>
      </c>
      <c r="I7" s="72" t="s">
        <v>445</v>
      </c>
      <c r="J7" s="70"/>
    </row>
    <row r="8" spans="2:10" ht="122" customHeight="1" x14ac:dyDescent="0.25">
      <c r="B8" s="69" t="s">
        <v>112</v>
      </c>
      <c r="C8" s="90" t="s">
        <v>446</v>
      </c>
      <c r="D8" s="71" t="s">
        <v>447</v>
      </c>
      <c r="E8" s="71" t="s">
        <v>448</v>
      </c>
      <c r="F8" s="69" t="s">
        <v>147</v>
      </c>
      <c r="G8" s="69" t="s">
        <v>149</v>
      </c>
      <c r="H8" s="69" t="s">
        <v>150</v>
      </c>
      <c r="I8" s="73" t="s">
        <v>151</v>
      </c>
      <c r="J8" s="70"/>
    </row>
    <row r="9" spans="2:10" s="33" customFormat="1" ht="108.65" customHeight="1" x14ac:dyDescent="0.25">
      <c r="B9" s="69" t="s">
        <v>74</v>
      </c>
      <c r="C9" s="91" t="s">
        <v>449</v>
      </c>
      <c r="D9" s="74" t="s">
        <v>152</v>
      </c>
      <c r="E9" s="59" t="s">
        <v>146</v>
      </c>
      <c r="F9" s="69" t="s">
        <v>147</v>
      </c>
      <c r="G9" s="69" t="s">
        <v>153</v>
      </c>
      <c r="H9" s="69" t="s">
        <v>150</v>
      </c>
      <c r="I9" s="73" t="s">
        <v>154</v>
      </c>
      <c r="J9" s="59" t="s">
        <v>155</v>
      </c>
    </row>
    <row r="10" spans="2:10" ht="128.4" customHeight="1" x14ac:dyDescent="0.25">
      <c r="B10" s="69" t="s">
        <v>67</v>
      </c>
      <c r="C10" s="90" t="s">
        <v>583</v>
      </c>
      <c r="D10" s="74" t="s">
        <v>450</v>
      </c>
      <c r="E10" s="59" t="s">
        <v>448</v>
      </c>
      <c r="F10" s="69" t="s">
        <v>156</v>
      </c>
      <c r="G10" s="69" t="s">
        <v>451</v>
      </c>
      <c r="H10" s="69" t="s">
        <v>157</v>
      </c>
      <c r="I10" s="72" t="s">
        <v>452</v>
      </c>
      <c r="J10" s="70" t="s">
        <v>158</v>
      </c>
    </row>
    <row r="11" spans="2:10" ht="152" customHeight="1" x14ac:dyDescent="0.25">
      <c r="B11" s="69" t="s">
        <v>59</v>
      </c>
      <c r="C11" s="90" t="s">
        <v>583</v>
      </c>
      <c r="D11" s="74" t="s">
        <v>453</v>
      </c>
      <c r="E11" s="74" t="s">
        <v>146</v>
      </c>
      <c r="F11" s="69" t="s">
        <v>159</v>
      </c>
      <c r="G11" s="69" t="s">
        <v>160</v>
      </c>
      <c r="H11" s="69" t="s">
        <v>161</v>
      </c>
      <c r="I11" s="73" t="s">
        <v>454</v>
      </c>
      <c r="J11" s="70"/>
    </row>
    <row r="12" spans="2:10" ht="108" customHeight="1" x14ac:dyDescent="0.25">
      <c r="B12" s="69" t="s">
        <v>162</v>
      </c>
      <c r="C12" s="90" t="s">
        <v>583</v>
      </c>
      <c r="D12" s="71" t="s">
        <v>455</v>
      </c>
      <c r="E12" s="71" t="s">
        <v>448</v>
      </c>
      <c r="F12" s="69" t="s">
        <v>159</v>
      </c>
      <c r="G12" s="69" t="s">
        <v>163</v>
      </c>
      <c r="H12" s="69" t="s">
        <v>150</v>
      </c>
      <c r="I12" s="72" t="s">
        <v>456</v>
      </c>
      <c r="J12" s="70" t="s">
        <v>164</v>
      </c>
    </row>
    <row r="13" spans="2:10" ht="89.4" customHeight="1" x14ac:dyDescent="0.25">
      <c r="B13" s="69" t="s">
        <v>165</v>
      </c>
      <c r="C13" s="90" t="s">
        <v>583</v>
      </c>
      <c r="D13" s="71" t="s">
        <v>457</v>
      </c>
      <c r="E13" s="71" t="s">
        <v>166</v>
      </c>
      <c r="F13" s="69" t="s">
        <v>159</v>
      </c>
      <c r="G13" s="69" t="s">
        <v>167</v>
      </c>
      <c r="H13" s="69" t="s">
        <v>150</v>
      </c>
      <c r="I13" s="73" t="s">
        <v>168</v>
      </c>
      <c r="J13" s="70" t="s">
        <v>169</v>
      </c>
    </row>
    <row r="14" spans="2:10" ht="14" customHeight="1" x14ac:dyDescent="0.25">
      <c r="B14" s="69"/>
      <c r="C14" s="69"/>
      <c r="D14" s="69"/>
      <c r="E14" s="69"/>
      <c r="F14" s="69"/>
      <c r="G14" s="69"/>
      <c r="H14" s="69"/>
      <c r="I14" s="73"/>
      <c r="J14" s="70"/>
    </row>
    <row r="15" spans="2:10" s="33" customFormat="1" ht="11.5" x14ac:dyDescent="0.25">
      <c r="B15" s="31"/>
      <c r="C15" s="31"/>
      <c r="D15" s="31"/>
      <c r="E15" s="31"/>
      <c r="F15" s="31"/>
      <c r="G15" s="31"/>
      <c r="H15" s="31"/>
      <c r="I15" s="32"/>
      <c r="J15" s="17"/>
    </row>
    <row r="16" spans="2:10" s="33" customFormat="1" ht="11.5" x14ac:dyDescent="0.25">
      <c r="B16" s="1"/>
      <c r="C16" s="1"/>
      <c r="D16" s="1"/>
      <c r="E16" s="1"/>
      <c r="F16" s="1"/>
      <c r="G16" s="1"/>
      <c r="H16" s="1"/>
      <c r="I16" s="1"/>
      <c r="J16" s="37"/>
    </row>
    <row r="17" spans="2:3" s="33" customFormat="1" ht="11.5" x14ac:dyDescent="0.25"/>
    <row r="18" spans="2:3" ht="11.5" x14ac:dyDescent="0.25">
      <c r="B18" s="20" t="s">
        <v>21</v>
      </c>
    </row>
    <row r="19" spans="2:3" ht="12.75" customHeight="1" x14ac:dyDescent="0.25">
      <c r="B19" s="1" t="s">
        <v>38</v>
      </c>
    </row>
    <row r="20" spans="2:3" ht="12.75" customHeight="1" x14ac:dyDescent="0.25">
      <c r="B20" s="1" t="s">
        <v>23</v>
      </c>
    </row>
    <row r="21" spans="2:3" ht="12.75" customHeight="1" x14ac:dyDescent="0.25">
      <c r="B21" s="1" t="s">
        <v>24</v>
      </c>
    </row>
    <row r="22" spans="2:3" ht="12.75" customHeight="1" x14ac:dyDescent="0.25">
      <c r="B22" s="1" t="s">
        <v>25</v>
      </c>
    </row>
    <row r="23" spans="2:3" ht="12.75" customHeight="1" x14ac:dyDescent="0.25">
      <c r="B23" s="1" t="s">
        <v>39</v>
      </c>
    </row>
    <row r="24" spans="2:3" ht="12.75" customHeight="1" x14ac:dyDescent="0.25">
      <c r="B24" s="1" t="s">
        <v>35</v>
      </c>
    </row>
    <row r="25" spans="2:3" ht="12.75" customHeight="1" x14ac:dyDescent="0.25"/>
    <row r="26" spans="2:3" ht="11.5" x14ac:dyDescent="0.25">
      <c r="B26" s="2" t="s">
        <v>28</v>
      </c>
      <c r="C26" s="2"/>
    </row>
    <row r="27" spans="2:3" ht="13.5" customHeight="1" x14ac:dyDescent="0.25"/>
    <row r="31" spans="2:3" ht="13.5" customHeight="1" x14ac:dyDescent="0.25">
      <c r="B31" s="27"/>
      <c r="C31" s="27"/>
    </row>
    <row r="32" spans="2:3" ht="13.5" customHeight="1" x14ac:dyDescent="0.25">
      <c r="B32" s="27"/>
      <c r="C32" s="27"/>
    </row>
    <row r="33" spans="2:3" ht="13.5" customHeight="1" x14ac:dyDescent="0.25">
      <c r="B33" s="27"/>
      <c r="C33" s="27"/>
    </row>
    <row r="34" spans="2:3" ht="13.5" customHeight="1" x14ac:dyDescent="0.25">
      <c r="B34" s="27"/>
      <c r="C34" s="27"/>
    </row>
    <row r="35" spans="2:3" ht="13.5" customHeight="1" x14ac:dyDescent="0.25">
      <c r="B35" s="27"/>
      <c r="C35" s="27"/>
    </row>
    <row r="36" spans="2:3" ht="13.5" customHeight="1" x14ac:dyDescent="0.25">
      <c r="B36" s="27"/>
      <c r="C36" s="27"/>
    </row>
    <row r="37" spans="2:3" ht="13.5" customHeight="1" x14ac:dyDescent="0.25">
      <c r="B37" s="27"/>
      <c r="C37" s="27"/>
    </row>
    <row r="38" spans="2:3" ht="13.5" customHeight="1" x14ac:dyDescent="0.25">
      <c r="B38" s="27"/>
      <c r="C38" s="27"/>
    </row>
    <row r="39" spans="2:3" ht="13.5" customHeight="1" x14ac:dyDescent="0.25">
      <c r="B39" s="27"/>
      <c r="C39" s="27"/>
    </row>
    <row r="40" spans="2:3" ht="13.5" customHeight="1" x14ac:dyDescent="0.25">
      <c r="B40" s="27"/>
      <c r="C40" s="27"/>
    </row>
    <row r="41" spans="2:3" ht="13.5" customHeight="1" x14ac:dyDescent="0.25">
      <c r="B41" s="27"/>
      <c r="C41" s="27"/>
    </row>
    <row r="42" spans="2:3" ht="13.5" customHeight="1" x14ac:dyDescent="0.25">
      <c r="B42" s="27"/>
      <c r="C42" s="27"/>
    </row>
    <row r="43" spans="2:3" ht="13.5" customHeight="1" x14ac:dyDescent="0.25">
      <c r="B43" s="27"/>
      <c r="C43" s="27"/>
    </row>
    <row r="44" spans="2:3" ht="13.5" customHeight="1" x14ac:dyDescent="0.25">
      <c r="B44" s="27"/>
      <c r="C44" s="27"/>
    </row>
    <row r="45" spans="2:3" ht="13.5" customHeight="1" x14ac:dyDescent="0.25">
      <c r="B45" s="27"/>
      <c r="C45" s="27"/>
    </row>
    <row r="46" spans="2:3" ht="13.5" customHeight="1" x14ac:dyDescent="0.25">
      <c r="B46" s="27"/>
      <c r="C46" s="27"/>
    </row>
    <row r="47" spans="2:3" ht="13.5" customHeight="1" x14ac:dyDescent="0.25">
      <c r="B47" s="27"/>
      <c r="C47" s="27"/>
    </row>
    <row r="48" spans="2:3" ht="13.5" customHeight="1" x14ac:dyDescent="0.25">
      <c r="B48" s="27"/>
      <c r="C48" s="27"/>
    </row>
    <row r="49" spans="2:3" ht="13.5" customHeight="1" x14ac:dyDescent="0.25">
      <c r="B49" s="27"/>
      <c r="C49" s="27"/>
    </row>
    <row r="50" spans="2:3" ht="13.5" customHeight="1" x14ac:dyDescent="0.25"/>
    <row r="51" spans="2:3" ht="13.5" customHeight="1" x14ac:dyDescent="0.25"/>
    <row r="52" spans="2:3" ht="13.5" customHeight="1" x14ac:dyDescent="0.25"/>
  </sheetData>
  <hyperlinks>
    <hyperlink ref="B4" location="'Index sheet'!A1" display="Back to index" xr:uid="{00000000-0004-0000-0300-000000000000}"/>
  </hyperlinks>
  <pageMargins left="0.7" right="0.7" top="0.75" bottom="0.75" header="0.3" footer="0.3"/>
  <pageSetup paperSize="9" orientation="portrait" r:id="rId1"/>
  <ignoredErrors>
    <ignoredError sqref="B1:J6 B17:J26 B27:J5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58"/>
  <sheetViews>
    <sheetView showGridLines="0" topLeftCell="A12" workbookViewId="0">
      <selection activeCell="E32" sqref="E32"/>
    </sheetView>
  </sheetViews>
  <sheetFormatPr defaultColWidth="8.6328125" defaultRowHeight="12" customHeight="1" x14ac:dyDescent="0.25"/>
  <cols>
    <col min="1" max="1" width="2.453125" style="1" customWidth="1"/>
    <col min="2" max="3" width="19.08984375" style="1" customWidth="1"/>
    <col min="4" max="12" width="15.453125" style="1" customWidth="1"/>
    <col min="13" max="13" width="24.6328125" style="1" customWidth="1"/>
    <col min="14" max="14" width="8.6328125" style="1" customWidth="1"/>
    <col min="15" max="16384" width="8.6328125" style="1"/>
  </cols>
  <sheetData>
    <row r="1" spans="2:13" s="7" customFormat="1" ht="15.75" customHeight="1" x14ac:dyDescent="0.35">
      <c r="B1" s="28" t="s">
        <v>40</v>
      </c>
      <c r="C1" s="28"/>
      <c r="D1" s="28"/>
      <c r="E1" s="28"/>
      <c r="F1" s="28"/>
      <c r="G1" s="28"/>
    </row>
    <row r="2" spans="2:13" s="7" customFormat="1" ht="15" customHeight="1" x14ac:dyDescent="0.35">
      <c r="B2" s="28" t="s">
        <v>41</v>
      </c>
      <c r="C2" s="28"/>
      <c r="D2" s="28"/>
      <c r="E2" s="28"/>
      <c r="F2" s="28"/>
      <c r="G2" s="28"/>
      <c r="H2" s="28"/>
      <c r="I2" s="28"/>
      <c r="J2" s="28"/>
      <c r="K2" s="28"/>
      <c r="L2" s="28"/>
      <c r="M2" s="28"/>
    </row>
    <row r="4" spans="2:13" ht="11.5" x14ac:dyDescent="0.25">
      <c r="B4" s="25" t="s">
        <v>17</v>
      </c>
      <c r="C4" s="25"/>
      <c r="D4" s="10"/>
      <c r="E4" s="25"/>
      <c r="F4" s="25"/>
      <c r="G4" s="25"/>
    </row>
    <row r="5" spans="2:13" ht="11.5" x14ac:dyDescent="0.25">
      <c r="C5" s="34"/>
      <c r="D5" s="34"/>
      <c r="E5" s="34"/>
      <c r="F5" s="34"/>
      <c r="G5" s="34"/>
      <c r="H5" s="34"/>
      <c r="I5" s="34"/>
      <c r="J5" s="34"/>
      <c r="K5" s="34"/>
      <c r="L5" s="34"/>
      <c r="M5" s="34"/>
    </row>
    <row r="6" spans="2:13" ht="47.15" customHeight="1" x14ac:dyDescent="0.25">
      <c r="B6" s="114" t="s">
        <v>49</v>
      </c>
      <c r="C6" s="115" t="s">
        <v>557</v>
      </c>
      <c r="D6" s="115" t="s">
        <v>558</v>
      </c>
      <c r="E6" s="115" t="s">
        <v>559</v>
      </c>
      <c r="F6" s="115" t="s">
        <v>560</v>
      </c>
      <c r="G6" s="115" t="s">
        <v>561</v>
      </c>
      <c r="H6" s="115" t="s">
        <v>81</v>
      </c>
      <c r="I6" s="115" t="s">
        <v>78</v>
      </c>
      <c r="J6" s="115" t="s">
        <v>79</v>
      </c>
      <c r="K6" s="115" t="s">
        <v>562</v>
      </c>
      <c r="L6" s="115" t="s">
        <v>563</v>
      </c>
      <c r="M6" s="115" t="s">
        <v>83</v>
      </c>
    </row>
    <row r="7" spans="2:13" s="33" customFormat="1" ht="46" x14ac:dyDescent="0.25">
      <c r="B7" s="111" t="s">
        <v>171</v>
      </c>
      <c r="C7" s="111" t="s">
        <v>172</v>
      </c>
      <c r="D7" s="112" t="s">
        <v>170</v>
      </c>
      <c r="E7" s="112" t="s">
        <v>173</v>
      </c>
      <c r="F7" s="112" t="s">
        <v>174</v>
      </c>
      <c r="G7" s="112" t="s">
        <v>175</v>
      </c>
      <c r="H7" s="112" t="s">
        <v>268</v>
      </c>
      <c r="I7" s="112" t="s">
        <v>63</v>
      </c>
      <c r="J7" s="112" t="s">
        <v>583</v>
      </c>
      <c r="K7" s="112" t="s">
        <v>459</v>
      </c>
      <c r="L7" s="113" t="s">
        <v>463</v>
      </c>
      <c r="M7" s="76" t="s">
        <v>179</v>
      </c>
    </row>
    <row r="8" spans="2:13" s="33" customFormat="1" ht="46" x14ac:dyDescent="0.25">
      <c r="B8" s="97" t="s">
        <v>176</v>
      </c>
      <c r="C8" s="95" t="s">
        <v>170</v>
      </c>
      <c r="D8" s="95" t="s">
        <v>170</v>
      </c>
      <c r="E8" s="95" t="s">
        <v>177</v>
      </c>
      <c r="F8" s="95" t="s">
        <v>174</v>
      </c>
      <c r="G8" s="95" t="s">
        <v>176</v>
      </c>
      <c r="H8" s="95" t="s">
        <v>268</v>
      </c>
      <c r="I8" s="95" t="s">
        <v>63</v>
      </c>
      <c r="J8" s="112" t="s">
        <v>583</v>
      </c>
      <c r="K8" s="95" t="s">
        <v>367</v>
      </c>
      <c r="L8" s="96" t="s">
        <v>360</v>
      </c>
      <c r="M8" s="24" t="s">
        <v>178</v>
      </c>
    </row>
    <row r="9" spans="2:13" s="33" customFormat="1" ht="91.25" customHeight="1" x14ac:dyDescent="0.25">
      <c r="B9" s="94" t="s">
        <v>180</v>
      </c>
      <c r="C9" s="94" t="s">
        <v>181</v>
      </c>
      <c r="D9" s="95" t="s">
        <v>170</v>
      </c>
      <c r="E9" s="95" t="s">
        <v>182</v>
      </c>
      <c r="F9" s="95" t="s">
        <v>174</v>
      </c>
      <c r="G9" s="95" t="s">
        <v>175</v>
      </c>
      <c r="H9" s="95" t="s">
        <v>268</v>
      </c>
      <c r="I9" s="95" t="s">
        <v>63</v>
      </c>
      <c r="J9" s="112" t="s">
        <v>583</v>
      </c>
      <c r="K9" s="95" t="s">
        <v>104</v>
      </c>
      <c r="L9" s="96" t="s">
        <v>360</v>
      </c>
      <c r="M9" s="24" t="s">
        <v>183</v>
      </c>
    </row>
    <row r="10" spans="2:13" s="33" customFormat="1" ht="69" x14ac:dyDescent="0.25">
      <c r="B10" s="94" t="s">
        <v>184</v>
      </c>
      <c r="C10" s="94" t="s">
        <v>464</v>
      </c>
      <c r="D10" s="94" t="s">
        <v>185</v>
      </c>
      <c r="E10" s="95" t="s">
        <v>186</v>
      </c>
      <c r="F10" s="94" t="s">
        <v>187</v>
      </c>
      <c r="G10" s="95" t="s">
        <v>175</v>
      </c>
      <c r="H10" s="95" t="s">
        <v>293</v>
      </c>
      <c r="I10" s="94" t="s">
        <v>465</v>
      </c>
      <c r="J10" s="112" t="s">
        <v>583</v>
      </c>
      <c r="K10" s="95" t="s">
        <v>459</v>
      </c>
      <c r="L10" s="96" t="s">
        <v>466</v>
      </c>
      <c r="M10" s="24" t="s">
        <v>188</v>
      </c>
    </row>
    <row r="11" spans="2:13" s="33" customFormat="1" ht="69" x14ac:dyDescent="0.25">
      <c r="B11" s="94" t="s">
        <v>189</v>
      </c>
      <c r="C11" s="94" t="s">
        <v>190</v>
      </c>
      <c r="D11" s="94" t="s">
        <v>191</v>
      </c>
      <c r="E11" s="95" t="s">
        <v>192</v>
      </c>
      <c r="F11" s="94" t="s">
        <v>187</v>
      </c>
      <c r="G11" s="98" t="s">
        <v>193</v>
      </c>
      <c r="H11" s="95" t="s">
        <v>396</v>
      </c>
      <c r="I11" s="94" t="s">
        <v>194</v>
      </c>
      <c r="J11" s="112" t="s">
        <v>583</v>
      </c>
      <c r="K11" s="95" t="s">
        <v>367</v>
      </c>
      <c r="L11" s="96" t="s">
        <v>361</v>
      </c>
      <c r="M11" s="24" t="s">
        <v>196</v>
      </c>
    </row>
    <row r="12" spans="2:13" s="33" customFormat="1" ht="69" x14ac:dyDescent="0.25">
      <c r="B12" s="94" t="s">
        <v>197</v>
      </c>
      <c r="C12" s="94" t="s">
        <v>198</v>
      </c>
      <c r="D12" s="94" t="s">
        <v>199</v>
      </c>
      <c r="E12" s="95" t="s">
        <v>200</v>
      </c>
      <c r="F12" s="95" t="s">
        <v>174</v>
      </c>
      <c r="G12" s="95" t="s">
        <v>175</v>
      </c>
      <c r="H12" s="95" t="s">
        <v>458</v>
      </c>
      <c r="I12" s="94" t="s">
        <v>467</v>
      </c>
      <c r="J12" s="112" t="s">
        <v>583</v>
      </c>
      <c r="K12" s="95" t="s">
        <v>459</v>
      </c>
      <c r="L12" s="96" t="s">
        <v>362</v>
      </c>
      <c r="M12" s="24" t="s">
        <v>201</v>
      </c>
    </row>
    <row r="13" spans="2:13" s="33" customFormat="1" ht="57.5" x14ac:dyDescent="0.25">
      <c r="B13" s="94" t="s">
        <v>202</v>
      </c>
      <c r="C13" s="94" t="s">
        <v>203</v>
      </c>
      <c r="D13" s="94" t="s">
        <v>204</v>
      </c>
      <c r="E13" s="95" t="s">
        <v>173</v>
      </c>
      <c r="F13" s="95" t="s">
        <v>174</v>
      </c>
      <c r="G13" s="95" t="s">
        <v>175</v>
      </c>
      <c r="H13" s="95" t="s">
        <v>458</v>
      </c>
      <c r="I13" s="94" t="s">
        <v>468</v>
      </c>
      <c r="J13" s="112" t="s">
        <v>583</v>
      </c>
      <c r="K13" s="95" t="s">
        <v>459</v>
      </c>
      <c r="L13" s="96" t="s">
        <v>359</v>
      </c>
      <c r="M13" s="24" t="s">
        <v>205</v>
      </c>
    </row>
    <row r="14" spans="2:13" s="33" customFormat="1" ht="46" x14ac:dyDescent="0.25">
      <c r="B14" s="94" t="s">
        <v>211</v>
      </c>
      <c r="C14" s="94" t="s">
        <v>181</v>
      </c>
      <c r="D14" s="94" t="s">
        <v>170</v>
      </c>
      <c r="E14" s="98" t="s">
        <v>212</v>
      </c>
      <c r="F14" s="98" t="s">
        <v>174</v>
      </c>
      <c r="G14" s="98" t="s">
        <v>213</v>
      </c>
      <c r="H14" s="94" t="s">
        <v>268</v>
      </c>
      <c r="I14" s="94" t="s">
        <v>145</v>
      </c>
      <c r="J14" s="112" t="s">
        <v>583</v>
      </c>
      <c r="K14" s="95" t="s">
        <v>104</v>
      </c>
      <c r="L14" s="96" t="s">
        <v>359</v>
      </c>
      <c r="M14" s="24" t="s">
        <v>206</v>
      </c>
    </row>
    <row r="15" spans="2:13" s="33" customFormat="1" ht="57.5" x14ac:dyDescent="0.25">
      <c r="B15" s="94" t="s">
        <v>214</v>
      </c>
      <c r="C15" s="94" t="s">
        <v>460</v>
      </c>
      <c r="D15" s="94" t="s">
        <v>170</v>
      </c>
      <c r="E15" s="98" t="s">
        <v>212</v>
      </c>
      <c r="F15" s="98" t="s">
        <v>174</v>
      </c>
      <c r="G15" s="98" t="s">
        <v>215</v>
      </c>
      <c r="H15" s="94" t="s">
        <v>268</v>
      </c>
      <c r="I15" s="94" t="s">
        <v>63</v>
      </c>
      <c r="J15" s="112" t="s">
        <v>583</v>
      </c>
      <c r="K15" s="95" t="s">
        <v>104</v>
      </c>
      <c r="L15" s="96" t="s">
        <v>359</v>
      </c>
      <c r="M15" s="99" t="s">
        <v>207</v>
      </c>
    </row>
    <row r="16" spans="2:13" s="33" customFormat="1" ht="46" x14ac:dyDescent="0.25">
      <c r="B16" s="94" t="s">
        <v>216</v>
      </c>
      <c r="C16" s="94" t="s">
        <v>461</v>
      </c>
      <c r="D16" s="94" t="s">
        <v>217</v>
      </c>
      <c r="E16" s="98" t="s">
        <v>218</v>
      </c>
      <c r="F16" s="98" t="s">
        <v>174</v>
      </c>
      <c r="G16" s="98" t="s">
        <v>219</v>
      </c>
      <c r="H16" s="94" t="s">
        <v>268</v>
      </c>
      <c r="I16" s="94" t="s">
        <v>220</v>
      </c>
      <c r="J16" s="112" t="s">
        <v>583</v>
      </c>
      <c r="K16" s="95" t="s">
        <v>104</v>
      </c>
      <c r="L16" s="96" t="s">
        <v>359</v>
      </c>
      <c r="M16" s="99" t="s">
        <v>208</v>
      </c>
    </row>
    <row r="17" spans="2:13" s="33" customFormat="1" ht="57.5" x14ac:dyDescent="0.25">
      <c r="B17" s="101" t="s">
        <v>221</v>
      </c>
      <c r="C17" s="94" t="s">
        <v>462</v>
      </c>
      <c r="D17" s="100" t="s">
        <v>469</v>
      </c>
      <c r="E17" s="100" t="s">
        <v>212</v>
      </c>
      <c r="F17" s="100" t="s">
        <v>174</v>
      </c>
      <c r="G17" s="100" t="s">
        <v>222</v>
      </c>
      <c r="H17" s="94" t="s">
        <v>268</v>
      </c>
      <c r="I17" s="100" t="s">
        <v>63</v>
      </c>
      <c r="J17" s="112" t="s">
        <v>583</v>
      </c>
      <c r="K17" s="95" t="s">
        <v>104</v>
      </c>
      <c r="L17" s="96" t="s">
        <v>359</v>
      </c>
      <c r="M17" s="99" t="s">
        <v>209</v>
      </c>
    </row>
    <row r="18" spans="2:13" ht="80.5" x14ac:dyDescent="0.25">
      <c r="B18" s="102" t="s">
        <v>223</v>
      </c>
      <c r="C18" s="103" t="s">
        <v>224</v>
      </c>
      <c r="D18" s="103" t="s">
        <v>225</v>
      </c>
      <c r="E18" s="104" t="s">
        <v>226</v>
      </c>
      <c r="F18" s="100" t="s">
        <v>174</v>
      </c>
      <c r="G18" s="103" t="s">
        <v>549</v>
      </c>
      <c r="H18" s="103" t="s">
        <v>458</v>
      </c>
      <c r="I18" s="105" t="s">
        <v>227</v>
      </c>
      <c r="J18" s="112" t="s">
        <v>583</v>
      </c>
      <c r="K18" s="100" t="s">
        <v>367</v>
      </c>
      <c r="L18" s="96" t="s">
        <v>363</v>
      </c>
      <c r="M18" s="106" t="s">
        <v>210</v>
      </c>
    </row>
    <row r="19" spans="2:13" ht="11.5" x14ac:dyDescent="0.25">
      <c r="I19" s="5"/>
    </row>
    <row r="20" spans="2:13" ht="11.5" x14ac:dyDescent="0.25">
      <c r="B20" s="5"/>
      <c r="I20" s="5"/>
    </row>
    <row r="21" spans="2:13" ht="11.5" x14ac:dyDescent="0.25">
      <c r="B21" s="20" t="s">
        <v>21</v>
      </c>
      <c r="I21" s="5"/>
    </row>
    <row r="22" spans="2:13" ht="12.75" customHeight="1" x14ac:dyDescent="0.25">
      <c r="B22" s="1" t="s">
        <v>42</v>
      </c>
      <c r="I22" s="5"/>
    </row>
    <row r="23" spans="2:13" ht="12.75" customHeight="1" x14ac:dyDescent="0.25">
      <c r="B23" s="1" t="s">
        <v>34</v>
      </c>
      <c r="I23" s="5"/>
    </row>
    <row r="24" spans="2:13" ht="12.75" customHeight="1" x14ac:dyDescent="0.25">
      <c r="B24" s="1" t="s">
        <v>24</v>
      </c>
      <c r="I24" s="5"/>
    </row>
    <row r="25" spans="2:13" ht="12.75" customHeight="1" x14ac:dyDescent="0.25">
      <c r="B25" s="1" t="s">
        <v>25</v>
      </c>
      <c r="I25" s="5"/>
    </row>
    <row r="26" spans="2:13" ht="12.75" customHeight="1" x14ac:dyDescent="0.25">
      <c r="B26" s="1" t="s">
        <v>39</v>
      </c>
      <c r="I26" s="5"/>
    </row>
    <row r="27" spans="2:13" ht="12.75" customHeight="1" x14ac:dyDescent="0.25">
      <c r="B27" s="1" t="s">
        <v>35</v>
      </c>
    </row>
    <row r="28" spans="2:13" ht="11.5" x14ac:dyDescent="0.25">
      <c r="B28" s="5"/>
      <c r="I28" s="5"/>
    </row>
    <row r="29" spans="2:13" ht="11.5" x14ac:dyDescent="0.25">
      <c r="B29" s="2" t="s">
        <v>28</v>
      </c>
      <c r="C29" s="2"/>
    </row>
    <row r="30" spans="2:13" ht="13.5" customHeight="1" x14ac:dyDescent="0.25"/>
    <row r="31" spans="2:13" ht="13.5" customHeight="1" x14ac:dyDescent="0.25"/>
    <row r="35" spans="2:3" ht="13.5" customHeight="1" x14ac:dyDescent="0.25"/>
    <row r="36" spans="2:3" ht="13.5" customHeight="1" x14ac:dyDescent="0.25">
      <c r="B36" s="27"/>
      <c r="C36" s="27"/>
    </row>
    <row r="37" spans="2:3" ht="13.5" customHeight="1" x14ac:dyDescent="0.25">
      <c r="B37" s="27"/>
      <c r="C37" s="27"/>
    </row>
    <row r="38" spans="2:3" ht="13.5" customHeight="1" x14ac:dyDescent="0.25">
      <c r="B38" s="27"/>
      <c r="C38" s="27"/>
    </row>
    <row r="39" spans="2:3" ht="13.5" customHeight="1" x14ac:dyDescent="0.25">
      <c r="B39" s="27"/>
      <c r="C39" s="27"/>
    </row>
    <row r="40" spans="2:3" ht="13.5" customHeight="1" x14ac:dyDescent="0.25">
      <c r="B40" s="27"/>
      <c r="C40" s="27"/>
    </row>
    <row r="41" spans="2:3" ht="13.5" customHeight="1" x14ac:dyDescent="0.25">
      <c r="B41" s="27"/>
      <c r="C41" s="27"/>
    </row>
    <row r="42" spans="2:3" ht="13.5" customHeight="1" x14ac:dyDescent="0.25">
      <c r="B42" s="27"/>
      <c r="C42" s="27"/>
    </row>
    <row r="43" spans="2:3" ht="13.5" customHeight="1" x14ac:dyDescent="0.25">
      <c r="B43" s="27"/>
      <c r="C43" s="27"/>
    </row>
    <row r="44" spans="2:3" ht="13.5" customHeight="1" x14ac:dyDescent="0.25">
      <c r="B44" s="27"/>
      <c r="C44" s="27"/>
    </row>
    <row r="45" spans="2:3" ht="13.5" customHeight="1" x14ac:dyDescent="0.25">
      <c r="B45" s="27"/>
      <c r="C45" s="27"/>
    </row>
    <row r="46" spans="2:3" ht="13.5" customHeight="1" x14ac:dyDescent="0.25">
      <c r="B46" s="27"/>
      <c r="C46" s="27"/>
    </row>
    <row r="47" spans="2:3" ht="13.5" customHeight="1" x14ac:dyDescent="0.25">
      <c r="B47" s="27"/>
      <c r="C47" s="27"/>
    </row>
    <row r="48" spans="2:3" ht="13.5" customHeight="1" x14ac:dyDescent="0.25">
      <c r="B48" s="27"/>
      <c r="C48" s="27"/>
    </row>
    <row r="49" spans="2:3" ht="13.5" customHeight="1" x14ac:dyDescent="0.25">
      <c r="B49" s="27"/>
      <c r="C49" s="27"/>
    </row>
    <row r="50" spans="2:3" ht="13.5" customHeight="1" x14ac:dyDescent="0.25">
      <c r="B50" s="27"/>
      <c r="C50" s="27"/>
    </row>
    <row r="51" spans="2:3" ht="13.5" customHeight="1" x14ac:dyDescent="0.25">
      <c r="B51" s="27"/>
      <c r="C51" s="27"/>
    </row>
    <row r="52" spans="2:3" ht="13.5" customHeight="1" x14ac:dyDescent="0.25">
      <c r="B52" s="27"/>
      <c r="C52" s="27"/>
    </row>
    <row r="53" spans="2:3" ht="13.5" customHeight="1" x14ac:dyDescent="0.25">
      <c r="B53" s="27"/>
      <c r="C53" s="27"/>
    </row>
    <row r="54" spans="2:3" ht="13.5" customHeight="1" x14ac:dyDescent="0.25">
      <c r="B54" s="27"/>
      <c r="C54" s="27"/>
    </row>
    <row r="55" spans="2:3" ht="13.5" customHeight="1" x14ac:dyDescent="0.25"/>
    <row r="56" spans="2:3" ht="13.5" customHeight="1" x14ac:dyDescent="0.25"/>
    <row r="57" spans="2:3" ht="13.5" customHeight="1" x14ac:dyDescent="0.25"/>
    <row r="58" spans="2:3" ht="13.5" customHeight="1" x14ac:dyDescent="0.25"/>
  </sheetData>
  <hyperlinks>
    <hyperlink ref="B4" location="'Index sheet'!A1" display="Back to index" xr:uid="{00000000-0004-0000-0400-000000000000}"/>
    <hyperlink ref="M10" r:id="rId1" xr:uid="{A350D54C-F5D1-4464-989D-63C3E0C96A26}"/>
  </hyperlinks>
  <pageMargins left="0.7" right="0.7" top="0.75" bottom="0.75" header="0.3" footer="0.3"/>
  <pageSetup paperSize="9" orientation="portrait" r:id="rId2"/>
  <ignoredErrors>
    <ignoredError sqref="B1:M1 B23:M29 B33:M58 C30:M32 B21:L22 B3:M6 C2:M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2"/>
  <sheetViews>
    <sheetView showGridLines="0" topLeftCell="A14" workbookViewId="0">
      <selection activeCell="F26" sqref="F26"/>
    </sheetView>
  </sheetViews>
  <sheetFormatPr defaultColWidth="8.6328125" defaultRowHeight="12" customHeight="1" x14ac:dyDescent="0.25"/>
  <cols>
    <col min="1" max="1" width="3.08984375" style="1" customWidth="1"/>
    <col min="2" max="2" width="16.453125" style="1" customWidth="1"/>
    <col min="3" max="3" width="15" style="1" customWidth="1"/>
    <col min="4" max="4" width="17.90625" style="1" customWidth="1"/>
    <col min="5" max="5" width="33.36328125" style="1" customWidth="1"/>
    <col min="6" max="7" width="15" style="1" customWidth="1"/>
    <col min="8" max="8" width="28.90625" style="1" customWidth="1"/>
    <col min="9" max="9" width="24.6328125" style="1" customWidth="1"/>
    <col min="10" max="10" width="8.6328125" style="1" customWidth="1"/>
    <col min="11" max="16384" width="8.6328125" style="1"/>
  </cols>
  <sheetData>
    <row r="1" spans="1:9" ht="15.75" customHeight="1" x14ac:dyDescent="0.3">
      <c r="B1" s="28" t="s">
        <v>44</v>
      </c>
      <c r="C1" s="28"/>
      <c r="D1" s="28"/>
      <c r="E1" s="28"/>
      <c r="F1" s="28"/>
      <c r="G1" s="28"/>
      <c r="H1" s="28"/>
      <c r="I1" s="28"/>
    </row>
    <row r="2" spans="1:9" ht="15.75" customHeight="1" x14ac:dyDescent="0.3">
      <c r="B2" s="28" t="s">
        <v>45</v>
      </c>
      <c r="C2" s="28"/>
      <c r="D2" s="28"/>
      <c r="E2" s="28"/>
      <c r="F2" s="28"/>
      <c r="G2" s="28"/>
      <c r="H2" s="28"/>
      <c r="I2" s="28"/>
    </row>
    <row r="3" spans="1:9" ht="11.5" x14ac:dyDescent="0.25">
      <c r="B3" s="30"/>
      <c r="C3" s="30"/>
      <c r="D3" s="30"/>
      <c r="E3" s="30"/>
      <c r="F3" s="30"/>
      <c r="G3" s="30"/>
      <c r="H3" s="30"/>
      <c r="I3" s="30"/>
    </row>
    <row r="4" spans="1:9" ht="11.5" x14ac:dyDescent="0.25">
      <c r="B4" s="25" t="s">
        <v>17</v>
      </c>
      <c r="C4" s="25"/>
      <c r="D4" s="10"/>
      <c r="E4" s="26"/>
      <c r="F4" s="25"/>
      <c r="G4" s="25"/>
      <c r="H4" s="25"/>
      <c r="I4" s="25"/>
    </row>
    <row r="5" spans="1:9" ht="11.5" x14ac:dyDescent="0.25">
      <c r="E5" s="26"/>
    </row>
    <row r="6" spans="1:9" ht="36.75" customHeight="1" x14ac:dyDescent="0.25">
      <c r="B6" s="109" t="s">
        <v>564</v>
      </c>
      <c r="C6" s="110" t="s">
        <v>79</v>
      </c>
      <c r="D6" s="110" t="s">
        <v>49</v>
      </c>
      <c r="E6" s="110" t="s">
        <v>557</v>
      </c>
      <c r="F6" s="110" t="s">
        <v>81</v>
      </c>
      <c r="G6" s="110" t="s">
        <v>565</v>
      </c>
      <c r="H6" s="116" t="s">
        <v>566</v>
      </c>
      <c r="I6" s="117" t="s">
        <v>83</v>
      </c>
    </row>
    <row r="7" spans="1:9" ht="90" customHeight="1" x14ac:dyDescent="0.25">
      <c r="A7" s="1">
        <v>1</v>
      </c>
      <c r="B7" s="118" t="s">
        <v>165</v>
      </c>
      <c r="C7" s="118" t="s">
        <v>229</v>
      </c>
      <c r="D7" s="119" t="s">
        <v>230</v>
      </c>
      <c r="E7" s="119" t="s">
        <v>231</v>
      </c>
      <c r="F7" s="118" t="s">
        <v>232</v>
      </c>
      <c r="G7" s="118" t="s">
        <v>233</v>
      </c>
      <c r="H7" s="120" t="s">
        <v>234</v>
      </c>
      <c r="I7" s="24" t="s">
        <v>235</v>
      </c>
    </row>
    <row r="8" spans="1:9" ht="25.25" customHeight="1" x14ac:dyDescent="0.25">
      <c r="A8" s="1">
        <v>2</v>
      </c>
      <c r="B8" s="118" t="s">
        <v>165</v>
      </c>
      <c r="C8" s="119" t="s">
        <v>236</v>
      </c>
      <c r="D8" s="119" t="s">
        <v>470</v>
      </c>
      <c r="E8" s="119" t="s">
        <v>471</v>
      </c>
      <c r="F8" s="118" t="s">
        <v>232</v>
      </c>
      <c r="G8" s="118" t="s">
        <v>77</v>
      </c>
      <c r="H8" s="120" t="s">
        <v>237</v>
      </c>
      <c r="I8" s="24" t="s">
        <v>238</v>
      </c>
    </row>
    <row r="9" spans="1:9" ht="38.4" customHeight="1" x14ac:dyDescent="0.25">
      <c r="A9" s="1">
        <v>3</v>
      </c>
      <c r="B9" s="118" t="s">
        <v>165</v>
      </c>
      <c r="C9" s="118" t="s">
        <v>239</v>
      </c>
      <c r="D9" s="119" t="s">
        <v>240</v>
      </c>
      <c r="E9" s="119" t="s">
        <v>241</v>
      </c>
      <c r="F9" s="118" t="s">
        <v>232</v>
      </c>
      <c r="G9" s="118" t="s">
        <v>242</v>
      </c>
      <c r="H9" s="120" t="s">
        <v>243</v>
      </c>
      <c r="I9" s="24" t="s">
        <v>244</v>
      </c>
    </row>
    <row r="10" spans="1:9" ht="62.4" customHeight="1" x14ac:dyDescent="0.25">
      <c r="A10" s="1">
        <v>4</v>
      </c>
      <c r="B10" s="118" t="s">
        <v>245</v>
      </c>
      <c r="C10" s="118" t="s">
        <v>246</v>
      </c>
      <c r="D10" s="119" t="s">
        <v>247</v>
      </c>
      <c r="E10" s="119" t="s">
        <v>248</v>
      </c>
      <c r="F10" s="118" t="s">
        <v>85</v>
      </c>
      <c r="G10" s="118" t="s">
        <v>233</v>
      </c>
      <c r="H10" s="120" t="s">
        <v>249</v>
      </c>
      <c r="I10" s="24" t="s">
        <v>235</v>
      </c>
    </row>
    <row r="11" spans="1:9" ht="57.65" customHeight="1" x14ac:dyDescent="0.25">
      <c r="A11" s="1">
        <v>5</v>
      </c>
      <c r="B11" s="118" t="s">
        <v>165</v>
      </c>
      <c r="C11" s="118" t="s">
        <v>229</v>
      </c>
      <c r="D11" s="119" t="s">
        <v>250</v>
      </c>
      <c r="E11" s="119" t="s">
        <v>472</v>
      </c>
      <c r="F11" s="118" t="s">
        <v>232</v>
      </c>
      <c r="G11" s="118" t="s">
        <v>251</v>
      </c>
      <c r="H11" s="120" t="s">
        <v>473</v>
      </c>
      <c r="I11" s="24" t="s">
        <v>252</v>
      </c>
    </row>
    <row r="12" spans="1:9" ht="52.25" customHeight="1" x14ac:dyDescent="0.25">
      <c r="A12" s="1">
        <v>6</v>
      </c>
      <c r="B12" s="118" t="s">
        <v>59</v>
      </c>
      <c r="C12" s="118" t="s">
        <v>229</v>
      </c>
      <c r="D12" s="119" t="s">
        <v>474</v>
      </c>
      <c r="E12" s="121" t="s">
        <v>475</v>
      </c>
      <c r="F12" s="118" t="s">
        <v>232</v>
      </c>
      <c r="G12" s="118" t="s">
        <v>233</v>
      </c>
      <c r="H12" s="120" t="s">
        <v>253</v>
      </c>
      <c r="I12" s="24" t="s">
        <v>254</v>
      </c>
    </row>
    <row r="13" spans="1:9" s="33" customFormat="1" ht="69" x14ac:dyDescent="0.25">
      <c r="A13" s="33">
        <v>7</v>
      </c>
      <c r="B13" s="118" t="s">
        <v>165</v>
      </c>
      <c r="C13" s="118" t="s">
        <v>229</v>
      </c>
      <c r="D13" s="119" t="s">
        <v>255</v>
      </c>
      <c r="E13" s="119" t="s">
        <v>476</v>
      </c>
      <c r="F13" s="118" t="s">
        <v>232</v>
      </c>
      <c r="G13" s="118" t="s">
        <v>251</v>
      </c>
      <c r="H13" s="120" t="s">
        <v>256</v>
      </c>
      <c r="I13" s="24" t="s">
        <v>235</v>
      </c>
    </row>
    <row r="14" spans="1:9" ht="76.25" customHeight="1" x14ac:dyDescent="0.25">
      <c r="A14" s="1">
        <v>8</v>
      </c>
      <c r="B14" s="118" t="s">
        <v>165</v>
      </c>
      <c r="C14" s="118" t="s">
        <v>257</v>
      </c>
      <c r="D14" s="119" t="s">
        <v>258</v>
      </c>
      <c r="E14" s="121" t="s">
        <v>259</v>
      </c>
      <c r="F14" s="118" t="s">
        <v>232</v>
      </c>
      <c r="G14" s="118" t="s">
        <v>251</v>
      </c>
      <c r="H14" s="120" t="s">
        <v>477</v>
      </c>
      <c r="I14" s="24" t="s">
        <v>235</v>
      </c>
    </row>
    <row r="15" spans="1:9" ht="76.25" customHeight="1" x14ac:dyDescent="0.25">
      <c r="A15" s="1">
        <v>9</v>
      </c>
      <c r="B15" s="118" t="s">
        <v>165</v>
      </c>
      <c r="C15" s="118" t="s">
        <v>260</v>
      </c>
      <c r="D15" s="119" t="s">
        <v>261</v>
      </c>
      <c r="E15" s="121" t="s">
        <v>478</v>
      </c>
      <c r="F15" s="118" t="s">
        <v>232</v>
      </c>
      <c r="G15" s="118" t="s">
        <v>262</v>
      </c>
      <c r="H15" s="120" t="s">
        <v>479</v>
      </c>
      <c r="I15" s="24" t="s">
        <v>263</v>
      </c>
    </row>
    <row r="16" spans="1:9" ht="76.25" customHeight="1" x14ac:dyDescent="0.25">
      <c r="A16" s="1">
        <v>10</v>
      </c>
      <c r="B16" s="118" t="s">
        <v>165</v>
      </c>
      <c r="C16" s="118" t="s">
        <v>257</v>
      </c>
      <c r="D16" s="119" t="s">
        <v>264</v>
      </c>
      <c r="E16" s="121" t="s">
        <v>480</v>
      </c>
      <c r="F16" s="118" t="s">
        <v>232</v>
      </c>
      <c r="G16" s="118" t="s">
        <v>262</v>
      </c>
      <c r="H16" s="120" t="s">
        <v>265</v>
      </c>
      <c r="I16" s="24" t="s">
        <v>238</v>
      </c>
    </row>
    <row r="17" spans="1:9" s="33" customFormat="1" ht="80.5" x14ac:dyDescent="0.25">
      <c r="A17" s="33">
        <v>11</v>
      </c>
      <c r="B17" s="118" t="s">
        <v>145</v>
      </c>
      <c r="C17" s="118" t="s">
        <v>266</v>
      </c>
      <c r="D17" s="119" t="s">
        <v>481</v>
      </c>
      <c r="E17" s="119" t="s">
        <v>267</v>
      </c>
      <c r="F17" s="118" t="s">
        <v>268</v>
      </c>
      <c r="G17" s="118" t="s">
        <v>269</v>
      </c>
      <c r="H17" s="120" t="s">
        <v>270</v>
      </c>
      <c r="I17" s="24" t="s">
        <v>238</v>
      </c>
    </row>
    <row r="18" spans="1:9" ht="57.5" x14ac:dyDescent="0.25">
      <c r="A18" s="1">
        <v>12</v>
      </c>
      <c r="B18" s="118" t="s">
        <v>165</v>
      </c>
      <c r="C18" s="118" t="s">
        <v>271</v>
      </c>
      <c r="D18" s="119" t="s">
        <v>482</v>
      </c>
      <c r="E18" s="119" t="s">
        <v>272</v>
      </c>
      <c r="F18" s="118" t="s">
        <v>232</v>
      </c>
      <c r="G18" s="118" t="s">
        <v>262</v>
      </c>
      <c r="H18" s="120" t="s">
        <v>273</v>
      </c>
      <c r="I18" s="24" t="s">
        <v>274</v>
      </c>
    </row>
    <row r="19" spans="1:9" ht="11.5" x14ac:dyDescent="0.25">
      <c r="E19" s="26"/>
    </row>
    <row r="20" spans="1:9" ht="11.5" x14ac:dyDescent="0.25">
      <c r="E20" s="26"/>
    </row>
    <row r="21" spans="1:9" ht="11.5" x14ac:dyDescent="0.25">
      <c r="B21" s="20" t="s">
        <v>21</v>
      </c>
      <c r="E21" s="26"/>
    </row>
    <row r="22" spans="1:9" ht="12.75" customHeight="1" x14ac:dyDescent="0.25">
      <c r="B22" s="1" t="s">
        <v>46</v>
      </c>
      <c r="E22" s="26"/>
    </row>
    <row r="23" spans="1:9" ht="12.75" customHeight="1" x14ac:dyDescent="0.25">
      <c r="B23" s="1" t="s">
        <v>23</v>
      </c>
      <c r="E23" s="26"/>
    </row>
    <row r="24" spans="1:9" ht="12.75" customHeight="1" x14ac:dyDescent="0.25">
      <c r="B24" s="1" t="s">
        <v>24</v>
      </c>
      <c r="E24" s="26"/>
    </row>
    <row r="25" spans="1:9" ht="12.75" customHeight="1" x14ac:dyDescent="0.25">
      <c r="B25" s="1" t="s">
        <v>25</v>
      </c>
      <c r="E25" s="26"/>
    </row>
    <row r="26" spans="1:9" ht="12.75" customHeight="1" x14ac:dyDescent="0.25">
      <c r="B26" s="1" t="s">
        <v>39</v>
      </c>
      <c r="E26" s="26"/>
    </row>
    <row r="27" spans="1:9" ht="12.75" customHeight="1" x14ac:dyDescent="0.25">
      <c r="B27" s="1" t="s">
        <v>35</v>
      </c>
    </row>
    <row r="28" spans="1:9" ht="11.5" x14ac:dyDescent="0.25">
      <c r="E28" s="26"/>
    </row>
    <row r="29" spans="1:9" ht="11.5" x14ac:dyDescent="0.25">
      <c r="B29" s="2" t="s">
        <v>28</v>
      </c>
      <c r="C29" s="2"/>
    </row>
    <row r="30" spans="1:9" ht="13.5" customHeight="1" x14ac:dyDescent="0.25">
      <c r="B30" s="1" t="s">
        <v>29</v>
      </c>
    </row>
    <row r="31" spans="1:9" ht="13.5" customHeight="1" x14ac:dyDescent="0.25">
      <c r="B31" s="1" t="s">
        <v>30</v>
      </c>
    </row>
    <row r="32" spans="1:9" ht="13.5" customHeight="1" x14ac:dyDescent="0.25"/>
  </sheetData>
  <hyperlinks>
    <hyperlink ref="B4" location="'Index sheet'!A1" display="Back to index" xr:uid="{00000000-0004-0000-0500-000000000000}"/>
  </hyperlinks>
  <pageMargins left="0.7" right="0.7" top="0.75" bottom="0.75" header="0.3" footer="0.3"/>
  <pageSetup paperSize="9" orientation="portrait" r:id="rId1"/>
  <ignoredErrors>
    <ignoredError sqref="B1:I1 B3:I6 C2:I2 B21:I3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2"/>
  <sheetViews>
    <sheetView showGridLines="0" topLeftCell="A18" workbookViewId="0">
      <selection activeCell="B27" sqref="B27"/>
    </sheetView>
  </sheetViews>
  <sheetFormatPr defaultColWidth="8.6328125" defaultRowHeight="12" customHeight="1" x14ac:dyDescent="0.25"/>
  <cols>
    <col min="1" max="1" width="3.08984375" style="1" customWidth="1"/>
    <col min="2" max="2" width="16.6328125" style="1" customWidth="1"/>
    <col min="3" max="3" width="21.54296875" style="1" customWidth="1"/>
    <col min="4" max="4" width="9.6328125" style="1" customWidth="1"/>
    <col min="5" max="7" width="13.36328125" style="1" customWidth="1"/>
    <col min="8" max="8" width="15.54296875" style="1" customWidth="1"/>
    <col min="9" max="10" width="13.36328125" style="1" customWidth="1"/>
    <col min="11" max="11" width="24.6328125" style="1" customWidth="1"/>
    <col min="12" max="12" width="20.453125" style="1" customWidth="1"/>
    <col min="13" max="13" width="8.6328125" style="1" customWidth="1"/>
    <col min="14" max="16384" width="8.6328125" style="1"/>
  </cols>
  <sheetData>
    <row r="1" spans="2:12" ht="15.75" customHeight="1" x14ac:dyDescent="0.3">
      <c r="B1" s="28" t="s">
        <v>47</v>
      </c>
      <c r="C1" s="28"/>
      <c r="D1" s="28"/>
      <c r="E1" s="28"/>
      <c r="F1" s="28"/>
      <c r="G1" s="28"/>
      <c r="H1" s="28"/>
      <c r="I1" s="28"/>
      <c r="J1" s="28"/>
      <c r="K1" s="28"/>
      <c r="L1" s="28"/>
    </row>
    <row r="2" spans="2:12" ht="15.75" customHeight="1" x14ac:dyDescent="0.3">
      <c r="B2" s="28" t="s">
        <v>48</v>
      </c>
      <c r="C2" s="28"/>
      <c r="D2" s="28"/>
      <c r="E2" s="28"/>
      <c r="F2" s="28"/>
      <c r="G2" s="28"/>
      <c r="H2" s="28"/>
      <c r="I2" s="28"/>
      <c r="J2" s="28"/>
      <c r="K2" s="28"/>
      <c r="L2" s="28"/>
    </row>
    <row r="3" spans="2:12" ht="11.5" x14ac:dyDescent="0.25">
      <c r="B3" s="30"/>
      <c r="C3" s="30"/>
      <c r="D3" s="30"/>
      <c r="E3" s="30"/>
      <c r="F3" s="30"/>
      <c r="G3" s="30"/>
      <c r="H3" s="30"/>
      <c r="I3" s="30"/>
      <c r="J3" s="30"/>
      <c r="K3" s="30"/>
      <c r="L3" s="30"/>
    </row>
    <row r="4" spans="2:12" ht="11.5" x14ac:dyDescent="0.25">
      <c r="B4" s="25" t="s">
        <v>17</v>
      </c>
      <c r="C4" s="26"/>
      <c r="D4" s="25"/>
      <c r="E4" s="10"/>
      <c r="F4" s="25"/>
      <c r="G4" s="25"/>
      <c r="H4" s="25"/>
      <c r="I4" s="25"/>
      <c r="J4" s="25"/>
      <c r="K4" s="25"/>
      <c r="L4" s="25"/>
    </row>
    <row r="6" spans="2:12" ht="47.15" customHeight="1" x14ac:dyDescent="0.25">
      <c r="B6" s="110" t="s">
        <v>49</v>
      </c>
      <c r="C6" s="110" t="s">
        <v>557</v>
      </c>
      <c r="D6" s="110" t="s">
        <v>559</v>
      </c>
      <c r="E6" s="110" t="s">
        <v>560</v>
      </c>
      <c r="F6" s="110" t="s">
        <v>561</v>
      </c>
      <c r="G6" s="110" t="s">
        <v>81</v>
      </c>
      <c r="H6" s="110" t="s">
        <v>78</v>
      </c>
      <c r="I6" s="110" t="s">
        <v>79</v>
      </c>
      <c r="J6" s="110" t="s">
        <v>562</v>
      </c>
      <c r="K6" s="110" t="s">
        <v>563</v>
      </c>
      <c r="L6" s="54" t="s">
        <v>83</v>
      </c>
    </row>
    <row r="7" spans="2:12" s="33" customFormat="1" ht="82.25" customHeight="1" x14ac:dyDescent="0.25">
      <c r="B7" s="119" t="s">
        <v>171</v>
      </c>
      <c r="C7" s="119" t="s">
        <v>275</v>
      </c>
      <c r="D7" s="119" t="s">
        <v>276</v>
      </c>
      <c r="E7" s="119" t="s">
        <v>277</v>
      </c>
      <c r="F7" s="122" t="s">
        <v>175</v>
      </c>
      <c r="G7" s="119" t="s">
        <v>268</v>
      </c>
      <c r="H7" s="119" t="s">
        <v>278</v>
      </c>
      <c r="I7" s="98" t="s">
        <v>583</v>
      </c>
      <c r="J7" s="119" t="s">
        <v>459</v>
      </c>
      <c r="K7" s="120" t="s">
        <v>484</v>
      </c>
      <c r="L7" s="121" t="s">
        <v>179</v>
      </c>
    </row>
    <row r="8" spans="2:12" s="33" customFormat="1" ht="81" customHeight="1" x14ac:dyDescent="0.25">
      <c r="B8" s="119" t="s">
        <v>197</v>
      </c>
      <c r="C8" s="119" t="s">
        <v>279</v>
      </c>
      <c r="D8" s="119" t="s">
        <v>280</v>
      </c>
      <c r="E8" s="119" t="s">
        <v>281</v>
      </c>
      <c r="F8" s="122" t="s">
        <v>175</v>
      </c>
      <c r="G8" s="119" t="s">
        <v>268</v>
      </c>
      <c r="H8" s="119" t="s">
        <v>483</v>
      </c>
      <c r="I8" s="98" t="s">
        <v>583</v>
      </c>
      <c r="J8" s="119" t="s">
        <v>459</v>
      </c>
      <c r="K8" s="120" t="s">
        <v>282</v>
      </c>
      <c r="L8" s="121" t="s">
        <v>201</v>
      </c>
    </row>
    <row r="9" spans="2:12" s="33" customFormat="1" ht="59.4" customHeight="1" x14ac:dyDescent="0.25">
      <c r="B9" s="119" t="s">
        <v>180</v>
      </c>
      <c r="C9" s="119" t="s">
        <v>283</v>
      </c>
      <c r="D9" s="119" t="s">
        <v>284</v>
      </c>
      <c r="E9" s="119" t="s">
        <v>285</v>
      </c>
      <c r="F9" s="122" t="s">
        <v>175</v>
      </c>
      <c r="G9" s="119" t="s">
        <v>268</v>
      </c>
      <c r="H9" s="119" t="s">
        <v>286</v>
      </c>
      <c r="I9" s="98" t="s">
        <v>583</v>
      </c>
      <c r="J9" s="119" t="s">
        <v>195</v>
      </c>
      <c r="K9" s="120" t="s">
        <v>287</v>
      </c>
      <c r="L9" s="121" t="s">
        <v>288</v>
      </c>
    </row>
    <row r="10" spans="2:12" s="33" customFormat="1" ht="72.650000000000006" customHeight="1" x14ac:dyDescent="0.25">
      <c r="B10" s="119" t="s">
        <v>289</v>
      </c>
      <c r="C10" s="119" t="s">
        <v>290</v>
      </c>
      <c r="D10" s="119" t="s">
        <v>291</v>
      </c>
      <c r="E10" s="119" t="s">
        <v>292</v>
      </c>
      <c r="F10" s="119" t="s">
        <v>289</v>
      </c>
      <c r="G10" s="119" t="s">
        <v>293</v>
      </c>
      <c r="H10" s="119" t="s">
        <v>294</v>
      </c>
      <c r="I10" s="98" t="s">
        <v>583</v>
      </c>
      <c r="J10" s="119" t="s">
        <v>459</v>
      </c>
      <c r="K10" s="120" t="s">
        <v>295</v>
      </c>
      <c r="L10" s="121" t="s">
        <v>228</v>
      </c>
    </row>
    <row r="11" spans="2:12" s="33" customFormat="1" ht="54.65" customHeight="1" x14ac:dyDescent="0.25">
      <c r="B11" s="119" t="s">
        <v>189</v>
      </c>
      <c r="C11" s="119" t="s">
        <v>296</v>
      </c>
      <c r="D11" s="119" t="s">
        <v>192</v>
      </c>
      <c r="E11" s="119" t="s">
        <v>187</v>
      </c>
      <c r="F11" s="119" t="s">
        <v>546</v>
      </c>
      <c r="G11" s="119" t="s">
        <v>293</v>
      </c>
      <c r="H11" s="119" t="s">
        <v>297</v>
      </c>
      <c r="I11" s="98" t="s">
        <v>583</v>
      </c>
      <c r="J11" s="119" t="s">
        <v>367</v>
      </c>
      <c r="K11" s="120" t="s">
        <v>298</v>
      </c>
      <c r="L11" s="121" t="s">
        <v>196</v>
      </c>
    </row>
    <row r="12" spans="2:12" s="33" customFormat="1" ht="50.4" customHeight="1" x14ac:dyDescent="0.25">
      <c r="B12" s="119" t="s">
        <v>202</v>
      </c>
      <c r="C12" s="119" t="s">
        <v>485</v>
      </c>
      <c r="D12" s="119" t="s">
        <v>299</v>
      </c>
      <c r="E12" s="119" t="s">
        <v>174</v>
      </c>
      <c r="F12" s="119" t="s">
        <v>175</v>
      </c>
      <c r="G12" s="119" t="s">
        <v>268</v>
      </c>
      <c r="H12" s="119" t="s">
        <v>300</v>
      </c>
      <c r="I12" s="98" t="s">
        <v>583</v>
      </c>
      <c r="J12" s="119" t="s">
        <v>459</v>
      </c>
      <c r="K12" s="120" t="s">
        <v>486</v>
      </c>
      <c r="L12" s="121" t="s">
        <v>301</v>
      </c>
    </row>
    <row r="13" spans="2:12" s="33" customFormat="1" ht="34.5" x14ac:dyDescent="0.25">
      <c r="B13" s="119" t="s">
        <v>302</v>
      </c>
      <c r="C13" s="119" t="s">
        <v>487</v>
      </c>
      <c r="D13" s="119" t="s">
        <v>284</v>
      </c>
      <c r="E13" s="119" t="s">
        <v>174</v>
      </c>
      <c r="F13" s="119" t="s">
        <v>303</v>
      </c>
      <c r="G13" s="119" t="s">
        <v>268</v>
      </c>
      <c r="H13" s="119" t="s">
        <v>145</v>
      </c>
      <c r="I13" s="98" t="s">
        <v>583</v>
      </c>
      <c r="J13" s="119" t="s">
        <v>195</v>
      </c>
      <c r="K13" s="120" t="s">
        <v>304</v>
      </c>
      <c r="L13" s="121" t="s">
        <v>206</v>
      </c>
    </row>
    <row r="14" spans="2:12" s="33" customFormat="1" ht="57.5" x14ac:dyDescent="0.25">
      <c r="B14" s="119" t="s">
        <v>305</v>
      </c>
      <c r="C14" s="119" t="s">
        <v>488</v>
      </c>
      <c r="D14" s="119" t="s">
        <v>306</v>
      </c>
      <c r="E14" s="119" t="s">
        <v>187</v>
      </c>
      <c r="F14" s="119" t="s">
        <v>175</v>
      </c>
      <c r="G14" s="119" t="s">
        <v>85</v>
      </c>
      <c r="H14" s="119" t="s">
        <v>307</v>
      </c>
      <c r="I14" s="98" t="s">
        <v>583</v>
      </c>
      <c r="J14" s="119" t="s">
        <v>459</v>
      </c>
      <c r="K14" s="120" t="s">
        <v>308</v>
      </c>
      <c r="L14" s="121" t="s">
        <v>309</v>
      </c>
    </row>
    <row r="15" spans="2:12" s="33" customFormat="1" ht="113" customHeight="1" x14ac:dyDescent="0.25">
      <c r="B15" s="119" t="s">
        <v>310</v>
      </c>
      <c r="C15" s="119" t="s">
        <v>489</v>
      </c>
      <c r="D15" s="119" t="s">
        <v>311</v>
      </c>
      <c r="E15" s="119" t="s">
        <v>312</v>
      </c>
      <c r="F15" s="119" t="s">
        <v>313</v>
      </c>
      <c r="G15" s="119" t="s">
        <v>85</v>
      </c>
      <c r="H15" s="119" t="s">
        <v>314</v>
      </c>
      <c r="I15" s="98" t="s">
        <v>583</v>
      </c>
      <c r="J15" s="119" t="s">
        <v>459</v>
      </c>
      <c r="K15" s="120" t="s">
        <v>490</v>
      </c>
      <c r="L15" s="121" t="s">
        <v>315</v>
      </c>
    </row>
    <row r="16" spans="2:12" s="33" customFormat="1" ht="77" customHeight="1" x14ac:dyDescent="0.25">
      <c r="B16" s="119" t="s">
        <v>316</v>
      </c>
      <c r="C16" s="119" t="s">
        <v>491</v>
      </c>
      <c r="D16" s="119" t="s">
        <v>291</v>
      </c>
      <c r="E16" s="119" t="s">
        <v>317</v>
      </c>
      <c r="F16" s="119" t="s">
        <v>318</v>
      </c>
      <c r="G16" s="119" t="s">
        <v>268</v>
      </c>
      <c r="H16" s="119" t="s">
        <v>145</v>
      </c>
      <c r="I16" s="98" t="s">
        <v>583</v>
      </c>
      <c r="J16" s="119" t="s">
        <v>459</v>
      </c>
      <c r="K16" s="120" t="s">
        <v>319</v>
      </c>
      <c r="L16" s="121" t="s">
        <v>320</v>
      </c>
    </row>
    <row r="17" spans="1:12" s="33" customFormat="1" ht="101" customHeight="1" x14ac:dyDescent="0.25">
      <c r="A17" s="33">
        <v>13</v>
      </c>
      <c r="B17" s="119" t="s">
        <v>321</v>
      </c>
      <c r="C17" s="119" t="s">
        <v>322</v>
      </c>
      <c r="D17" s="119" t="s">
        <v>323</v>
      </c>
      <c r="E17" s="119" t="s">
        <v>324</v>
      </c>
      <c r="F17" s="119" t="s">
        <v>289</v>
      </c>
      <c r="G17" s="119" t="s">
        <v>85</v>
      </c>
      <c r="H17" s="119" t="s">
        <v>325</v>
      </c>
      <c r="I17" s="98" t="s">
        <v>583</v>
      </c>
      <c r="J17" s="119" t="s">
        <v>459</v>
      </c>
      <c r="K17" s="120" t="s">
        <v>326</v>
      </c>
      <c r="L17" s="121" t="s">
        <v>327</v>
      </c>
    </row>
    <row r="18" spans="1:12" s="33" customFormat="1" ht="87.65" customHeight="1" x14ac:dyDescent="0.25">
      <c r="B18" s="119" t="s">
        <v>328</v>
      </c>
      <c r="C18" s="119" t="s">
        <v>329</v>
      </c>
      <c r="D18" s="119" t="s">
        <v>330</v>
      </c>
      <c r="E18" s="119" t="s">
        <v>331</v>
      </c>
      <c r="F18" s="119" t="s">
        <v>332</v>
      </c>
      <c r="G18" s="119" t="s">
        <v>85</v>
      </c>
      <c r="H18" s="119" t="s">
        <v>333</v>
      </c>
      <c r="I18" s="98" t="s">
        <v>583</v>
      </c>
      <c r="J18" s="119" t="s">
        <v>195</v>
      </c>
      <c r="K18" s="120" t="s">
        <v>334</v>
      </c>
      <c r="L18" s="121" t="s">
        <v>335</v>
      </c>
    </row>
    <row r="19" spans="1:12" s="33" customFormat="1" ht="58.25" customHeight="1" x14ac:dyDescent="0.25">
      <c r="B19" s="119" t="s">
        <v>216</v>
      </c>
      <c r="C19" s="119" t="s">
        <v>336</v>
      </c>
      <c r="D19" s="119" t="s">
        <v>337</v>
      </c>
      <c r="E19" s="119" t="s">
        <v>338</v>
      </c>
      <c r="F19" s="119" t="s">
        <v>219</v>
      </c>
      <c r="G19" s="119" t="s">
        <v>339</v>
      </c>
      <c r="H19" s="119" t="s">
        <v>220</v>
      </c>
      <c r="I19" s="98" t="s">
        <v>583</v>
      </c>
      <c r="J19" s="119" t="s">
        <v>459</v>
      </c>
      <c r="K19" s="120" t="s">
        <v>340</v>
      </c>
      <c r="L19" s="121" t="s">
        <v>208</v>
      </c>
    </row>
    <row r="20" spans="1:12" s="33" customFormat="1" ht="80" customHeight="1" x14ac:dyDescent="0.25">
      <c r="B20" s="119" t="s">
        <v>223</v>
      </c>
      <c r="C20" s="119" t="s">
        <v>572</v>
      </c>
      <c r="D20" s="119" t="s">
        <v>547</v>
      </c>
      <c r="E20" s="119" t="s">
        <v>548</v>
      </c>
      <c r="F20" s="119" t="s">
        <v>549</v>
      </c>
      <c r="G20" s="119" t="s">
        <v>339</v>
      </c>
      <c r="H20" s="119" t="s">
        <v>550</v>
      </c>
      <c r="I20" s="98" t="s">
        <v>583</v>
      </c>
      <c r="J20" s="119" t="s">
        <v>367</v>
      </c>
      <c r="K20" s="120" t="s">
        <v>551</v>
      </c>
      <c r="L20" s="121" t="s">
        <v>208</v>
      </c>
    </row>
    <row r="21" spans="1:12" s="33" customFormat="1" ht="113" customHeight="1" x14ac:dyDescent="0.25">
      <c r="B21" s="119" t="s">
        <v>341</v>
      </c>
      <c r="C21" s="119" t="s">
        <v>342</v>
      </c>
      <c r="D21" s="119" t="s">
        <v>343</v>
      </c>
      <c r="E21" s="119" t="s">
        <v>571</v>
      </c>
      <c r="F21" s="119" t="s">
        <v>545</v>
      </c>
      <c r="G21" s="119" t="s">
        <v>339</v>
      </c>
      <c r="H21" s="119" t="s">
        <v>504</v>
      </c>
      <c r="I21" s="98" t="s">
        <v>583</v>
      </c>
      <c r="J21" s="119" t="s">
        <v>459</v>
      </c>
      <c r="K21" s="120" t="s">
        <v>344</v>
      </c>
      <c r="L21" s="121" t="s">
        <v>345</v>
      </c>
    </row>
    <row r="22" spans="1:12" s="33" customFormat="1" ht="93.65" customHeight="1" x14ac:dyDescent="0.25">
      <c r="B22" s="119" t="s">
        <v>346</v>
      </c>
      <c r="C22" s="119" t="s">
        <v>347</v>
      </c>
      <c r="D22" s="119" t="s">
        <v>348</v>
      </c>
      <c r="E22" s="119" t="s">
        <v>349</v>
      </c>
      <c r="F22" s="119" t="s">
        <v>350</v>
      </c>
      <c r="G22" s="119" t="s">
        <v>85</v>
      </c>
      <c r="H22" s="123" t="s">
        <v>503</v>
      </c>
      <c r="I22" s="98" t="s">
        <v>583</v>
      </c>
      <c r="J22" s="119" t="s">
        <v>459</v>
      </c>
      <c r="K22" s="120" t="s">
        <v>351</v>
      </c>
      <c r="L22" s="121" t="s">
        <v>352</v>
      </c>
    </row>
    <row r="23" spans="1:12" s="33" customFormat="1" ht="61.25" customHeight="1" x14ac:dyDescent="0.25">
      <c r="B23" s="119" t="s">
        <v>353</v>
      </c>
      <c r="C23" s="119" t="s">
        <v>354</v>
      </c>
      <c r="D23" s="119" t="s">
        <v>355</v>
      </c>
      <c r="E23" s="119" t="s">
        <v>570</v>
      </c>
      <c r="F23" s="119" t="s">
        <v>356</v>
      </c>
      <c r="G23" s="119" t="s">
        <v>232</v>
      </c>
      <c r="H23" s="123" t="s">
        <v>165</v>
      </c>
      <c r="I23" s="98" t="s">
        <v>583</v>
      </c>
      <c r="J23" s="119" t="s">
        <v>195</v>
      </c>
      <c r="K23" s="120" t="s">
        <v>357</v>
      </c>
      <c r="L23" s="121" t="s">
        <v>358</v>
      </c>
    </row>
    <row r="24" spans="1:12" s="33" customFormat="1" ht="11.5" x14ac:dyDescent="0.25">
      <c r="B24" s="31"/>
      <c r="C24" s="31"/>
      <c r="D24" s="31"/>
      <c r="E24" s="31"/>
      <c r="F24" s="31"/>
      <c r="G24" s="31"/>
      <c r="H24" s="31"/>
      <c r="I24" s="31"/>
      <c r="J24" s="31"/>
      <c r="K24" s="32"/>
      <c r="L24" s="35"/>
    </row>
    <row r="25" spans="1:12" s="33" customFormat="1" ht="11.5" x14ac:dyDescent="0.25">
      <c r="B25" s="31"/>
      <c r="C25" s="31"/>
      <c r="D25" s="31"/>
      <c r="E25" s="31"/>
      <c r="F25" s="31"/>
      <c r="G25" s="31"/>
      <c r="H25" s="31"/>
      <c r="I25" s="31"/>
      <c r="J25" s="31"/>
      <c r="K25" s="32"/>
      <c r="L25" s="35"/>
    </row>
    <row r="26" spans="1:12" s="33" customFormat="1" ht="11.5" x14ac:dyDescent="0.25">
      <c r="B26" s="31"/>
      <c r="C26" s="31"/>
      <c r="D26" s="31"/>
      <c r="E26" s="31"/>
      <c r="F26" s="31"/>
      <c r="G26" s="31"/>
      <c r="H26" s="31"/>
      <c r="I26" s="31"/>
      <c r="J26" s="31"/>
      <c r="K26" s="32"/>
      <c r="L26" s="35"/>
    </row>
    <row r="27" spans="1:12" s="33" customFormat="1" ht="11.5" x14ac:dyDescent="0.25">
      <c r="B27" s="31"/>
      <c r="C27" s="31"/>
      <c r="D27" s="31"/>
      <c r="E27" s="31"/>
      <c r="F27" s="31"/>
      <c r="G27" s="31"/>
      <c r="H27" s="31"/>
      <c r="I27" s="31"/>
      <c r="J27" s="31"/>
      <c r="K27" s="32"/>
      <c r="L27" s="35"/>
    </row>
    <row r="28" spans="1:12" s="33" customFormat="1" ht="11.5" x14ac:dyDescent="0.25">
      <c r="B28" s="31"/>
      <c r="C28" s="31"/>
      <c r="D28" s="31"/>
      <c r="E28" s="31"/>
      <c r="F28" s="31"/>
      <c r="G28" s="31"/>
      <c r="H28" s="31"/>
      <c r="I28" s="31"/>
      <c r="J28" s="31"/>
      <c r="K28" s="32"/>
      <c r="L28" s="35"/>
    </row>
    <row r="29" spans="1:12" s="33" customFormat="1" ht="11.5" x14ac:dyDescent="0.25">
      <c r="B29" s="31"/>
      <c r="C29" s="31"/>
      <c r="D29" s="31"/>
      <c r="E29" s="31"/>
      <c r="F29" s="31"/>
      <c r="G29" s="31"/>
      <c r="H29" s="31"/>
      <c r="I29" s="31"/>
      <c r="J29" s="31"/>
      <c r="K29" s="32"/>
      <c r="L29" s="35"/>
    </row>
    <row r="30" spans="1:12" s="33" customFormat="1" ht="11.5" x14ac:dyDescent="0.25">
      <c r="B30" s="31"/>
      <c r="C30" s="31"/>
      <c r="D30" s="31"/>
      <c r="E30" s="31"/>
      <c r="F30" s="31"/>
      <c r="G30" s="31"/>
      <c r="H30" s="31"/>
      <c r="I30" s="31"/>
      <c r="J30" s="31"/>
      <c r="K30" s="32"/>
      <c r="L30" s="35"/>
    </row>
    <row r="32" spans="1:12" ht="11.5" x14ac:dyDescent="0.25">
      <c r="B32" s="20" t="s">
        <v>21</v>
      </c>
    </row>
    <row r="33" spans="2:3" ht="12.75" customHeight="1" x14ac:dyDescent="0.25">
      <c r="B33" s="1" t="s">
        <v>50</v>
      </c>
    </row>
    <row r="34" spans="2:3" ht="12.75" customHeight="1" x14ac:dyDescent="0.25">
      <c r="B34" s="1" t="s">
        <v>34</v>
      </c>
    </row>
    <row r="35" spans="2:3" ht="12.75" customHeight="1" x14ac:dyDescent="0.25">
      <c r="B35" s="1" t="s">
        <v>24</v>
      </c>
    </row>
    <row r="36" spans="2:3" ht="12.75" customHeight="1" x14ac:dyDescent="0.25">
      <c r="B36" s="1" t="s">
        <v>25</v>
      </c>
    </row>
    <row r="37" spans="2:3" ht="12.75" customHeight="1" x14ac:dyDescent="0.25">
      <c r="B37" s="1" t="s">
        <v>51</v>
      </c>
    </row>
    <row r="38" spans="2:3" ht="12.75" customHeight="1" x14ac:dyDescent="0.25">
      <c r="B38" s="1" t="s">
        <v>35</v>
      </c>
    </row>
    <row r="39" spans="2:3" ht="13.5" customHeight="1" x14ac:dyDescent="0.25">
      <c r="B39" s="36"/>
      <c r="C39" s="37"/>
    </row>
    <row r="40" spans="2:3" ht="11.5" x14ac:dyDescent="0.25">
      <c r="B40" s="2" t="s">
        <v>28</v>
      </c>
      <c r="C40" s="2"/>
    </row>
    <row r="41" spans="2:3" ht="13.5" customHeight="1" x14ac:dyDescent="0.25">
      <c r="B41" s="1" t="s">
        <v>43</v>
      </c>
    </row>
    <row r="42" spans="2:3" ht="13.5" customHeight="1" x14ac:dyDescent="0.25">
      <c r="B42" s="1" t="s">
        <v>30</v>
      </c>
    </row>
  </sheetData>
  <hyperlinks>
    <hyperlink ref="B4" location="'Index sheet'!A1" display="Back to index" xr:uid="{00000000-0004-0000-0600-000000000000}"/>
  </hyperlinks>
  <pageMargins left="0.7" right="0.7" top="0.75" bottom="0.75" header="0.3" footer="0.3"/>
  <ignoredErrors>
    <ignoredError sqref="B1:L1 B3:L6 C2:L2 B31:L4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26"/>
  <sheetViews>
    <sheetView showGridLines="0" workbookViewId="0">
      <selection activeCell="B9" sqref="B9"/>
    </sheetView>
  </sheetViews>
  <sheetFormatPr defaultColWidth="8.6328125" defaultRowHeight="12" customHeight="1" x14ac:dyDescent="0.25"/>
  <cols>
    <col min="1" max="1" width="3.08984375" style="1" customWidth="1"/>
    <col min="2" max="2" width="21.36328125" style="1" customWidth="1"/>
    <col min="3" max="3" width="32.36328125" style="1" customWidth="1"/>
    <col min="4" max="9" width="13.453125" style="1" customWidth="1"/>
    <col min="10" max="10" width="21" style="1" customWidth="1"/>
    <col min="11" max="11" width="20.453125" style="1" customWidth="1"/>
    <col min="12" max="12" width="8.6328125" style="1" customWidth="1"/>
    <col min="13" max="16384" width="8.6328125" style="1"/>
  </cols>
  <sheetData>
    <row r="1" spans="2:11" s="7" customFormat="1" ht="15.75" customHeight="1" x14ac:dyDescent="0.35">
      <c r="B1" s="28" t="s">
        <v>52</v>
      </c>
      <c r="C1" s="28"/>
      <c r="D1" s="28"/>
      <c r="E1" s="28"/>
      <c r="F1" s="28"/>
      <c r="G1" s="28"/>
      <c r="H1" s="28"/>
      <c r="I1" s="28"/>
      <c r="J1" s="28"/>
      <c r="K1" s="28"/>
    </row>
    <row r="2" spans="2:11" s="7" customFormat="1" ht="18.75" customHeight="1" x14ac:dyDescent="0.35">
      <c r="B2" s="28" t="s">
        <v>53</v>
      </c>
      <c r="C2" s="28"/>
      <c r="D2" s="28"/>
      <c r="E2" s="28"/>
      <c r="F2" s="28"/>
      <c r="G2" s="28"/>
      <c r="H2" s="28"/>
      <c r="I2" s="28"/>
      <c r="J2" s="28"/>
      <c r="K2" s="28"/>
    </row>
    <row r="3" spans="2:11" ht="15.75" customHeight="1" x14ac:dyDescent="0.25">
      <c r="B3" s="79" t="s">
        <v>15</v>
      </c>
      <c r="C3" s="53">
        <v>462.65</v>
      </c>
    </row>
    <row r="4" spans="2:11" ht="15.75" customHeight="1" x14ac:dyDescent="0.25">
      <c r="B4" s="39"/>
      <c r="C4" s="39"/>
    </row>
    <row r="5" spans="2:11" ht="11.5" x14ac:dyDescent="0.25">
      <c r="B5" s="25" t="s">
        <v>17</v>
      </c>
      <c r="C5" s="25"/>
      <c r="D5" s="10"/>
      <c r="E5" s="25"/>
      <c r="F5" s="25"/>
      <c r="G5" s="25"/>
      <c r="H5" s="40"/>
      <c r="I5" s="25"/>
      <c r="J5" s="25"/>
      <c r="K5" s="25"/>
    </row>
    <row r="7" spans="2:11" ht="51.75" customHeight="1" x14ac:dyDescent="0.25">
      <c r="B7" s="54" t="s">
        <v>49</v>
      </c>
      <c r="C7" s="54" t="s">
        <v>567</v>
      </c>
      <c r="D7" s="54" t="s">
        <v>80</v>
      </c>
      <c r="E7" s="54" t="s">
        <v>560</v>
      </c>
      <c r="F7" s="54" t="s">
        <v>568</v>
      </c>
      <c r="G7" s="124" t="s">
        <v>569</v>
      </c>
      <c r="H7" s="124"/>
      <c r="I7" s="54" t="s">
        <v>562</v>
      </c>
      <c r="J7" s="54" t="s">
        <v>82</v>
      </c>
      <c r="K7" s="54" t="s">
        <v>54</v>
      </c>
    </row>
    <row r="8" spans="2:11" ht="24" customHeight="1" x14ac:dyDescent="0.25">
      <c r="B8" s="55"/>
      <c r="C8" s="55"/>
      <c r="D8" s="55"/>
      <c r="E8" s="55"/>
      <c r="F8" s="55"/>
      <c r="G8" s="109" t="s">
        <v>19</v>
      </c>
      <c r="H8" s="125" t="s">
        <v>20</v>
      </c>
      <c r="I8" s="126"/>
      <c r="J8" s="127"/>
      <c r="K8" s="128"/>
    </row>
    <row r="9" spans="2:11" ht="59" customHeight="1" x14ac:dyDescent="0.25">
      <c r="B9" s="76" t="s">
        <v>364</v>
      </c>
      <c r="C9" s="76" t="s">
        <v>365</v>
      </c>
      <c r="D9" s="12" t="s">
        <v>262</v>
      </c>
      <c r="E9" s="12" t="s">
        <v>366</v>
      </c>
      <c r="F9" s="12" t="s">
        <v>94</v>
      </c>
      <c r="G9" s="80">
        <f>H9*C3</f>
        <v>462650000</v>
      </c>
      <c r="H9" s="78">
        <v>1000000</v>
      </c>
      <c r="I9" s="41" t="s">
        <v>367</v>
      </c>
      <c r="J9" s="42" t="s">
        <v>368</v>
      </c>
      <c r="K9" s="75" t="s">
        <v>536</v>
      </c>
    </row>
    <row r="10" spans="2:11" ht="83" customHeight="1" x14ac:dyDescent="0.25">
      <c r="B10" s="76" t="s">
        <v>369</v>
      </c>
      <c r="C10" s="76" t="s">
        <v>370</v>
      </c>
      <c r="D10" s="12" t="s">
        <v>90</v>
      </c>
      <c r="E10" s="12" t="s">
        <v>371</v>
      </c>
      <c r="F10" s="12" t="s">
        <v>530</v>
      </c>
      <c r="G10" s="80">
        <f>H10*C3</f>
        <v>3238550000</v>
      </c>
      <c r="H10" s="78">
        <v>7000000</v>
      </c>
      <c r="I10" s="41" t="s">
        <v>367</v>
      </c>
      <c r="J10" s="42" t="s">
        <v>383</v>
      </c>
      <c r="K10" s="75" t="s">
        <v>544</v>
      </c>
    </row>
    <row r="11" spans="2:11" ht="79.25" customHeight="1" x14ac:dyDescent="0.25">
      <c r="B11" s="76" t="s">
        <v>531</v>
      </c>
      <c r="C11" s="76" t="s">
        <v>532</v>
      </c>
      <c r="D11" s="12" t="s">
        <v>262</v>
      </c>
      <c r="E11" s="12" t="s">
        <v>372</v>
      </c>
      <c r="F11" s="12" t="s">
        <v>530</v>
      </c>
      <c r="G11" s="80">
        <f>H11*C3</f>
        <v>462650000</v>
      </c>
      <c r="H11" s="78">
        <v>1000000</v>
      </c>
      <c r="I11" s="41" t="s">
        <v>367</v>
      </c>
      <c r="J11" s="42" t="s">
        <v>373</v>
      </c>
      <c r="K11" s="75" t="s">
        <v>544</v>
      </c>
    </row>
    <row r="12" spans="2:11" ht="71.400000000000006" customHeight="1" x14ac:dyDescent="0.25">
      <c r="B12" s="76" t="s">
        <v>374</v>
      </c>
      <c r="C12" s="76" t="s">
        <v>533</v>
      </c>
      <c r="D12" s="12" t="s">
        <v>262</v>
      </c>
      <c r="E12" s="12" t="s">
        <v>534</v>
      </c>
      <c r="F12" s="12" t="s">
        <v>94</v>
      </c>
      <c r="G12" s="80">
        <f>H12*C3</f>
        <v>693975000</v>
      </c>
      <c r="H12" s="78">
        <v>1500000</v>
      </c>
      <c r="I12" s="41" t="s">
        <v>367</v>
      </c>
      <c r="J12" s="42" t="s">
        <v>375</v>
      </c>
      <c r="K12" s="75" t="s">
        <v>535</v>
      </c>
    </row>
    <row r="13" spans="2:11" ht="100.25" customHeight="1" x14ac:dyDescent="0.25">
      <c r="B13" s="76" t="s">
        <v>537</v>
      </c>
      <c r="C13" s="76" t="s">
        <v>538</v>
      </c>
      <c r="D13" s="12" t="s">
        <v>376</v>
      </c>
      <c r="E13" s="12" t="s">
        <v>378</v>
      </c>
      <c r="F13" s="12" t="s">
        <v>530</v>
      </c>
      <c r="G13" s="80">
        <f>H13*C3</f>
        <v>462650000</v>
      </c>
      <c r="H13" s="78">
        <v>1000000</v>
      </c>
      <c r="I13" s="41" t="s">
        <v>367</v>
      </c>
      <c r="J13" s="77" t="s">
        <v>377</v>
      </c>
      <c r="K13" s="75" t="s">
        <v>536</v>
      </c>
    </row>
    <row r="14" spans="2:11" ht="80.400000000000006" customHeight="1" x14ac:dyDescent="0.25">
      <c r="B14" s="76" t="s">
        <v>379</v>
      </c>
      <c r="C14" s="76" t="s">
        <v>380</v>
      </c>
      <c r="D14" s="12" t="s">
        <v>262</v>
      </c>
      <c r="E14" s="12" t="s">
        <v>381</v>
      </c>
      <c r="F14" s="12" t="s">
        <v>530</v>
      </c>
      <c r="G14" s="80">
        <f>H14*C3</f>
        <v>231325000</v>
      </c>
      <c r="H14" s="78">
        <v>500000</v>
      </c>
      <c r="I14" s="41" t="s">
        <v>367</v>
      </c>
      <c r="J14" s="77" t="s">
        <v>382</v>
      </c>
      <c r="K14" s="75" t="s">
        <v>536</v>
      </c>
    </row>
    <row r="15" spans="2:11" ht="80.400000000000006" customHeight="1" x14ac:dyDescent="0.25">
      <c r="B15" s="76" t="s">
        <v>539</v>
      </c>
      <c r="C15" s="76" t="s">
        <v>540</v>
      </c>
      <c r="D15" s="12" t="s">
        <v>541</v>
      </c>
      <c r="E15" s="12" t="s">
        <v>542</v>
      </c>
      <c r="F15" s="12" t="s">
        <v>530</v>
      </c>
      <c r="G15" s="80">
        <f>H15*C3</f>
        <v>231325000</v>
      </c>
      <c r="H15" s="78">
        <v>500000</v>
      </c>
      <c r="I15" s="41" t="s">
        <v>367</v>
      </c>
      <c r="J15" s="77" t="s">
        <v>543</v>
      </c>
      <c r="K15" s="75"/>
    </row>
    <row r="16" spans="2:11" s="33" customFormat="1" ht="11.5" x14ac:dyDescent="0.25"/>
    <row r="17" spans="2:6" ht="11.5" x14ac:dyDescent="0.25">
      <c r="B17" s="20" t="s">
        <v>21</v>
      </c>
    </row>
    <row r="18" spans="2:6" ht="12.75" customHeight="1" x14ac:dyDescent="0.25">
      <c r="B18" s="1" t="s">
        <v>55</v>
      </c>
    </row>
    <row r="19" spans="2:6" ht="12.75" customHeight="1" x14ac:dyDescent="0.25">
      <c r="B19" s="1" t="s">
        <v>23</v>
      </c>
    </row>
    <row r="20" spans="2:6" ht="12.75" customHeight="1" x14ac:dyDescent="0.25">
      <c r="B20" s="1" t="s">
        <v>24</v>
      </c>
    </row>
    <row r="21" spans="2:6" ht="12.75" customHeight="1" x14ac:dyDescent="0.25">
      <c r="B21" s="1" t="s">
        <v>25</v>
      </c>
    </row>
    <row r="22" spans="2:6" ht="12.75" customHeight="1" x14ac:dyDescent="0.25"/>
    <row r="23" spans="2:6" ht="11.5" x14ac:dyDescent="0.25">
      <c r="B23" s="2" t="s">
        <v>28</v>
      </c>
      <c r="C23" s="2"/>
      <c r="D23" s="2"/>
      <c r="E23" s="2"/>
      <c r="F23" s="2"/>
    </row>
    <row r="24" spans="2:6" ht="13.5" customHeight="1" x14ac:dyDescent="0.25">
      <c r="B24" s="1" t="s">
        <v>29</v>
      </c>
    </row>
    <row r="25" spans="2:6" ht="13.5" customHeight="1" x14ac:dyDescent="0.25">
      <c r="B25" s="1" t="s">
        <v>30</v>
      </c>
    </row>
    <row r="26" spans="2:6" ht="13.5" customHeight="1" x14ac:dyDescent="0.25"/>
  </sheetData>
  <hyperlinks>
    <hyperlink ref="B5" location="'Index sheet'!A1" display="Back to index" xr:uid="{00000000-0004-0000-0700-000000000000}"/>
  </hyperlinks>
  <pageMargins left="0.7" right="0.7" top="0.75" bottom="0.75" header="0.3" footer="0.3"/>
  <pageSetup paperSize="9" orientation="portrait" r:id="rId1"/>
  <ignoredErrors>
    <ignoredError sqref="B1:K1 B4:K8 C2:K2 B17:K30 B3 E3:K3 C16:K1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23"/>
  <sheetViews>
    <sheetView showGridLines="0" workbookViewId="0">
      <selection activeCell="M13" sqref="M13"/>
    </sheetView>
  </sheetViews>
  <sheetFormatPr defaultColWidth="9.08984375" defaultRowHeight="12" customHeight="1" x14ac:dyDescent="0.25"/>
  <cols>
    <col min="1" max="1" width="2.36328125" style="1" customWidth="1"/>
    <col min="2" max="2" width="18.08984375" style="1" customWidth="1"/>
    <col min="3" max="3" width="23" style="1" customWidth="1"/>
    <col min="4" max="10" width="18.08984375" style="1" customWidth="1"/>
    <col min="11" max="11" width="20.453125" style="1" customWidth="1"/>
    <col min="12" max="12" width="9.08984375" style="1" customWidth="1"/>
    <col min="13" max="16384" width="9.08984375" style="1"/>
  </cols>
  <sheetData>
    <row r="1" spans="2:11" s="7" customFormat="1" ht="15.75" customHeight="1" x14ac:dyDescent="0.35">
      <c r="B1" s="28" t="s">
        <v>56</v>
      </c>
      <c r="C1" s="28"/>
    </row>
    <row r="2" spans="2:11" s="7" customFormat="1" ht="15.75" customHeight="1" x14ac:dyDescent="0.35">
      <c r="B2" s="46" t="s">
        <v>57</v>
      </c>
      <c r="C2" s="47"/>
      <c r="D2" s="47"/>
      <c r="E2" s="47"/>
      <c r="F2" s="47"/>
      <c r="G2" s="47"/>
      <c r="H2" s="47"/>
      <c r="I2" s="47"/>
      <c r="J2" s="47"/>
      <c r="K2" s="47"/>
    </row>
    <row r="3" spans="2:11" ht="15.75" customHeight="1" x14ac:dyDescent="0.25">
      <c r="B3" s="38" t="s">
        <v>15</v>
      </c>
      <c r="C3" s="21">
        <v>462.65</v>
      </c>
    </row>
    <row r="4" spans="2:11" ht="15.75" customHeight="1" x14ac:dyDescent="0.25">
      <c r="B4" s="39"/>
      <c r="C4" s="39"/>
    </row>
    <row r="5" spans="2:11" ht="11.5" x14ac:dyDescent="0.25">
      <c r="B5" s="25" t="s">
        <v>17</v>
      </c>
      <c r="C5" s="48"/>
      <c r="F5" s="10"/>
      <c r="H5" s="40"/>
    </row>
    <row r="6" spans="2:11" ht="11.5" x14ac:dyDescent="0.25">
      <c r="B6" s="49"/>
      <c r="C6" s="50"/>
    </row>
    <row r="7" spans="2:11" ht="39.75" customHeight="1" x14ac:dyDescent="0.25">
      <c r="B7" s="54" t="s">
        <v>49</v>
      </c>
      <c r="C7" s="54" t="s">
        <v>567</v>
      </c>
      <c r="D7" s="54" t="s">
        <v>559</v>
      </c>
      <c r="E7" s="54" t="s">
        <v>560</v>
      </c>
      <c r="F7" s="54" t="s">
        <v>568</v>
      </c>
      <c r="G7" s="129" t="s">
        <v>569</v>
      </c>
      <c r="H7" s="129"/>
      <c r="I7" s="54" t="s">
        <v>562</v>
      </c>
      <c r="J7" s="54" t="s">
        <v>563</v>
      </c>
      <c r="K7" s="54" t="s">
        <v>54</v>
      </c>
    </row>
    <row r="8" spans="2:11" ht="24" customHeight="1" x14ac:dyDescent="0.25">
      <c r="B8" s="55"/>
      <c r="C8" s="55"/>
      <c r="D8" s="55"/>
      <c r="E8" s="55"/>
      <c r="F8" s="55"/>
      <c r="G8" s="109" t="s">
        <v>19</v>
      </c>
      <c r="H8" s="125" t="s">
        <v>20</v>
      </c>
      <c r="I8" s="55"/>
      <c r="J8" s="56"/>
      <c r="K8" s="57"/>
    </row>
    <row r="9" spans="2:11" s="33" customFormat="1" ht="95" customHeight="1" x14ac:dyDescent="0.25">
      <c r="B9" s="130" t="s">
        <v>390</v>
      </c>
      <c r="C9" s="130" t="s">
        <v>384</v>
      </c>
      <c r="D9" s="131" t="s">
        <v>385</v>
      </c>
      <c r="E9" s="130" t="s">
        <v>187</v>
      </c>
      <c r="F9" s="131" t="s">
        <v>386</v>
      </c>
      <c r="G9" s="132">
        <f>H9*C3</f>
        <v>458788723.09999996</v>
      </c>
      <c r="H9" s="133">
        <v>991654</v>
      </c>
      <c r="I9" s="131" t="s">
        <v>387</v>
      </c>
      <c r="J9" s="134" t="s">
        <v>388</v>
      </c>
      <c r="K9" s="135" t="s">
        <v>389</v>
      </c>
    </row>
    <row r="10" spans="2:11" s="33" customFormat="1" ht="46" x14ac:dyDescent="0.25">
      <c r="B10" s="130" t="s">
        <v>391</v>
      </c>
      <c r="C10" s="130" t="s">
        <v>392</v>
      </c>
      <c r="D10" s="136" t="s">
        <v>441</v>
      </c>
      <c r="E10" s="131" t="s">
        <v>174</v>
      </c>
      <c r="F10" s="131" t="s">
        <v>94</v>
      </c>
      <c r="G10" s="132">
        <f>H10*C3</f>
        <v>394177800</v>
      </c>
      <c r="H10" s="133">
        <v>852000</v>
      </c>
      <c r="I10" s="131" t="s">
        <v>393</v>
      </c>
      <c r="J10" s="134" t="s">
        <v>394</v>
      </c>
      <c r="K10" s="135" t="s">
        <v>395</v>
      </c>
    </row>
    <row r="11" spans="2:11" s="33" customFormat="1" ht="11.5" x14ac:dyDescent="0.25">
      <c r="B11" s="43"/>
      <c r="C11" s="43"/>
      <c r="D11" s="43"/>
      <c r="E11" s="43"/>
      <c r="F11" s="43"/>
      <c r="G11" s="51"/>
      <c r="H11" s="43"/>
      <c r="I11" s="43"/>
      <c r="J11" s="44"/>
      <c r="K11" s="45"/>
    </row>
    <row r="12" spans="2:11" s="33" customFormat="1" ht="11.5" x14ac:dyDescent="0.25">
      <c r="B12" s="43"/>
      <c r="C12" s="43"/>
      <c r="D12" s="43"/>
      <c r="E12" s="43"/>
      <c r="F12" s="43"/>
      <c r="G12" s="51"/>
      <c r="H12" s="43"/>
      <c r="I12" s="43"/>
      <c r="J12" s="44"/>
      <c r="K12" s="45"/>
    </row>
    <row r="13" spans="2:11" s="33" customFormat="1" ht="11.5" x14ac:dyDescent="0.25">
      <c r="B13" s="43"/>
      <c r="C13" s="43"/>
      <c r="D13" s="43"/>
      <c r="E13" s="43"/>
      <c r="F13" s="43"/>
      <c r="G13" s="51"/>
      <c r="H13" s="43"/>
      <c r="I13" s="43"/>
      <c r="J13" s="44"/>
      <c r="K13" s="45"/>
    </row>
    <row r="14" spans="2:11" ht="11.5" x14ac:dyDescent="0.25">
      <c r="B14" s="49"/>
      <c r="C14" s="50"/>
    </row>
    <row r="15" spans="2:11" ht="11.5" x14ac:dyDescent="0.25">
      <c r="B15" s="20" t="s">
        <v>21</v>
      </c>
      <c r="C15" s="50"/>
    </row>
    <row r="16" spans="2:11" ht="12.75" customHeight="1" x14ac:dyDescent="0.25">
      <c r="B16" s="1" t="s">
        <v>58</v>
      </c>
      <c r="C16" s="50"/>
    </row>
    <row r="17" spans="2:11" ht="12.75" customHeight="1" x14ac:dyDescent="0.25">
      <c r="B17" s="1" t="s">
        <v>34</v>
      </c>
      <c r="C17" s="50"/>
      <c r="K17" s="1">
        <f ca="1">E17:K17</f>
        <v>0</v>
      </c>
    </row>
    <row r="18" spans="2:11" ht="12.75" customHeight="1" x14ac:dyDescent="0.25">
      <c r="B18" s="1" t="s">
        <v>24</v>
      </c>
      <c r="C18" s="50"/>
    </row>
    <row r="19" spans="2:11" ht="12.75" customHeight="1" x14ac:dyDescent="0.25">
      <c r="B19" s="1" t="s">
        <v>25</v>
      </c>
      <c r="C19" s="50"/>
    </row>
    <row r="20" spans="2:11" ht="11.5" x14ac:dyDescent="0.25">
      <c r="B20" s="49"/>
      <c r="C20" s="50"/>
    </row>
    <row r="21" spans="2:11" ht="11.5" x14ac:dyDescent="0.25">
      <c r="B21" s="2" t="s">
        <v>28</v>
      </c>
    </row>
    <row r="22" spans="2:11" ht="13.5" customHeight="1" x14ac:dyDescent="0.25"/>
    <row r="23" spans="2:11" ht="13.5" customHeight="1" x14ac:dyDescent="0.25"/>
  </sheetData>
  <hyperlinks>
    <hyperlink ref="B5" location="'Index sheet'!A1" display="Back to index" xr:uid="{00000000-0004-0000-0800-000000000000}"/>
    <hyperlink ref="K9" r:id="rId1" xr:uid="{3F279D88-7924-4670-BF4E-5F57BF9C5078}"/>
    <hyperlink ref="K10" r:id="rId2" xr:uid="{14CC6734-AC9A-4838-8733-6A5733CFE8D6}"/>
  </hyperlinks>
  <pageMargins left="0.7" right="0.7" top="0.75" bottom="0.75" header="0.3" footer="0.3"/>
  <ignoredErrors>
    <ignoredError sqref="B1:K1 B4:K8 C2:K2 B14:K16 B24:K29 C22:K23 B3 D3:K3 B18:K21 B17:J1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F882EB7FCA6434DA24A028846063E77" ma:contentTypeVersion="19" ma:contentTypeDescription="Create a new document." ma:contentTypeScope="" ma:versionID="a409d3ab7e9d9dccea7444388e387f75">
  <xsd:schema xmlns:xsd="http://www.w3.org/2001/XMLSchema" xmlns:xs="http://www.w3.org/2001/XMLSchema" xmlns:p="http://schemas.microsoft.com/office/2006/metadata/properties" xmlns:ns2="9a154c4d-cead-4cfa-9932-395bc8e22ef0" xmlns:ns3="16cf22d7-0b17-4d5d-9dc1-cf7d2e871018" targetNamespace="http://schemas.microsoft.com/office/2006/metadata/properties" ma:root="true" ma:fieldsID="82948bcf49514c86789aef3afa35fb49" ns2:_="" ns3:_="">
    <xsd:import namespace="9a154c4d-cead-4cfa-9932-395bc8e22ef0"/>
    <xsd:import namespace="16cf22d7-0b17-4d5d-9dc1-cf7d2e87101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154c4d-cead-4cfa-9932-395bc8e22ef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28634df1-a6a5-4193-b204-63c06a556385}" ma:internalName="TaxCatchAll" ma:showField="CatchAllData" ma:web="9a154c4d-cead-4cfa-9932-395bc8e22ef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cf22d7-0b17-4d5d-9dc1-cf7d2e871018"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e656f9-f76c-44dd-b543-7b2670c6e604"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Estado de aprobación" ma:internalName="Estado_x0020_de_x0020_aprobaci_x00f3_n">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6cf22d7-0b17-4d5d-9dc1-cf7d2e871018">
      <Terms xmlns="http://schemas.microsoft.com/office/infopath/2007/PartnerControls"/>
    </lcf76f155ced4ddcb4097134ff3c332f>
    <TaxCatchAll xmlns="9a154c4d-cead-4cfa-9932-395bc8e22ef0" xsi:nil="true"/>
    <_Flow_SignoffStatus xmlns="16cf22d7-0b17-4d5d-9dc1-cf7d2e871018" xsi:nil="true"/>
  </documentManagement>
</p:properties>
</file>

<file path=customXml/itemProps1.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2.xml><?xml version="1.0" encoding="utf-8"?>
<ds:datastoreItem xmlns:ds="http://schemas.openxmlformats.org/officeDocument/2006/customXml" ds:itemID="{8DF40E72-0A96-4343-8461-4ACD96E08E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154c4d-cead-4cfa-9932-395bc8e22ef0"/>
    <ds:schemaRef ds:uri="16cf22d7-0b17-4d5d-9dc1-cf7d2e871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94383F-C1A3-4A6E-88F9-B0282E5D8A0C}">
  <ds:schemaRefs>
    <ds:schemaRef ds:uri="http://purl.org/dc/dcmitype/"/>
    <ds:schemaRef ds:uri="http://schemas.microsoft.com/office/2006/metadata/properties"/>
    <ds:schemaRef ds:uri="http://purl.org/dc/terms/"/>
    <ds:schemaRef ds:uri="http://purl.org/dc/elements/1.1/"/>
    <ds:schemaRef ds:uri="9a154c4d-cead-4cfa-9932-395bc8e22ef0"/>
    <ds:schemaRef ds:uri="http://schemas.microsoft.com/office/infopath/2007/PartnerControls"/>
    <ds:schemaRef ds:uri="http://schemas.openxmlformats.org/package/2006/metadata/core-properties"/>
    <ds:schemaRef ds:uri="http://schemas.microsoft.com/office/2006/documentManagement/types"/>
    <ds:schemaRef ds:uri="16cf22d7-0b17-4d5d-9dc1-cf7d2e87101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Index sheet</vt:lpstr>
      <vt:lpstr> Table6</vt:lpstr>
      <vt:lpstr> Table7</vt:lpstr>
      <vt:lpstr> Table8</vt:lpstr>
      <vt:lpstr> Table9</vt:lpstr>
      <vt:lpstr> Table10</vt:lpstr>
      <vt:lpstr> Table11</vt:lpstr>
      <vt:lpstr> Table12</vt:lpstr>
      <vt:lpstr> Table 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Gulmira Sergazina</cp:lastModifiedBy>
  <dcterms:created xsi:type="dcterms:W3CDTF">2021-11-26T12:02:15Z</dcterms:created>
  <dcterms:modified xsi:type="dcterms:W3CDTF">2025-01-10T08:47:30Z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0x0101002F882EB7FCA6434DA24A028846063E77</vt:lpwstr>
  </property>
  <property fmtid="{D5CDD505-2E9C-101B-9397-08002B2CF9AE}" pid="3" name="MediaServiceImageTags">
    <vt:lpwstr/>
  </property>
</Properties>
</file>