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https://dcceew2.sharepoint.com/sites/DCCEEW-ClimateChangeAdaptationandRiskDivision/Shared Documents/General/Climate Change Policy Branch/Climate Change Policy Team/General/UNFCCC Projects/Report - 2024 BTR1/Submission/"/>
    </mc:Choice>
  </mc:AlternateContent>
  <xr:revisionPtr revIDLastSave="404" documentId="8_{476CB1CA-EEE5-44C2-8DD8-785DDA496CB3}" xr6:coauthVersionLast="47" xr6:coauthVersionMax="47" xr10:uidLastSave="{D2F4D5FB-64E4-4602-9D96-7CCC76B49DE0}"/>
  <bookViews>
    <workbookView xWindow="28680" yWindow="-120" windowWidth="29040" windowHeight="15720" activeTab="8" xr2:uid="{00000000-000D-0000-FFFF-FFFF00000000}"/>
  </bookViews>
  <sheets>
    <sheet name="Index sheet" sheetId="1" r:id="rId1"/>
    <sheet name="Table1_2021" sheetId="3" r:id="rId2"/>
    <sheet name="Table1_2022" sheetId="2" r:id="rId3"/>
    <sheet name="Table2_2021" sheetId="5" r:id="rId4"/>
    <sheet name="Table2_2022" sheetId="4" r:id="rId5"/>
    <sheet name="Table3_2021" sheetId="7" r:id="rId6"/>
    <sheet name="Table3_2022" sheetId="6" r:id="rId7"/>
    <sheet name="Table4" sheetId="8" r:id="rId8"/>
    <sheet name="Table5" sheetId="9" r:id="rId9"/>
  </sheets>
  <definedNames>
    <definedName name="_xlnm._FilterDatabase" localSheetId="1" hidden="1">Table1_2021!$A$9:$R$232</definedName>
    <definedName name="_xlnm._FilterDatabase" localSheetId="2" hidden="1">Table1_2022!$A$9:$Q$262</definedName>
    <definedName name="_xlnm._FilterDatabase" localSheetId="3" hidden="1">Table2_2021!$A$11:$Z$37</definedName>
    <definedName name="_xlnm._FilterDatabase" localSheetId="4" hidden="1">Table2_2022!$A$11:$Z$11</definedName>
    <definedName name="_xlnm._FilterDatabase" localSheetId="7" hidden="1">Table4!$A$6:$S$24</definedName>
    <definedName name="_xlnm._FilterDatabase" localSheetId="8" hidden="1">Table5!$B$6:$N$52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4" l="1"/>
  <c r="I38" i="4"/>
  <c r="F38" i="4"/>
  <c r="E38" i="4"/>
  <c r="J37" i="5" l="1"/>
  <c r="I37" i="5"/>
  <c r="F37" i="5"/>
  <c r="E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tc={64A7AB79-09AA-43ED-B4B8-47971B1F9E8F}</author>
  </authors>
  <commentList>
    <comment ref="O7" authorId="0" shapeId="0" xr:uid="{64A7AB79-09AA-43ED-B4B8-47971B1F9E8F}">
      <text>
        <t>[Threaded comment]
Your version of Excel allows you to read this threaded comment; however, any edits to it will get removed if the file is opened in a newer version of Excel. Learn more: https://go.microsoft.com/fwlink/?linkid=870924
Comment:
    Confirm compatibility with Beck's tables</t>
      </text>
    </comment>
  </commentList>
</comments>
</file>

<file path=xl/sharedStrings.xml><?xml version="1.0" encoding="utf-8"?>
<sst xmlns="http://schemas.openxmlformats.org/spreadsheetml/2006/main" count="6152" uniqueCount="869">
  <si>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</si>
  <si>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</si>
  <si>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</si>
  <si>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</si>
  <si>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</si>
  <si>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</si>
  <si>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</si>
  <si>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</si>
  <si>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</si>
  <si>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</si>
  <si>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</si>
  <si>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</si>
  <si>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</si>
  <si>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to be provided by developing country Parties, to the extent possible</t>
  </si>
  <si>
    <t>TABLE  III.1</t>
  </si>
  <si>
    <t>Information on financial support provided under Article 9 of the Paris Agreement in year</t>
  </si>
  <si>
    <t>2021</t>
  </si>
  <si>
    <t>:a, b, c bilateral, regional and other channels</t>
  </si>
  <si>
    <t>Exchange rate used:</t>
  </si>
  <si>
    <t>Back to index</t>
  </si>
  <si>
    <r>
      <t>Recipient country or region</t>
    </r>
    <r>
      <rPr>
        <i/>
        <vertAlign val="superscript"/>
        <sz val="9"/>
        <rFont val="Times New Roman"/>
        <family val="1"/>
      </rPr>
      <t xml:space="preserve">c, d </t>
    </r>
  </si>
  <si>
    <r>
      <t>Title of the project programme, activity or other</t>
    </r>
    <r>
      <rPr>
        <i/>
        <vertAlign val="superscript"/>
        <sz val="9"/>
        <rFont val="Times New Roman"/>
        <family val="1"/>
      </rPr>
      <t>c, e</t>
    </r>
  </si>
  <si>
    <r>
      <t>Amount (climate-specific)</t>
    </r>
    <r>
      <rPr>
        <i/>
        <vertAlign val="superscript"/>
        <sz val="9"/>
        <rFont val="Times New Roman"/>
        <family val="1"/>
      </rPr>
      <t>c, f</t>
    </r>
  </si>
  <si>
    <r>
      <t>Status</t>
    </r>
    <r>
      <rPr>
        <i/>
        <vertAlign val="superscript"/>
        <sz val="9"/>
        <rFont val="Times New Roman"/>
        <family val="1"/>
      </rPr>
      <t>c</t>
    </r>
  </si>
  <si>
    <r>
      <t>Channel</t>
    </r>
    <r>
      <rPr>
        <i/>
        <vertAlign val="superscript"/>
        <sz val="9"/>
        <rFont val="Times New Roman"/>
        <family val="1"/>
      </rPr>
      <t>c</t>
    </r>
  </si>
  <si>
    <r>
      <t>Funding source</t>
    </r>
    <r>
      <rPr>
        <i/>
        <vertAlign val="superscript"/>
        <sz val="9"/>
        <rFont val="Times New Roman"/>
        <family val="1"/>
      </rPr>
      <t>c</t>
    </r>
  </si>
  <si>
    <r>
      <t>Financial instrument</t>
    </r>
    <r>
      <rPr>
        <i/>
        <vertAlign val="superscript"/>
        <sz val="9"/>
        <rFont val="Times New Roman"/>
        <family val="1"/>
      </rPr>
      <t>c, g</t>
    </r>
  </si>
  <si>
    <r>
      <t>Type of support</t>
    </r>
    <r>
      <rPr>
        <i/>
        <vertAlign val="superscript"/>
        <sz val="9"/>
        <rFont val="Times New Roman"/>
        <family val="1"/>
      </rPr>
      <t>c</t>
    </r>
  </si>
  <si>
    <r>
      <t>Sector</t>
    </r>
    <r>
      <rPr>
        <i/>
        <vertAlign val="superscript"/>
        <sz val="9"/>
        <rFont val="Times New Roman"/>
        <family val="1"/>
      </rPr>
      <t>c</t>
    </r>
  </si>
  <si>
    <r>
      <t>Subsector</t>
    </r>
    <r>
      <rPr>
        <i/>
        <vertAlign val="superscript"/>
        <sz val="9"/>
        <rFont val="Times New Roman"/>
        <family val="1"/>
      </rPr>
      <t>c, h</t>
    </r>
  </si>
  <si>
    <r>
      <t>Contribution to capacity-building objectives</t>
    </r>
    <r>
      <rPr>
        <i/>
        <vertAlign val="superscript"/>
        <sz val="9"/>
        <rFont val="Times New Roman"/>
        <family val="1"/>
      </rPr>
      <t>c, h</t>
    </r>
  </si>
  <si>
    <r>
      <t>Contribution to technology development and transfer objectives</t>
    </r>
    <r>
      <rPr>
        <i/>
        <vertAlign val="superscript"/>
        <sz val="9"/>
        <rFont val="Times New Roman"/>
        <family val="1"/>
      </rPr>
      <t>c, h</t>
    </r>
  </si>
  <si>
    <r>
      <t>Additional information</t>
    </r>
    <r>
      <rPr>
        <i/>
        <vertAlign val="superscript"/>
        <sz val="9"/>
        <rFont val="Times New Roman"/>
        <family val="1"/>
      </rPr>
      <t>c, h, i</t>
    </r>
  </si>
  <si>
    <t>Face value</t>
  </si>
  <si>
    <t>Grant equivalent</t>
  </si>
  <si>
    <t>Domestic
currency</t>
  </si>
  <si>
    <t>USD</t>
  </si>
  <si>
    <t>Australian Centre for International Agricultural Research Projects</t>
  </si>
  <si>
    <t>Disbursed</t>
  </si>
  <si>
    <t>Regional</t>
  </si>
  <si>
    <t>ODA</t>
  </si>
  <si>
    <t>Grant</t>
  </si>
  <si>
    <t>Adaptation</t>
  </si>
  <si>
    <t>Agriculture</t>
  </si>
  <si>
    <t>Water for Women</t>
  </si>
  <si>
    <t>Water and Sanitation</t>
  </si>
  <si>
    <t>Australian Science &amp; Technology for Climate Partnerships</t>
  </si>
  <si>
    <t>Cross-cutting
Water and Sanitation</t>
  </si>
  <si>
    <t>43010
14030</t>
  </si>
  <si>
    <t>Nature Based Solutions to Climate Change Initiative</t>
  </si>
  <si>
    <t>Other (General environment protection)
Water and Sanitation</t>
  </si>
  <si>
    <t>41010
41020
41030
41081
14015</t>
  </si>
  <si>
    <t>Australian Humanitarian Partnership</t>
  </si>
  <si>
    <t xml:space="preserve">Other (Disaster risk reduction)
Other (Emergency response and Reconstruction Relief) </t>
  </si>
  <si>
    <t>74010
72050</t>
  </si>
  <si>
    <t>Water for Sustainable Growth</t>
  </si>
  <si>
    <t>Integrated deployable civilian capability</t>
  </si>
  <si>
    <t>Other (Disaster risk reduction)</t>
  </si>
  <si>
    <t>Supporting the Implementation of the Sendai Framework for Disaster Risk Reduction - Phase 2 (UNDRR)</t>
  </si>
  <si>
    <t>Global Agriculture and Food Security Program Public Sector Window</t>
  </si>
  <si>
    <t>31120
31140</t>
  </si>
  <si>
    <t>Oxfam Australia</t>
  </si>
  <si>
    <t>Agriculture
Cross-cutting
Other (Disaster risk reduction)
Other (General environment protection)
Other (Government and civil society)
Water and Sanitation</t>
  </si>
  <si>
    <t>31140
31181
43040
43060
74020
41081
15110
15112
15150
15170
14030</t>
  </si>
  <si>
    <t>Australian Red Cross Humanitarian Partnership 20-25 (including inception phase)</t>
  </si>
  <si>
    <t xml:space="preserve">Other (Emergency response and Reconstruction Relief) </t>
  </si>
  <si>
    <t>Water and Sanitation Initiative Global Programming</t>
  </si>
  <si>
    <t>14101
14030</t>
  </si>
  <si>
    <t>Yes</t>
  </si>
  <si>
    <t>Grow Asia (World Economic Forum)</t>
  </si>
  <si>
    <t>Infrastructure Development Fund</t>
  </si>
  <si>
    <t>Cross-cutting
Energy
Other (Banking and Financial Services) 
Other (Communications)
Transport
Water and Sanitation</t>
  </si>
  <si>
    <t>43030
23110
24010
22011
21011
14020</t>
  </si>
  <si>
    <t>Impact Private Sector Partnerships (IPSP)</t>
  </si>
  <si>
    <t>Other (Business and other services)</t>
  </si>
  <si>
    <t>World Heritage Committee 2017-2021</t>
  </si>
  <si>
    <t>Other (General environment protection)</t>
  </si>
  <si>
    <t>ActionAid Australia</t>
  </si>
  <si>
    <t>Other (Disaster risk reduction)
Other (Government and civil society)</t>
  </si>
  <si>
    <t>43060
15170</t>
  </si>
  <si>
    <t>Short Courses - Energy, Adaptation, Ocean Plastics</t>
  </si>
  <si>
    <t>Energy</t>
  </si>
  <si>
    <t>Caritas Australia</t>
  </si>
  <si>
    <t>Cross-cutting
Agriculture
Other (Disaster risk reduction)
Other (Education)
Other (Government and civil society)</t>
  </si>
  <si>
    <t>31120
31161
31181
31194
43040
52010
43060
11230
11330
15220</t>
  </si>
  <si>
    <t>Save the Children Australia</t>
  </si>
  <si>
    <t>Cross-cutting
Other (Disaster risk reduction)
Other (General environment protection)
Other (Government and civil society)
Other (Social infrastructure and services)</t>
  </si>
  <si>
    <t>43030
74020
41010
15150
15160
16010</t>
  </si>
  <si>
    <t>Plan International Australia</t>
  </si>
  <si>
    <t xml:space="preserve">Cross-cutting
Other (Disaster risk reduction)
Other (General environment protection)
Other (Government and civil society)
</t>
  </si>
  <si>
    <t>43030
43060
41081
15150
15170
15180</t>
  </si>
  <si>
    <t>Australia Awards - Africa 2015-2020</t>
  </si>
  <si>
    <t>Cross-Cutting</t>
  </si>
  <si>
    <t>World Bank Rapid Social Response Program</t>
  </si>
  <si>
    <t>Other (Social infrastructure and services)</t>
  </si>
  <si>
    <t>Act for Peace Limited</t>
  </si>
  <si>
    <t>Agriculture
Other (Disaster risk reduction)
Other (Government and civil society)
Other (Health and population)
Other (Social infrastructure and services)</t>
  </si>
  <si>
    <t>31161
31165
31166
43060
15160
15170
12191
12220
12261
13030
16050</t>
  </si>
  <si>
    <t>CBM Australia</t>
  </si>
  <si>
    <t>Other (Disaster risk reduction)
Other (Social infrastructure and services)</t>
  </si>
  <si>
    <t>74020
16010</t>
  </si>
  <si>
    <t>Australian Volunteers Program</t>
  </si>
  <si>
    <t>Agriculture
Energy
Forestry
Other (Disaster risk reduction)
Other (General environment protection)
Other (Education)
Other (Emergency response and Reconstruction Relief) 
Other (Government and civil society)
Other (Health and population)
Other (mineral resources and mining)
Other (Social infrastructure and services)</t>
  </si>
  <si>
    <t>31110
23110
23210
31210
74020
11420
72010
41010
15110
15114
15150
15160
15170
15180
12110
32210
16050</t>
  </si>
  <si>
    <t>Climate and Humanitarian Crisis Initiative (CHC)</t>
  </si>
  <si>
    <t>Direct Aid Program (DAP) 2020-21</t>
  </si>
  <si>
    <t>Agriculture
Cross-cutting
Energy
Other (Disaster risk reduction)
Other (Emergency response and Reconstruction Relief) 
Other (General environment protection)
Other (Fishing)</t>
  </si>
  <si>
    <t>31120
31140
31150
31163
31181
31194
43040
23181
23230
74020
73010
41010
41030
41081
31381</t>
  </si>
  <si>
    <t>Private Sector Development Partnerships</t>
  </si>
  <si>
    <t>Transform Aid International</t>
  </si>
  <si>
    <t>Agriculture
Cross-Cutting
Other (Disaster risk reduction)
Other (Government and civil society)
Other (Social infrastructure and services)
Water and Sanitation</t>
  </si>
  <si>
    <t>31120
31166
43040
43060
74020
15160
16050
14030</t>
  </si>
  <si>
    <t>TEAR Australia</t>
  </si>
  <si>
    <t>Agriculture
Cross-Cutting
Other (Disaster risk reduction)
Other (General environment protection)
Water and Sanitation</t>
  </si>
  <si>
    <t>31120
43040
74020
41081
14030</t>
  </si>
  <si>
    <t>Action on Poverty Limited</t>
  </si>
  <si>
    <t>31120
31140
31150
31181
31191</t>
  </si>
  <si>
    <t>World Vision Australia</t>
  </si>
  <si>
    <t>Agriculture
Other (Disaster risk reduction)
Other (General environment protection)</t>
  </si>
  <si>
    <t>31120
43060
41020</t>
  </si>
  <si>
    <t>Australia Awards Scholarships - 2020intake</t>
  </si>
  <si>
    <t>World Wide Fund for Nature Australia</t>
  </si>
  <si>
    <t>Other (General environment protection)
Other (Fishing)</t>
  </si>
  <si>
    <t>41081
31320</t>
  </si>
  <si>
    <t>WASH Joint Monitoring Program</t>
  </si>
  <si>
    <t>Water and sanitation</t>
  </si>
  <si>
    <t>Engineers Without Borders Australia</t>
  </si>
  <si>
    <t>Other (Disaster risk reduction)
Water and Sanitation</t>
  </si>
  <si>
    <t>43060
14030
14081</t>
  </si>
  <si>
    <t>Australia Awards Scholarships - 2019 intake</t>
  </si>
  <si>
    <t>Cross-cutting</t>
  </si>
  <si>
    <t>Australian Lutheran World Service</t>
  </si>
  <si>
    <t>Cross-cutting
Other (Disaster risk reduction)</t>
  </si>
  <si>
    <t>43040
43060</t>
  </si>
  <si>
    <t>ADRA</t>
  </si>
  <si>
    <t>31120
31161
31181</t>
  </si>
  <si>
    <t>Quaker Service Australia</t>
  </si>
  <si>
    <t>Agriculture
Cross-cutting
Other (General environment protection)</t>
  </si>
  <si>
    <t>31166
43072
41081</t>
  </si>
  <si>
    <t>ChildFund Australia</t>
  </si>
  <si>
    <t>Other (Disaster risk reduction)
Other (General environment protection)</t>
  </si>
  <si>
    <t>43060
41081</t>
  </si>
  <si>
    <t>Anglicans in Development</t>
  </si>
  <si>
    <t>43040
14020</t>
  </si>
  <si>
    <t>Australia Awards Scholarships - 2018 intake</t>
  </si>
  <si>
    <t>CARE Australia</t>
  </si>
  <si>
    <t>The use of crop wild relatives to develop drought tolerant alfalfa</t>
  </si>
  <si>
    <t>Anglican Overseas Aid</t>
  </si>
  <si>
    <t>Agriculture
Other (Health and population)</t>
  </si>
  <si>
    <t>31161
12261</t>
  </si>
  <si>
    <t>Asia-Pacific Regional Platform for DRR</t>
  </si>
  <si>
    <t>Kyeema</t>
  </si>
  <si>
    <t>Agriculture
Other (General environment protection)</t>
  </si>
  <si>
    <t>31166
41081</t>
  </si>
  <si>
    <t>Habitat for Humanity Australia</t>
  </si>
  <si>
    <t>43060
16040</t>
  </si>
  <si>
    <t>The International Nepal Fellowship Australia</t>
  </si>
  <si>
    <t>Nusatenggara Association</t>
  </si>
  <si>
    <t>Business Partnerships Platform</t>
  </si>
  <si>
    <t>Mitigation</t>
  </si>
  <si>
    <t>Partnership for Market Implementation (PMI)</t>
  </si>
  <si>
    <t>Cross-Cutting
Energy
Other (Banking and Financial Services) 
Other (Communications)
Transport
Water and Sanitation</t>
  </si>
  <si>
    <t xml:space="preserve">Impact Private Sector Partnerships </t>
  </si>
  <si>
    <t>Private Finance for Development</t>
  </si>
  <si>
    <t>Exporting Australian Traditional Fire Management</t>
  </si>
  <si>
    <t xml:space="preserve">Agriculture
Energy
Forestry
Other (Disaster risk reduction)
Other (Education)
Other (Emergency response and Reconstruction Relief) 
Other (General environment protection)
Other (mineral resources and mining)
Other (Government and civil society)
Other (Health and population)
Other (Social infrastructure and services)
</t>
  </si>
  <si>
    <t xml:space="preserve">43030
74020
41010
15150
15160
16010
</t>
  </si>
  <si>
    <t>cross-cutting</t>
  </si>
  <si>
    <t xml:space="preserve">Cross-Cutting
Other (Disaster risk reduction)
Other (General environment protection)
Other (Government and civil society)
</t>
  </si>
  <si>
    <t xml:space="preserve">43040
74020
41081
15150
</t>
  </si>
  <si>
    <t>Cross-Cutting
Water and Sanitation</t>
  </si>
  <si>
    <t>Agriculture
Cross-cutting
Other (Disaster risk reduction)
Other (Government and civil society)
Other (Social infrastructure and services)
Water and Sanitation</t>
  </si>
  <si>
    <t xml:space="preserve">Agriculture
Cross-cutting
Other (Education)
Other (Government and civil society)
</t>
  </si>
  <si>
    <t xml:space="preserve">31120
15220
31194
43040
52010
11230
11330
31161
31181
43060
</t>
  </si>
  <si>
    <t xml:space="preserve">31166
43072
41081
</t>
  </si>
  <si>
    <t xml:space="preserve">Other (Disaster risk reduction)
Other (General environment protection)
</t>
  </si>
  <si>
    <t xml:space="preserve">74020
41081
</t>
  </si>
  <si>
    <t xml:space="preserve">31120
31161
31181
</t>
  </si>
  <si>
    <t>Australian Climate Finance Partnership</t>
  </si>
  <si>
    <t>Agriculture
Forestry
Other (Banking and Financial Services) 
Other (Disaster risk reduction)
Other (Education)
Other (General environment protection)
Other (Government and civil society)
Other (Health and population)
Water and sanitation</t>
  </si>
  <si>
    <t>31120
31161
31162
31193
31220
24040
43060
11220
11230
11231
11330
41020
15160
15170
15220
12220
12240
12250
12261
12281
14030
14050</t>
  </si>
  <si>
    <t>Cross-cutting
Energy
Other (Banking and Financial Services) 
Other (Communications)
Transport
Water and sanitation</t>
  </si>
  <si>
    <t>Agriculture
Cross-cutting
Other (Disaster risk reduction)
Water and sanitation</t>
  </si>
  <si>
    <t>31120
31166
43040
43060
74020
14030</t>
  </si>
  <si>
    <t>Agriculture
Cross-cutting
Other (Disaster risk reduction)
Other (Government and civil society)</t>
  </si>
  <si>
    <t>31120
31161
43040
43060
15160
15220</t>
  </si>
  <si>
    <t>Agriculture
Energy
Forestry
Other (Disaster risk reduction)
Other (Education)
Other (Emergency response and Reconstruction Relief) 
Other (General environment protection)
Other (Government and civil society)
Other (Health and population)
Other (mineral resources and mining)
Other (Social infrastructure and services)</t>
  </si>
  <si>
    <t>31110
23110
23210
31210
74020
11420
72010
41010
15110
15114
15150
15160
15170
15180
12110
16050</t>
  </si>
  <si>
    <t>Agriculture
Other (Disaster risk reduction)
Other (General environment protection)
Other (Government and civil society)
Other (Health and population)</t>
  </si>
  <si>
    <t>31120
31166
74020
41081
15150
12220</t>
  </si>
  <si>
    <t>OECD Development Assistance Committee 2021</t>
  </si>
  <si>
    <t>43060
74020
41081</t>
  </si>
  <si>
    <t>Cross-cutting
Other (Disaster risk reduction)
Other (General environment protection)</t>
  </si>
  <si>
    <t>43030
43060
41081</t>
  </si>
  <si>
    <t>The Salvation Army</t>
  </si>
  <si>
    <t>Cross-cutting
Water and sanitation</t>
  </si>
  <si>
    <t>International Climate Change Engagement Program</t>
  </si>
  <si>
    <t>Multi-bilateral</t>
  </si>
  <si>
    <t>OOF</t>
  </si>
  <si>
    <t>Australia Pacific Climate Partnership</t>
  </si>
  <si>
    <t>NA</t>
  </si>
  <si>
    <t>Financial Preparedness for Disaster and Climate Resilience (GFDRR)</t>
  </si>
  <si>
    <t>Fisheries Development Assistance in the Pacific</t>
  </si>
  <si>
    <t>Other (Fishing)</t>
  </si>
  <si>
    <t>31310
31320</t>
  </si>
  <si>
    <t>United Nations Capital Development Fund (UNCDF) Pacific Programmes 2021-2025</t>
  </si>
  <si>
    <t>Other (Banking and Financial Services) 
Other (Business and other services)
Other (Government and civil society)
Other (Social infrastructure and services)</t>
  </si>
  <si>
    <t>24010
25010
15110
16050</t>
  </si>
  <si>
    <t>Response Package - Direct Financing</t>
  </si>
  <si>
    <t>Other (Climate related budget support)
Cross-cutting
Other (Education)
Other (Government and civil society)
Other (Social infrastructure and services)
Other (Tourism)
Transport
Water and sanitation</t>
  </si>
  <si>
    <t>51010
43072
11320
15220
16010
16020
16050
33210
21050
14030</t>
  </si>
  <si>
    <t>Pacific Regional Market Access (PHAMA Plus)</t>
  </si>
  <si>
    <t>Pacific Food Security Initiative</t>
  </si>
  <si>
    <t>31120
31182</t>
  </si>
  <si>
    <t>Women's Disaster Resilience</t>
  </si>
  <si>
    <t>74010
15170</t>
  </si>
  <si>
    <t>UNDP Pacific Sub Regional Centre</t>
  </si>
  <si>
    <t>Other (Government and civil society)</t>
  </si>
  <si>
    <t>Maritime Boundaries Support in the Pacific</t>
  </si>
  <si>
    <t>Coral Reef Innovation Project</t>
  </si>
  <si>
    <t>Australian Infrastructure Financing Facility Program - Program Implementation Support</t>
  </si>
  <si>
    <t>World Bank Pacific Facility 4</t>
  </si>
  <si>
    <t>Ocean Assistance in the Pacific</t>
  </si>
  <si>
    <t>Disability inclusion support for the Pacific</t>
  </si>
  <si>
    <t>Science Circus Pacific</t>
  </si>
  <si>
    <t>Other (Education)</t>
  </si>
  <si>
    <t>Pacific Technical Assistance Mechanism Phase 2</t>
  </si>
  <si>
    <t>Cross-cutting
Other (Education)
Other (Government and civil society)
Other (Health and population)</t>
  </si>
  <si>
    <t>43010
11110
15155
12191
12250</t>
  </si>
  <si>
    <t>Direct Aid Program Activities - North Pacific (2020-23)</t>
  </si>
  <si>
    <t>Energy
Other (Education)
Other (Health and population)
Other (Social infrastructure and services)
Water and sanitation
Other (Fishing)</t>
  </si>
  <si>
    <t>23230
11120
12264
16065
14031
31381</t>
  </si>
  <si>
    <t>Climate and Agriculture</t>
  </si>
  <si>
    <t>31120
52010
41010</t>
  </si>
  <si>
    <t>Pacific Regional Blue Carbon Initiative</t>
  </si>
  <si>
    <t>41010
41030
41082</t>
  </si>
  <si>
    <t>Pacific Women Climate Change Negotiators Training</t>
  </si>
  <si>
    <t>2023 Global Sustainable Development Report</t>
  </si>
  <si>
    <t>Fiji</t>
  </si>
  <si>
    <t>Fiji Program Support Facility</t>
  </si>
  <si>
    <t xml:space="preserve">Bilateral </t>
  </si>
  <si>
    <t>Cross-cutting
Other (Disaster risk reduction)
Other (Education)
Other (Government and civil society)
Other (Health and population)</t>
  </si>
  <si>
    <t>43010
43081
74010
11110
15150
12110</t>
  </si>
  <si>
    <t>Tropical Cyclone Yasa Recovery</t>
  </si>
  <si>
    <t>Bilateral</t>
  </si>
  <si>
    <t>Inclusive Economic Growth</t>
  </si>
  <si>
    <t>Industry</t>
  </si>
  <si>
    <t>Supporting Private Sector Development in Fiji</t>
  </si>
  <si>
    <t>Fiji Recovery and Resilience Budget Support Program</t>
  </si>
  <si>
    <t>Access to Quality Education Program, Fiji</t>
  </si>
  <si>
    <t>Nadi Flood Alleviation Project - Fiji - Water</t>
  </si>
  <si>
    <t>Kiribati</t>
  </si>
  <si>
    <t>The Kiribati Facility</t>
  </si>
  <si>
    <t>Kiribati Improved Basic Education</t>
  </si>
  <si>
    <t>Kiribati Infrastructure</t>
  </si>
  <si>
    <t>Kiribati Growth &amp; Economic Management</t>
  </si>
  <si>
    <t>Other (Climate related budget support)
Other (Banking and Financial Services) 
Other (Government and civil society)
Other (Fishing)</t>
  </si>
  <si>
    <t>51010
24010
15110
31310</t>
  </si>
  <si>
    <t>Marshall Islands</t>
  </si>
  <si>
    <t>RMI Partnership for Development</t>
  </si>
  <si>
    <t>Nauru</t>
  </si>
  <si>
    <t>Nauru airport preparatory works</t>
  </si>
  <si>
    <t>Transport</t>
  </si>
  <si>
    <t>Nauru Infrastructure and Services</t>
  </si>
  <si>
    <t>Energy
Transport</t>
  </si>
  <si>
    <t>23110
23230
21040</t>
  </si>
  <si>
    <t>Papua New Guinea</t>
  </si>
  <si>
    <t>PNG-AUS Transport Sector Support Program Phase 2</t>
  </si>
  <si>
    <t>Economic and Social Infrastructure Program</t>
  </si>
  <si>
    <t>Energy
Other (Communications)
Other (Social infrastructure and services)
Water and sanitation</t>
  </si>
  <si>
    <t>23110
22020
16050
14030</t>
  </si>
  <si>
    <t xml:space="preserve">Health Services Sector Development Program </t>
  </si>
  <si>
    <t>Other (Health and population)</t>
  </si>
  <si>
    <t>Private Sector and Rural Development</t>
  </si>
  <si>
    <t>Agriculture
Other (Banking and Financial Services) 
Other (Business and other services)</t>
  </si>
  <si>
    <t>31110
24010
25010</t>
  </si>
  <si>
    <t>Incentive Fund Phase IV 2015-2021</t>
  </si>
  <si>
    <t>Agriculture
Cross-cutting
Energy
Other (Education)
Other (Health and population)
Water and sanitation</t>
  </si>
  <si>
    <t>31161
43010
23220
11120
12230
12264
14030</t>
  </si>
  <si>
    <t>Climate Change Portfolio</t>
  </si>
  <si>
    <t>Connect PNG Roads - PNG - Transport</t>
  </si>
  <si>
    <t>Justice Services Stability for Development</t>
  </si>
  <si>
    <t>PNG Governance Facility</t>
  </si>
  <si>
    <t>Other (Business and other services)
Other (Government and civil society)</t>
  </si>
  <si>
    <t>25010
15126
15142
15150
15155</t>
  </si>
  <si>
    <t>Joint Understanding Technical Enabling Unit</t>
  </si>
  <si>
    <t>PNG Disaster Risk Reduction Program</t>
  </si>
  <si>
    <t>Papua New Guinea Ports Project</t>
  </si>
  <si>
    <t>PNG Food Futures Initiative</t>
  </si>
  <si>
    <t>Agriculture
Cross-cutting</t>
  </si>
  <si>
    <t>31191
43072</t>
  </si>
  <si>
    <t>PNG Electrification Investment - PNG - Energy</t>
  </si>
  <si>
    <t>Samoa</t>
  </si>
  <si>
    <t>Samoa Fiscal Resilience Program</t>
  </si>
  <si>
    <t>Markets for Change Program</t>
  </si>
  <si>
    <t>Education Sector Support Program (Samoa)</t>
  </si>
  <si>
    <t>11110
11220
11240
11330</t>
  </si>
  <si>
    <t xml:space="preserve">Samoa Parliament Complex Redevelopment </t>
  </si>
  <si>
    <t>Solomon Islands</t>
  </si>
  <si>
    <t>Solomon Islands Infrastructure Program</t>
  </si>
  <si>
    <t>Energy
Other (Communications)
Transport
Water and sanitation</t>
  </si>
  <si>
    <t>23110
22011
21011
14010</t>
  </si>
  <si>
    <t>Education Sector Support Program 2019-2023</t>
  </si>
  <si>
    <t>Solomon Islands Disaster Management and Climate Resilience</t>
  </si>
  <si>
    <t>74020
15110</t>
  </si>
  <si>
    <t>Strongim Bisnis - 2020-2023</t>
  </si>
  <si>
    <t>Agriculture
Other (Banking and Financial Services) 
Other (Business and other services)
Other (Tourism)</t>
  </si>
  <si>
    <t>31120
24010
25010
33210</t>
  </si>
  <si>
    <t>Solomon Islands Disaster Preparedness &amp; Response Activities</t>
  </si>
  <si>
    <t>74010
15110</t>
  </si>
  <si>
    <t>Solomon Islands Growth Program</t>
  </si>
  <si>
    <t>Cross-cutting
Other (Business and other services)
Other (Government and civil society)
Other (mineral resources and mining)</t>
  </si>
  <si>
    <t>43031
25010
15110
32210</t>
  </si>
  <si>
    <t>Strongim Bisnis 2020-2023</t>
  </si>
  <si>
    <t>Tonga</t>
  </si>
  <si>
    <t>Tonga Energy Roadmap</t>
  </si>
  <si>
    <t>Tonga Economic and Public Sector Reform Program</t>
  </si>
  <si>
    <t>15118
15125
15126
15131
15142
15151</t>
  </si>
  <si>
    <t>Skills for Inclusive Economic Growth (Tonga)</t>
  </si>
  <si>
    <t>Tonga Parliament Buildings Project (TPBP)</t>
  </si>
  <si>
    <t>Disaster Preparedness and Response</t>
  </si>
  <si>
    <t>Tonga Private Sector Development Support Program</t>
  </si>
  <si>
    <t>Tuvalu</t>
  </si>
  <si>
    <t>Fiji Program Support Facility: Australian Government Support to Tuvalu Education</t>
  </si>
  <si>
    <t>Cross-cutting
Other (Education)</t>
  </si>
  <si>
    <t>11110
11120</t>
  </si>
  <si>
    <t>Tuvalu Education Support Program</t>
  </si>
  <si>
    <t>Vanuatu</t>
  </si>
  <si>
    <t>Tropical Cyclone Harold Recovery Program</t>
  </si>
  <si>
    <t>Vanuatu Education Support Program Phase II</t>
  </si>
  <si>
    <t>Roads for Development Program Phase Two</t>
  </si>
  <si>
    <t>Vanuatu Skills for Economic Growth (phase IV)</t>
  </si>
  <si>
    <t>Wan Smolbag Theatre Community Partnership</t>
  </si>
  <si>
    <t>Vanuatu Health Program 2019-2022</t>
  </si>
  <si>
    <t>Governance for Growth (GfG) Phase 3</t>
  </si>
  <si>
    <t>Cross-cutting
Energy
Other (Business and other services)
Other (Government and civil society)
Other (Trade)</t>
  </si>
  <si>
    <t>43010
23110
25010
15111
15124
33110</t>
  </si>
  <si>
    <t>Volcano Recovery Program 2019-2022</t>
  </si>
  <si>
    <t>Tropical Cyclone Pam Recovery Package</t>
  </si>
  <si>
    <t>South Asia Water Security Initiative</t>
  </si>
  <si>
    <t>Sustainable Devt Investment Portfolio Phase 2</t>
  </si>
  <si>
    <t>Afghanistan</t>
  </si>
  <si>
    <t xml:space="preserve">Cross-cutting
</t>
  </si>
  <si>
    <t xml:space="preserve">Agriculture
</t>
  </si>
  <si>
    <t>Pakistan</t>
  </si>
  <si>
    <t>Pakistan Humanitarian Support</t>
  </si>
  <si>
    <t>Sri Lanka</t>
  </si>
  <si>
    <t>Resilience &amp; Humanitarian (previously: One SDG Fund)</t>
  </si>
  <si>
    <t>Australia - Mekong Water Facility</t>
  </si>
  <si>
    <t>Energy
Other (General environment protection)
Other (Government and civil society)
Water and Sanitation</t>
  </si>
  <si>
    <t>23110
41010
15110
15210
14010</t>
  </si>
  <si>
    <t>Supporting Mekong Architecture (Mekong River Commission) 2021-2025</t>
  </si>
  <si>
    <t>Other (Climate related budget support)
Energy
Other (General environment protection)
Other (Government and civil society)
Other (Fishing)
Water and Sanitation</t>
  </si>
  <si>
    <t>51010
23110
41010
15110
15210
31310
14010</t>
  </si>
  <si>
    <t>Mekong Regional Water Governance Program – Inclusion Project Phase II</t>
  </si>
  <si>
    <t>Energy
Other (General environment protection)
Other (Government and civil society)
Other (Fishing)
Water and Sanitation</t>
  </si>
  <si>
    <t>23110
41010
15110
31310
14010</t>
  </si>
  <si>
    <t>16010
16050</t>
  </si>
  <si>
    <t>ASEAN-Australia Smart Cities</t>
  </si>
  <si>
    <t xml:space="preserve">Cross-Cutting
</t>
  </si>
  <si>
    <t>Supporting Mekong River Commission and Mekong governments</t>
  </si>
  <si>
    <t>Other (Fishing)
Water and Sanitation</t>
  </si>
  <si>
    <t>14010
31382</t>
  </si>
  <si>
    <t xml:space="preserve">Program Management for Greater Mekong Water Resources Program </t>
  </si>
  <si>
    <t>Other (unspecified)</t>
  </si>
  <si>
    <t>Partnerships for Infrastructure</t>
  </si>
  <si>
    <t>Other (Government and civil society)
Transport</t>
  </si>
  <si>
    <t>15116
21011</t>
  </si>
  <si>
    <t>Cambodia</t>
  </si>
  <si>
    <t>Cambodia Agricultural Value Chain Program</t>
  </si>
  <si>
    <t>3i - Investing In Infrastructure</t>
  </si>
  <si>
    <t>Energy
Water and Sanitation</t>
  </si>
  <si>
    <t>23630
14021</t>
  </si>
  <si>
    <t>Indonesia</t>
  </si>
  <si>
    <t>Indonesia Infrastructure Program (KIAT) Phase 1</t>
  </si>
  <si>
    <t>Transport
Water and Sanitation</t>
  </si>
  <si>
    <t>21020
14021
14022</t>
  </si>
  <si>
    <t>Aust-Indo Partnership for Disaster Risk Management</t>
  </si>
  <si>
    <t>Palembang City Sewerage Project</t>
  </si>
  <si>
    <t>Australia - World Bank Indonesia Partnership (ABIP)</t>
  </si>
  <si>
    <t>Other (Government and civil society)
Other (Social infrastructure and services)</t>
  </si>
  <si>
    <t>15110
16010</t>
  </si>
  <si>
    <t>ADB Sustainable Infrastructure Assistance Program Phase 2 (SIAP 2)</t>
  </si>
  <si>
    <t>Cross-cutting
Energy
Other (Communications)
Transport
Water and sanitation</t>
  </si>
  <si>
    <t>43030
23110
22011
21010
14020</t>
  </si>
  <si>
    <t>AIP for Economic Development (Prospera)</t>
  </si>
  <si>
    <t>15111
15117
15142
15155</t>
  </si>
  <si>
    <t>AIP Rural Economic Development Program</t>
  </si>
  <si>
    <t>Transport
Water and sanitation</t>
  </si>
  <si>
    <t>Maritime Capacity Building Initiative</t>
  </si>
  <si>
    <t>Transport
Other (Fishing)</t>
  </si>
  <si>
    <t>21040
31020</t>
  </si>
  <si>
    <t>Pulse Lab Jakarta Phase II</t>
  </si>
  <si>
    <t>Promoting Rural Income thru Support in Agriculture</t>
  </si>
  <si>
    <t>Myanmar</t>
  </si>
  <si>
    <t>Philippines</t>
  </si>
  <si>
    <t>Advancing Multilateral Partnerships for Economic Development</t>
  </si>
  <si>
    <t xml:space="preserve">Other (Banking and Financial Services) </t>
  </si>
  <si>
    <t>SHIELD Against Disasters &amp; Climate Change Program</t>
  </si>
  <si>
    <t>Timor-Leste</t>
  </si>
  <si>
    <t>TOMAK - Farming for Prosperity (Timor-Leste)</t>
  </si>
  <si>
    <t>Market Development Facility in Timor-Leste</t>
  </si>
  <si>
    <t>Vietnam</t>
  </si>
  <si>
    <t>Aus4transport</t>
  </si>
  <si>
    <t>Australia World Bank Partnership Phase 2 (ABP2)</t>
  </si>
  <si>
    <t>Other Regional</t>
  </si>
  <si>
    <t>Digital Earth Africa Phase II</t>
  </si>
  <si>
    <t>Other (Social infrastructure and services)
Water and sanitation</t>
  </si>
  <si>
    <t>16062
14015</t>
  </si>
  <si>
    <t>Indian Ocean and IORA</t>
  </si>
  <si>
    <t>Other (Trade)</t>
  </si>
  <si>
    <r>
      <t xml:space="preserve">Abbreviations: </t>
    </r>
    <r>
      <rPr>
        <sz val="9"/>
        <rFont val="Times New Roman"/>
        <family val="1"/>
      </rPr>
      <t>ODA = official development assistance, OOF = other official flows.</t>
    </r>
  </si>
  <si>
    <r>
      <t xml:space="preserve">Notation keys: </t>
    </r>
    <r>
      <rPr>
        <sz val="9"/>
        <rFont val="Times New Roman"/>
        <family val="1"/>
      </rPr>
      <t>NA = not applicable; UA = information not available at the time of reporting; NR = not reported (to indicate the voluntary character of the information).</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</si>
  <si>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</si>
  <si>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</si>
  <si>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family val="1"/>
      </rPr>
      <t>Parties report in a separate table for each year, namely 20XX-3 and 20XX-2, where 20XX is the reporting year.</t>
    </r>
  </si>
  <si>
    <r>
      <t xml:space="preserve">c  </t>
    </r>
    <r>
      <rPr>
        <sz val="9"/>
        <color rgb="FF000000"/>
        <rFont val="Times New Roman"/>
        <family val="1"/>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</si>
  <si>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family val="1"/>
      </rPr>
      <t xml:space="preserve">To the extent possible. </t>
    </r>
  </si>
  <si>
    <r>
      <t xml:space="preserve">e  </t>
    </r>
    <r>
      <rPr>
        <sz val="9"/>
        <color rgb="FF000000"/>
        <rFont val="Times New Roman"/>
        <family val="1"/>
      </rPr>
      <t xml:space="preserve">If “other”, Parties should specify this information. </t>
    </r>
  </si>
  <si>
    <r>
      <t xml:space="preserve">f  </t>
    </r>
    <r>
      <rPr>
        <sz val="9"/>
        <color rgb="FF000000"/>
        <rFont val="Times New Roman"/>
        <family val="1"/>
      </rPr>
      <t>The face value and, on a voluntary basis, the grant-equivalent value.</t>
    </r>
  </si>
  <si>
    <r>
      <t xml:space="preserve">g  </t>
    </r>
    <r>
      <rPr>
        <sz val="9"/>
        <color rgb="FF000000"/>
        <rFont val="Times New Roman"/>
        <family val="1"/>
      </rPr>
      <t xml:space="preserve">Parties report, to the extent possible, the different amounts per financial instrument, if applicable and as available. </t>
    </r>
  </si>
  <si>
    <r>
      <t xml:space="preserve">h  </t>
    </r>
    <r>
      <rPr>
        <sz val="9"/>
        <color rgb="FF000000"/>
        <rFont val="Times New Roman"/>
        <family val="1"/>
      </rPr>
      <t xml:space="preserve">As available. </t>
    </r>
  </si>
  <si>
    <r>
      <rPr>
        <i/>
        <vertAlign val="superscript"/>
        <sz val="9"/>
        <color rgb="FF000000"/>
        <rFont val="Times New Roman"/>
        <family val="1"/>
      </rP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</si>
  <si>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family val="1"/>
      </rPr>
      <t>The region should be reported if data at the country level are not available.</t>
    </r>
  </si>
  <si>
    <r>
      <rPr>
        <i/>
        <vertAlign val="superscript"/>
        <sz val="9"/>
        <color rgb="FF000000"/>
        <rFont val="Times New Roman"/>
        <family val="1"/>
      </rP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</si>
  <si>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t>Custom footnotes:</t>
  </si>
  <si>
    <r>
      <rPr>
        <vertAlign val="superscript"/>
        <sz val="9"/>
        <rFont val="Times New Roman"/>
        <family val="1"/>
      </rPr>
      <t>(2)</t>
    </r>
    <r>
      <rPr>
        <sz val="9"/>
        <rFont val="Times New Roman"/>
        <family val="1"/>
      </rPr>
      <t xml:space="preserve"> </t>
    </r>
    <r>
      <rPr>
        <i/>
        <sz val="9"/>
        <rFont val="Times New Roman"/>
        <family val="1"/>
      </rPr>
      <t xml:space="preserve">The Australian financial year runs from 1 July to 30 June. Figures reported for 2021 are for the period 1 July 2020 to 30 June 2021. </t>
    </r>
  </si>
  <si>
    <r>
      <rPr>
        <vertAlign val="superscript"/>
        <sz val="9"/>
        <rFont val="Times New Roman"/>
        <family val="1"/>
      </rPr>
      <t>(3)</t>
    </r>
    <r>
      <rPr>
        <sz val="9"/>
        <rFont val="Times New Roman"/>
        <family val="1"/>
      </rPr>
      <t xml:space="preserve"> </t>
    </r>
    <r>
      <rPr>
        <i/>
        <sz val="9"/>
        <rFont val="Times New Roman"/>
        <family val="1"/>
      </rPr>
      <t>USD exchange rates are based on annual average currency conversion rates for the relevant financial year, published by the Australian Taxation Office (FY 2020-21: 0.7468).</t>
    </r>
  </si>
  <si>
    <r>
      <rPr>
        <vertAlign val="superscript"/>
        <sz val="9"/>
        <rFont val="Times New Roman"/>
        <family val="1"/>
      </rPr>
      <t>(4)</t>
    </r>
    <r>
      <rPr>
        <sz val="9"/>
        <rFont val="Times New Roman"/>
        <family val="1"/>
      </rPr>
      <t xml:space="preserve"> </t>
    </r>
    <r>
      <rPr>
        <i/>
        <sz val="9"/>
        <rFont val="Times New Roman"/>
        <family val="1"/>
      </rPr>
      <t xml:space="preserve">In FY 2020-21, 100% of Australia's climate finance contributions were grant-based.  </t>
    </r>
  </si>
  <si>
    <t>2022</t>
  </si>
  <si>
    <t>Community-based adaptation in South East Asia and Pacific Program implemented by GEF SGP/UNDP</t>
  </si>
  <si>
    <t>Agriculture
Cross-cutting
Energy
Forestry
Other (Disaster risk reduction)
Other (General environment protection)
Other (Government and civil society)
Water and sanitation
Other (Fishing)</t>
  </si>
  <si>
    <t>31120
31130
31140
43010
23231
31220
43060
41030
15170
14015
14030
31320</t>
  </si>
  <si>
    <t>Australian Humanitarian Partnership Phase II</t>
  </si>
  <si>
    <t>Anticipatory Action in the Asia Pacific</t>
  </si>
  <si>
    <t>74020
72050</t>
  </si>
  <si>
    <t>14010
14030
14081</t>
  </si>
  <si>
    <t>31120
31140
31162
31220
24040
43060
74020
11220
11230
11240
11330
41020
41081
15160
15170
15220
12220
12240
12250
12261
14030</t>
  </si>
  <si>
    <t>Health information and surveillance</t>
  </si>
  <si>
    <t>Other (General environment protection)
Other (Social infrastructure and services)</t>
  </si>
  <si>
    <t>41010
16010</t>
  </si>
  <si>
    <t>Commonwealth Climate Finance Access Hub</t>
  </si>
  <si>
    <t>Other (General environment protection)
Other (Government and civil society)</t>
  </si>
  <si>
    <t>41010
15111</t>
  </si>
  <si>
    <t>Agriculture
Cross-cutting
Industry
Other (Disaster risk reduction)
Other (Education)
Other (General environment protection)
Other (Government and civil society)
Water and sanitation</t>
  </si>
  <si>
    <t>31120
31165
31181
43040
32130
74020
11230
41081
15110
15111
15112
15150
15160
15170
15180
14030</t>
  </si>
  <si>
    <t>Agriculture
Cross-cutting
Other (Communications)
Other (Disaster risk reduction)
Other (Education)
Other (Government and civil society)
Other (Health and population)
Water and sanitation</t>
  </si>
  <si>
    <t>31120
43030
22040
43060
74020
11120
11220
11230
11231
11240
11320
11130
15112
15160
15170
15180
12240
12261
12264
13010
13020
14015
14030</t>
  </si>
  <si>
    <t>Applied Health Research</t>
  </si>
  <si>
    <t xml:space="preserve"> ASEAN-Pacific Detection and Response Program (APIDDaR)</t>
  </si>
  <si>
    <t>Industry
Other (Disaster risk reduction)
Other (Government and civil society)</t>
  </si>
  <si>
    <t>32130
43060
15160
15170
15180
15220</t>
  </si>
  <si>
    <t>Energy
Other (Communications)
Other (Disaster risk reduction)
Other (Education)
Other (Government and civil society)
Other (Health and population)
Other (Social infrastructure and services)</t>
  </si>
  <si>
    <t>23210
23230
22040
43060
74020
11220
11240
15150
15180
12240
12261
12264
16010
16050</t>
  </si>
  <si>
    <t>Agriculture
Other (Disaster risk reduction)
Other (Education)
Other (Emergency response and Reconstruction Relief) 
Other (Government and civil society)
Other (Health and population)
Other (Social infrastructure and services)</t>
  </si>
  <si>
    <t>31165
31166
43060
11240
11330
11130
72050
15170
12191
12220
12261
13030
16050</t>
  </si>
  <si>
    <t>43060
74020
15170</t>
  </si>
  <si>
    <t xml:space="preserve">Agriculture
Cross-cutting
Other (Banking and Financial Services) 
Other (Disaster risk reduction)
Other (Education)
Other (General environment protection)
Other (Government and civil society)
Other (Health and population)
Other (Social infrastructure and services)
Water and sanitation
Other (Unspecified) </t>
  </si>
  <si>
    <t>11120
11130
11220
11230
11231
11240
11330
12220
12261
12263
12281
12340
14030
14031
15150
15160
15170
15180
15220
16020
16050
24040
31120
31150
31161
and various 
other DAC codes
31166
41081
43010
43040
43060
43072
99810</t>
  </si>
  <si>
    <t>Agriculture
Cross-cutting
Other (Banking and Financial Services) 
Other (Disaster risk reduction)
Other (Education)
Other (Government and civil society)
Other (Health and population)
Water and sanitation</t>
  </si>
  <si>
    <t>31120
31161
31181
31195
43040
52010
24040
43060
11110
11120
11230
11231
11240
11330
15150
15160
15180
15220
12220
12240
14030</t>
  </si>
  <si>
    <t>Agriculture
Cross-cutting
Other (Disaster risk reduction)
Other (Education)
Other (Government and civil society)
Other (Health and population)
Other (Social infrastructure and services)
Water and sanitation</t>
  </si>
  <si>
    <t>31120
31166
43040
43081
43060
74020
11230
11231
15150
15160
15180
12220
12261
12264
13030
13020
16010
16020
16050
14030</t>
  </si>
  <si>
    <t>Other (General environment protection)
Other (Government and civil society)
Other (Fishing)</t>
  </si>
  <si>
    <t>41081
15170
31320</t>
  </si>
  <si>
    <t>Cross-cutting
Industry
Other (Disaster risk reduction)
Other (Social infrastructure and services)
Water and sanitation
Other (unspecified)</t>
  </si>
  <si>
    <t>43030
32130
43060
16040
16030
14030
14050
99810</t>
  </si>
  <si>
    <t>Direct Aid Program (DAP) 2021-22</t>
  </si>
  <si>
    <t>Agriculture
Cross-cutting
Energy
Industry
Other (Banking and Financial Services) 
Other (Communications)
Other (Education)
Other (Emergency response and Reconstruction Relief) 
Other (General environment protection)
Other (Government and civil society)
Other (Health and population)
Other (Social infrastructure and services)
Other (Trade)
Water and sanitation
Other (Fishing)</t>
  </si>
  <si>
    <t>11110
11120
11130
11182
11220
11230
11240
11330
12110
12181
12191
12220
12230
12240
12250
12261
12281
12340
12350
14030
14031
14032
15130
15136x
15150
and various 
other DAC codes
15153
15156
15160
15170
15180
15220
16020
16040
16061
16063
22040
23181
23183
23260
24040
31120
31140
31161
31181
31320
32140
33110
41010
41020
41030
41081
43010
43030
43040
52010
72010
73010</t>
  </si>
  <si>
    <t>Other (Disaster risk reduction)
Other (Education)
Other (Government and civil society)
Other (Health and population)
Other (Social infrastructure and services)
Water and sanitation</t>
  </si>
  <si>
    <t>43060
11110
11120
11220
11230
11231
11130
15160
15180
12220
12240
12261
13030
13020
16010
14031</t>
  </si>
  <si>
    <t>Agriculture
Cross-cutting
Energy
Industry
Other (Banking and Financial Services) 
Other (Disaster risk reduction)
Other (Education)
Other (Emergency response and Reconstruction Relief) 
Other (General environment protection)
Other (Government and civil society)
Other (Health and population)
Water and sanitation</t>
  </si>
  <si>
    <t>31120
43040
23183
32130
32140
24040
43060
11230
73010
41081
15160
15180
12264
14030
14081</t>
  </si>
  <si>
    <t>Agriculture
Cross-cutting
Other (Banking and Financial Services) 
Other (Business and other services)
Other (Communications)
Other (Education)
Other (Government and civil society)
Other (Health and population)
Other (Tourism)
Water and sanitation</t>
  </si>
  <si>
    <t>11330
12250
12261
12264
12281
12340
14030
15110
15150
15180
22040
24040
24081
25030
31120
31140
31150
31161
31166
31181
31191
33210
43010
43040
43050
43072</t>
  </si>
  <si>
    <t>Agriculture
Industry
Other (Education)
Other (Government and civil society)
Other (Health and population)
Other (Social infrastructure and services)
Water and sanitation</t>
  </si>
  <si>
    <t>31110
31120
31140
31161
31163
31166
31181
31192
32130
11230
15150
15180
12240
12261
12264
12350
13020
13081
16020
16080
14031
14032</t>
  </si>
  <si>
    <t>Industry
Other (General environment protection)
Water and sanitation</t>
  </si>
  <si>
    <t>32171
41081
14015
14030
14081
14032</t>
  </si>
  <si>
    <t>UN Women Core Contribution 2009-10 to 2021-22</t>
  </si>
  <si>
    <t>Enable: Expertise, workforce and support</t>
  </si>
  <si>
    <t>Uniting World</t>
  </si>
  <si>
    <t>Other (Banking and Financial Services) 
Other (Disaster risk reduction)
Other (Education)
Other (Government and civil society)
Other (Health and population)
Water and sanitation</t>
  </si>
  <si>
    <t>24040
43060
11220
11330
15150
15160
15180
12220
12261
12264
14030</t>
  </si>
  <si>
    <t>Agriculture
Cross-cutting
Industry
Other (General environment protection)
Other (Government and civil society)
Other (Health and population)
Water and sanitation</t>
  </si>
  <si>
    <t>31120
31166
31181
31192
43040
43072
32140
41081
15170
12250
12261
14030</t>
  </si>
  <si>
    <t>The Leprosy Mission Australia</t>
  </si>
  <si>
    <t>Other (Banking and Financial Services) 
Other (Government and civil society)
Other (Health and population)</t>
  </si>
  <si>
    <t>24040
15160
12250
12261
12264
12281</t>
  </si>
  <si>
    <t>Agriculture
Industry
Other (Banking and Financial Services) 
Other (Government and civil society)
Other (Health and population)</t>
  </si>
  <si>
    <t>31150
32130
24040
15160
15170
15180
12240
12261
13030
13040
12262</t>
  </si>
  <si>
    <t>UNICEF Australia</t>
  </si>
  <si>
    <t xml:space="preserve">Other (Education)
Other (Government and civil society)
Other (Health and population)
Other (Social infrastructure and services)
Water and sanitation
Other (Unspecified) </t>
  </si>
  <si>
    <t>11230
11231
11240
15112
15180
12110
12220
12230
12240
12261
12281
16010
16050
14030
99810</t>
  </si>
  <si>
    <t>Agriculture
Cross-cutting
Other (Business and other services)
Other (Disaster risk reduction)
Other (Education)
Other (Government and civil society)</t>
  </si>
  <si>
    <t>31181
43040
25030
74020
11110
11120
11220
11230
11260
15150
15160
15170</t>
  </si>
  <si>
    <t>Aus People for Health Edu and Development Abroad</t>
  </si>
  <si>
    <t>Agriculture
Other (Education)
Other (Government and civil society)
Other (Health and population)
Other (Social infrastructure and services)</t>
  </si>
  <si>
    <t>31120
11120
11240
11330
11420
15150
15151
15153
15160
15170
12110
12261
13040
16070</t>
  </si>
  <si>
    <t>Agriculture
Cross-cutting
Other (Education)
Other (Government and civil society)
Other (Health and population)
Water and sanitation</t>
  </si>
  <si>
    <t>31120
31150
31181
43040
11231
15150
15160
15170
15180
12220
12230
12261
12264
14030</t>
  </si>
  <si>
    <t>Agriculture
Industry
Other (Education)
Water and sanitation</t>
  </si>
  <si>
    <t>31120
31191
32140
11120
11220
11260
14030
14031
14081</t>
  </si>
  <si>
    <t>Private Infrastructure Development Group</t>
  </si>
  <si>
    <t>23210
22020
21010
21020
14021
14030</t>
  </si>
  <si>
    <t>14010
16010</t>
  </si>
  <si>
    <t>11110
11120
11130
11182
11220
11230
11240
11330
12110
12181
12191
12220
12230
12240
12250
12261
12281
12340
12350
14030
14031
14032
15130
15136
15150
and various 
other DAC codes
15153
15156
15160
15170
15180
15220
16020
16040
16061
16063
22040
23181
23183
23260
24040
31120
31140
31161
31181
31320
32140
33110
41010
41020
41030
41081
43010
43030
43040
52010
72010
73010</t>
  </si>
  <si>
    <t>Agriculture
Cross-cutting
Other (Disaster risk reduction)
Other (Disaster risk reduction)
Other (Education)
Other (Government and civil society)
Other (Health and population)
Other (Social infrastructure and services)
Water and sanitation</t>
  </si>
  <si>
    <t>Agriculture
Other (Business and other services)
Other (Education)
Other (General environment protection)</t>
  </si>
  <si>
    <t>31120
31166
31195
25020
11420
11430
41081</t>
  </si>
  <si>
    <t>Australian People for Health Education and Development Abroad</t>
  </si>
  <si>
    <t xml:space="preserve">Australian Red Cross Humanitarian Partnership 20-25 </t>
  </si>
  <si>
    <t>74020
72010</t>
  </si>
  <si>
    <t>UNHCR Multi Year Partnership Framework 2013-2022</t>
  </si>
  <si>
    <t>Agriculture
Cross-cutting
Energy
Forestry
Industry
Other (Banking and Financial Services) 
Other (Business and other services)
Other (Communications)
Other (Disaster risk reduction)
Other (Education)
Other (Emergency response and Reconstruction Relief) 
Other (General environment protection)
Other (Government and civil society)
Other (Health and population)
Other (Social infrastructure and services)
Other (Tourism)
Other (Trade)
Water and sanitation</t>
  </si>
  <si>
    <t>11110
11220
11320
11330
11420
12110
12220
12310
13030
14010
15110
15112
15130
15150
15160
15170
15180
15220
16010
16020
16050
16061
22010
23210
24010
and various 
other DAC codes
25010
31110
31120
31210
32110
33110
33210
41010
41030
43010
43040
43081
43082
72010
74010
74020</t>
  </si>
  <si>
    <t>11110
11120
11130
11182
11220
11230
11240
11330
12110
12181
12191
12220
12230
12240
12250
12261
12281
12340
12350
14030
14031
14032
15130
15136
15150
and various 
other DAC codes
15153
15156
15160
15170
15180
15220
16020
16040
16061
16063
22040
23181
23183
23260
24040
31120
31140
31161
31181
31320
32140
33110
41010
41020
41030
41081
43010
43030
43040
52010
72010
73010</t>
  </si>
  <si>
    <t>The New Humanitarian Partnership: 2019/20 - 2022/23</t>
  </si>
  <si>
    <t>Australia Awards Scholarships - 2017 intake</t>
  </si>
  <si>
    <t>Technical Assistance and Capacity Support</t>
  </si>
  <si>
    <t>Australia Awards Scholarships - 2022intake</t>
  </si>
  <si>
    <t>Agriculture
Cross-cutting
Other (Education)
Other (Health and population)
Other (Social infrastructure and services)
Water and sanitation</t>
  </si>
  <si>
    <t>31161
31166
31194
43040
43081
11230
12220
12261
13030
16010
14030</t>
  </si>
  <si>
    <t>Australia Awards Scholarships - 2021intake</t>
  </si>
  <si>
    <t>Multi-lateral</t>
  </si>
  <si>
    <t>Other (Disaster risk reduction)
Other (Government and civil society)s</t>
  </si>
  <si>
    <t>Pacific Women Lead</t>
  </si>
  <si>
    <t>Pacific Infectious Disease Prevention Program (PIDP)</t>
  </si>
  <si>
    <t>PIEMA Emergency Management Alliance-SPC</t>
  </si>
  <si>
    <t>Australia Pacific Partnerships Platform AusP3 - Smaller Pacific Countries</t>
  </si>
  <si>
    <t>Other (Government and civil society)
Other (Trade)</t>
  </si>
  <si>
    <t>15114
15117
33120</t>
  </si>
  <si>
    <t>Support for the Secretariat of the Pacific Regional Environment Programme</t>
  </si>
  <si>
    <t>Other (Climate related budget support)</t>
  </si>
  <si>
    <t>Pacific Community (SPC) and Government of Australia Partnership (2021-2023)</t>
  </si>
  <si>
    <t>AIFFP - Fiji Airports</t>
  </si>
  <si>
    <t>Concessional loan</t>
  </si>
  <si>
    <t>DFAT-IFC Fiji Partnership Phase II</t>
  </si>
  <si>
    <t>Fiji-Australia Climate Change Support Program</t>
  </si>
  <si>
    <t>Kiribati Disability Support Program</t>
  </si>
  <si>
    <t>Kiribati Infrastructure - 2021 to 2026</t>
  </si>
  <si>
    <t>Other (Social infrastructure and services)
Other (construction)</t>
  </si>
  <si>
    <t>16050
32310</t>
  </si>
  <si>
    <t>Economic Reform Program</t>
  </si>
  <si>
    <t>Priority Outcome 2: Kiribati Facility</t>
  </si>
  <si>
    <t>Other (Education)
Other (Health and population)
Other (Social infrastructure and services)</t>
  </si>
  <si>
    <t>11120
12220
16010</t>
  </si>
  <si>
    <t>Gender Development</t>
  </si>
  <si>
    <t>Priority Outcome 1: Improved Basic Education</t>
  </si>
  <si>
    <t>Micronesia, Federated States of</t>
  </si>
  <si>
    <t>FSM Partnership for Development</t>
  </si>
  <si>
    <t>11110
11220</t>
  </si>
  <si>
    <t>Energy
Transport
Water and sanitation</t>
  </si>
  <si>
    <t>23110
21040
14021</t>
  </si>
  <si>
    <t>Palau</t>
  </si>
  <si>
    <t>AIFFP - Palau Solar Pacific</t>
  </si>
  <si>
    <t xml:space="preserve">Mitigation </t>
  </si>
  <si>
    <t>PNG-AUS Transport Sector Support Program Ph 2</t>
  </si>
  <si>
    <t xml:space="preserve">PNG Ports Infrastructure </t>
  </si>
  <si>
    <t>NR</t>
  </si>
  <si>
    <t>Face Value of PNG Ports Infrastructure Loan is $31,343,283.60, Australia reports the grant equivalent amount of this sovereign loan</t>
  </si>
  <si>
    <t>Health Services Sector Development Program (HSSDP)</t>
  </si>
  <si>
    <t>PNG Bougainville Program 2022-2026</t>
  </si>
  <si>
    <t>Agriculture
Other (Government and civil society)
Other (Health and population)
Water and sanitation</t>
  </si>
  <si>
    <t>31110
31120
15112
15220
12261
14031
14032</t>
  </si>
  <si>
    <t>Australia-Papua New Guinea Economic Partnership</t>
  </si>
  <si>
    <t>Australia Awards Papua New Guinea (PNG)</t>
  </si>
  <si>
    <t>Education Sector Support Program II (ESSP II)</t>
  </si>
  <si>
    <t>Markets for Change (M4C) Program</t>
  </si>
  <si>
    <t>Samoa Parliament Complex Redevelopment Phase II: Legislative Assembly Office Redevelopment</t>
  </si>
  <si>
    <t>Health Sector Support Program  - Phase 3</t>
  </si>
  <si>
    <t>Addressing Gender Equality in Solomon Islands</t>
  </si>
  <si>
    <t>15160
15180</t>
  </si>
  <si>
    <t>Tonga Safe and Resilient Schools Project</t>
  </si>
  <si>
    <t>Tonga Central Pack-House Project (TCPP)</t>
  </si>
  <si>
    <t>Agriculture
Other (Business and other services)</t>
  </si>
  <si>
    <t>31120
25030</t>
  </si>
  <si>
    <t>Nuku'alofa Direct Aid Program</t>
  </si>
  <si>
    <t>Tonga Health Sector Support</t>
  </si>
  <si>
    <t>43081
11220</t>
  </si>
  <si>
    <t>Vanuatu Supreme Court Hall of Justice Building (HoJ)</t>
  </si>
  <si>
    <t>Vanuatu Australia Policing and Justice Program</t>
  </si>
  <si>
    <t>15131
15132</t>
  </si>
  <si>
    <t>Vanuatu Health Program 2019-2024</t>
  </si>
  <si>
    <t>Recovery Program 2019-2022</t>
  </si>
  <si>
    <t>14010
14015
14020</t>
  </si>
  <si>
    <t>South Asia Regional Infrastructure Connectivity</t>
  </si>
  <si>
    <t>Energy
Other (Communications)
Transport</t>
  </si>
  <si>
    <t>23110
22010
21010</t>
  </si>
  <si>
    <t>Jordan</t>
  </si>
  <si>
    <t>Livelihoods and Environmental Actions for Development</t>
  </si>
  <si>
    <t>14021
14081</t>
  </si>
  <si>
    <t>Nepal</t>
  </si>
  <si>
    <t>Water Governance Investment in Nepal</t>
  </si>
  <si>
    <t>Direct Aid Program Activities - Nepal</t>
  </si>
  <si>
    <t>Other (Education)
Other (Health and population)</t>
  </si>
  <si>
    <t>11110
12110</t>
  </si>
  <si>
    <t>Prevention of Human Trafficking &amp; Modern Day Slavery in Nepal</t>
  </si>
  <si>
    <t xml:space="preserve">Resilience &amp; Humanitarian </t>
  </si>
  <si>
    <t>Energy
Other (General environment protection)
Other (Government and civil society)
Water and sanitation</t>
  </si>
  <si>
    <t>Inclusive Water Governance and Strengthening Climate Resilience in the Mekong Region</t>
  </si>
  <si>
    <t>Energy
Other (General environment protection)
Other (Government and civil society)
Water and sanitation
Other (Fishing)</t>
  </si>
  <si>
    <t>23110
41010
15110
14010
31310</t>
  </si>
  <si>
    <t>Resilient Urban Centres and Surrounds</t>
  </si>
  <si>
    <t>Other (General environment protection)
Water and sanitation</t>
  </si>
  <si>
    <t>41010
14010</t>
  </si>
  <si>
    <t>Partnerships for Infrastructure (P4I)</t>
  </si>
  <si>
    <t>Supporting Mekong Architecture  - MRC</t>
  </si>
  <si>
    <t>Other (Climate related budget support)
Energy
Other (General environment protection)
Other (Government and civil society)
Other (Government and civil society)
Water and sanitation
Other (Fishing)</t>
  </si>
  <si>
    <t>51010
23110
41010
15110
15210
14010
31310</t>
  </si>
  <si>
    <t>FishTech: Integrating technical fisheries solutions into water development programs in the Mekong</t>
  </si>
  <si>
    <t>Agriculture
Other (General environment protection)
Other (Fishing)</t>
  </si>
  <si>
    <t>31140
41010
41030
41082
31320</t>
  </si>
  <si>
    <t>Animal Health Program</t>
  </si>
  <si>
    <t>Program Management for GMWRP</t>
  </si>
  <si>
    <t>Mekong Australia Partnership - Water, Energy and Climate: Think Tanks</t>
  </si>
  <si>
    <t>Energy
Water and sanitation</t>
  </si>
  <si>
    <t>UNDP Resilience Fund</t>
  </si>
  <si>
    <t>Other sectors</t>
  </si>
  <si>
    <t xml:space="preserve">ADB Sustainable Infrastructure Assistance Program Phase 2 </t>
  </si>
  <si>
    <t>Indonesia Infrastructure Program (KIAT) Phase 1 and 2</t>
  </si>
  <si>
    <t>Water and Sanitation
Transport</t>
  </si>
  <si>
    <t>Other (Fishing)
Transport</t>
  </si>
  <si>
    <t>21040
31320</t>
  </si>
  <si>
    <t>Response and Recovery Assistance to the Philippines</t>
  </si>
  <si>
    <t>Philippine Australia Scholarships &amp; Alumni Program</t>
  </si>
  <si>
    <t>Humanitarian Response in Timor-Leste</t>
  </si>
  <si>
    <t>Other (Emergency response and Reconstruction Relief) 
Other (Health and population)</t>
  </si>
  <si>
    <t>72010
72040
12264</t>
  </si>
  <si>
    <t>PARTISIPA - Partnership for Strengthening Village Development and Municipal Administration</t>
  </si>
  <si>
    <t>Submarine Cable - Timor-Leste - Telecommunications</t>
  </si>
  <si>
    <t>Other (Communications)</t>
  </si>
  <si>
    <t>Roads for Development - R4D</t>
  </si>
  <si>
    <t>Aus4Innovation</t>
  </si>
  <si>
    <t xml:space="preserve">EFA Loan - Lotus Vietnam Windfarm </t>
  </si>
  <si>
    <t>Non-concessional loan</t>
  </si>
  <si>
    <t>ACIAR: Climate Change Adaptation in African Agriculture</t>
  </si>
  <si>
    <t>Indian Ocean and IORA 2015-2022</t>
  </si>
  <si>
    <t>Agriculture
Cross-cutting
Water and sanitation</t>
  </si>
  <si>
    <t>31110
43031
14015</t>
  </si>
  <si>
    <t>Climate change short courses on adaptation and grid integration of renewable energy (Africa)</t>
  </si>
  <si>
    <t>Additional DAP Funding for Africa Posts</t>
  </si>
  <si>
    <t>Agriculture
Cross-cutting
Industry
Other (Banking and Financial Services) 
Other (Education)
Other (General environment protection)
Other (Government and civil society)
Other (Health and population)
Other (Social infrastructure and services)
Water and sanitation</t>
  </si>
  <si>
    <t>31120
31181
43040
32140
24040
11120
11182
11220
11240
11330
11130
41010
41020
41081
15113
15153
15160
12191
12220
12230
16061
14030
14031
14050
14032</t>
  </si>
  <si>
    <t>Australian Junior Professional Officer (JPO) positions in multilateral organisations in Africa</t>
  </si>
  <si>
    <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</si>
  <si>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</si>
  <si>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</si>
  <si>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r>
      <rPr>
        <vertAlign val="superscript"/>
        <sz val="9"/>
        <rFont val="Times New Roman"/>
        <family val="1"/>
      </rPr>
      <t>(2)</t>
    </r>
    <r>
      <rPr>
        <sz val="9"/>
        <rFont val="Times New Roman"/>
        <family val="1"/>
      </rPr>
      <t xml:space="preserve"> </t>
    </r>
    <r>
      <rPr>
        <i/>
        <sz val="9"/>
        <rFont val="Times New Roman"/>
        <family val="1"/>
      </rPr>
      <t xml:space="preserve">The Australian financial year runs from 1 July to 30 June. Figures reported for 2022 are for the period 1 July 2021 to 30 June 2022. </t>
    </r>
  </si>
  <si>
    <r>
      <rPr>
        <vertAlign val="superscript"/>
        <sz val="9"/>
        <rFont val="Times New Roman"/>
        <family val="1"/>
      </rPr>
      <t>(3)</t>
    </r>
    <r>
      <rPr>
        <sz val="9"/>
        <rFont val="Times New Roman"/>
        <family val="1"/>
      </rPr>
      <t xml:space="preserve"> </t>
    </r>
    <r>
      <rPr>
        <i/>
        <sz val="9"/>
        <rFont val="Times New Roman"/>
        <family val="1"/>
      </rPr>
      <t>USD exchange rates are based on annual average currency conversion rates for the relevant financial year, published by the Australian Taxation Office (FY 2021-22: 0.7258).</t>
    </r>
  </si>
  <si>
    <r>
      <rPr>
        <vertAlign val="superscript"/>
        <sz val="9"/>
        <rFont val="Times New Roman"/>
        <family val="1"/>
      </rPr>
      <t>(4)</t>
    </r>
    <r>
      <rPr>
        <i/>
        <sz val="9"/>
        <rFont val="Times New Roman"/>
        <family val="1"/>
      </rPr>
      <t xml:space="preserve"> In FY 2021-22, the majority of Australia's climate finance was grant-based. Australia also provided support to developing countries through loans (ODA and OOF) and by mobilising private sector investment. </t>
    </r>
  </si>
  <si>
    <t xml:space="preserve">TABLE III. 2  </t>
  </si>
  <si>
    <t>:a, b, c multilateral channels</t>
  </si>
  <si>
    <r>
      <t>Institution</t>
    </r>
    <r>
      <rPr>
        <i/>
        <vertAlign val="superscript"/>
        <sz val="9"/>
        <rFont val="Times New Roman"/>
        <family val="1"/>
      </rPr>
      <t>c</t>
    </r>
  </si>
  <si>
    <r>
      <t>Amount</t>
    </r>
    <r>
      <rPr>
        <i/>
        <vertAlign val="superscript"/>
        <sz val="9"/>
        <rFont val="Times New Roman"/>
        <family val="1"/>
      </rPr>
      <t xml:space="preserve"> c, d</t>
    </r>
  </si>
  <si>
    <r>
      <t>Recipient</t>
    </r>
    <r>
      <rPr>
        <i/>
        <vertAlign val="superscript"/>
        <sz val="9"/>
        <rFont val="Times New Roman"/>
        <family val="1"/>
      </rPr>
      <t>c, e, g</t>
    </r>
  </si>
  <si>
    <r>
      <t>Title of the project, programme, activity or other</t>
    </r>
    <r>
      <rPr>
        <i/>
        <vertAlign val="superscript"/>
        <sz val="9"/>
        <rFont val="Times New Roman"/>
        <family val="1"/>
      </rPr>
      <t>c, e, g, h</t>
    </r>
  </si>
  <si>
    <r>
      <t>Financial instrument</t>
    </r>
    <r>
      <rPr>
        <i/>
        <vertAlign val="superscript"/>
        <sz val="9"/>
        <rFont val="Times New Roman"/>
        <family val="1"/>
      </rPr>
      <t>c, i</t>
    </r>
  </si>
  <si>
    <r>
      <t>Sector</t>
    </r>
    <r>
      <rPr>
        <i/>
        <vertAlign val="superscript"/>
        <sz val="9"/>
        <rFont val="Times New Roman"/>
        <family val="1"/>
      </rPr>
      <t>c, g</t>
    </r>
  </si>
  <si>
    <r>
      <t>Subsector</t>
    </r>
    <r>
      <rPr>
        <i/>
        <vertAlign val="superscript"/>
        <sz val="9"/>
        <rFont val="Times New Roman"/>
        <family val="1"/>
      </rPr>
      <t>c, g</t>
    </r>
  </si>
  <si>
    <r>
      <t>Contribution to capacity-building objectives</t>
    </r>
    <r>
      <rPr>
        <i/>
        <vertAlign val="superscript"/>
        <sz val="9"/>
        <rFont val="Times New Roman"/>
        <family val="1"/>
      </rPr>
      <t>c, e, g</t>
    </r>
  </si>
  <si>
    <r>
      <t>Contribution to technology development and transfer objectives</t>
    </r>
    <r>
      <rPr>
        <i/>
        <vertAlign val="superscript"/>
        <sz val="9"/>
        <rFont val="Times New Roman"/>
        <family val="1"/>
      </rPr>
      <t>c, e, g</t>
    </r>
  </si>
  <si>
    <r>
      <t>Additional information</t>
    </r>
    <r>
      <rPr>
        <i/>
        <vertAlign val="superscript"/>
        <sz val="9"/>
        <rFont val="Times New Roman"/>
        <family val="1"/>
      </rPr>
      <t>l</t>
    </r>
  </si>
  <si>
    <r>
      <t xml:space="preserve">Inflows </t>
    </r>
    <r>
      <rPr>
        <i/>
        <vertAlign val="superscript"/>
        <sz val="9"/>
        <rFont val="Times New Roman"/>
        <family val="1"/>
      </rPr>
      <t>c, e</t>
    </r>
  </si>
  <si>
    <r>
      <t xml:space="preserve">Outflows </t>
    </r>
    <r>
      <rPr>
        <i/>
        <vertAlign val="superscript"/>
        <sz val="9"/>
        <rFont val="Times New Roman"/>
        <family val="1"/>
      </rPr>
      <t>c, e</t>
    </r>
  </si>
  <si>
    <r>
      <t>Core/general</t>
    </r>
    <r>
      <rPr>
        <i/>
        <vertAlign val="superscript"/>
        <sz val="9"/>
        <rFont val="Times New Roman"/>
        <family val="1"/>
      </rPr>
      <t>c, e, f</t>
    </r>
  </si>
  <si>
    <r>
      <t>Climate-specific</t>
    </r>
    <r>
      <rPr>
        <i/>
        <vertAlign val="superscript"/>
        <sz val="9"/>
        <rFont val="Times New Roman"/>
        <family val="1"/>
      </rPr>
      <t>e</t>
    </r>
  </si>
  <si>
    <t>Total contributions through multilateral channels</t>
  </si>
  <si>
    <t>1.  Adaptation Fund</t>
  </si>
  <si>
    <t>2.  African Development Bank</t>
  </si>
  <si>
    <t>3.  Asian Development Bank</t>
  </si>
  <si>
    <t>Core contributions</t>
  </si>
  <si>
    <t>Multilateral</t>
  </si>
  <si>
    <t>4. Capacity-building Initiative for transparency</t>
  </si>
  <si>
    <t>5. Climate Technology Centre and Network</t>
  </si>
  <si>
    <t>6.  European Bank for Reconstruction and Development</t>
  </si>
  <si>
    <t>7.  Global Environment Facility</t>
  </si>
  <si>
    <t>8.  Green Climate Fund</t>
  </si>
  <si>
    <t>9.  Inter-American Development Bank</t>
  </si>
  <si>
    <t>10.  International Finance corporation</t>
  </si>
  <si>
    <t>Equity</t>
  </si>
  <si>
    <t>11.  Least Developed Countries Fund</t>
  </si>
  <si>
    <t>12.  Special Climate Change Fund</t>
  </si>
  <si>
    <t>13.  Trust Fund for Supplementary Activities UNFCCC</t>
  </si>
  <si>
    <r>
      <t xml:space="preserve">14.  United Nations Development Programme </t>
    </r>
    <r>
      <rPr>
        <vertAlign val="superscript"/>
        <sz val="9"/>
        <color theme="1"/>
        <rFont val="Times New Roman"/>
        <family val="1"/>
      </rPr>
      <t>8</t>
    </r>
  </si>
  <si>
    <t>15.  United Nations Environment Programme</t>
  </si>
  <si>
    <t>16.  World Bank</t>
  </si>
  <si>
    <t>17.  Other</t>
  </si>
  <si>
    <t>- Consultative Group for International Agricultural Research: Multilateral Projects Window 2</t>
  </si>
  <si>
    <t>- United Nations Convention to Combat Desertification</t>
  </si>
  <si>
    <t>- United Nations Food and Agriculture Organization</t>
  </si>
  <si>
    <t>- International Bank for Reconstruction and Development</t>
  </si>
  <si>
    <t xml:space="preserve"> - Multilateral Fund for the Implementation of the Montreal Protocol</t>
  </si>
  <si>
    <t xml:space="preserve"> - Intergovernmental Panel on Climate Change</t>
  </si>
  <si>
    <t xml:space="preserve"> - UN Framework Convention on Climate Change</t>
  </si>
  <si>
    <t>Total</t>
  </si>
  <si>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</si>
  <si>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</si>
  <si>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family val="1"/>
      </rPr>
      <t>b</t>
    </r>
    <r>
      <rPr>
        <sz val="9"/>
        <color rgb="FF000000"/>
        <rFont val="Times New Roman"/>
        <family val="1"/>
      </rPr>
      <t xml:space="preserve">  Parties fill in a separate table for each year, namely 20XX-3 and 20XX-2, where 20XX is the reporting year.</t>
    </r>
  </si>
  <si>
    <r>
      <rPr>
        <i/>
        <vertAlign val="superscript"/>
        <sz val="9"/>
        <color rgb="FF000000"/>
        <rFont val="Times New Roman"/>
        <family val="1"/>
      </rPr>
      <t>c</t>
    </r>
    <r>
      <rPr>
        <sz val="9"/>
        <color rgb="FF000000"/>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</si>
  <si>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family val="1"/>
      </rPr>
      <t>d</t>
    </r>
    <r>
      <rPr>
        <sz val="9"/>
        <color rgb="FF000000"/>
        <rFont val="Times New Roman"/>
        <family val="1"/>
      </rPr>
      <t xml:space="preserve">  The face value and, on a voluntary basis, the grant-equivalent value.</t>
    </r>
  </si>
  <si>
    <r>
      <rPr>
        <i/>
        <vertAlign val="superscript"/>
        <sz val="9"/>
        <color rgb="FF000000"/>
        <rFont val="Times New Roman"/>
        <family val="1"/>
      </rPr>
      <t>e</t>
    </r>
    <r>
      <rPr>
        <sz val="9"/>
        <color rgb="FF000000"/>
        <rFont val="Times New Roman"/>
        <family val="1"/>
      </rPr>
      <t xml:space="preserve">  As applicable.</t>
    </r>
  </si>
  <si>
    <r>
      <rPr>
        <i/>
        <vertAlign val="superscript"/>
        <sz val="9"/>
        <color rgb="FF000000"/>
        <rFont val="Times New Roman"/>
        <family val="1"/>
      </rPr>
      <t>f</t>
    </r>
    <r>
      <rPr>
        <sz val="9"/>
        <color rgb="FF000000"/>
        <rFont val="Times New Roman"/>
        <family val="1"/>
      </rPr>
      <t xml:space="preserve">  This refers to support to multilateral institutions that Parties cannot specify as being climate-specific.</t>
    </r>
  </si>
  <si>
    <r>
      <rPr>
        <i/>
        <vertAlign val="superscript"/>
        <sz val="9"/>
        <color rgb="FF000000"/>
        <rFont val="Times New Roman"/>
        <family val="1"/>
      </rPr>
      <t>g</t>
    </r>
    <r>
      <rPr>
        <sz val="9"/>
        <color rgb="FF000000"/>
        <rFont val="Times New Roman"/>
        <family val="1"/>
      </rPr>
      <t xml:space="preserve">  As available.</t>
    </r>
  </si>
  <si>
    <r>
      <rPr>
        <i/>
        <vertAlign val="superscript"/>
        <sz val="9"/>
        <color rgb="FF000000"/>
        <rFont val="Times New Roman"/>
        <family val="1"/>
      </rPr>
      <t>h</t>
    </r>
    <r>
      <rPr>
        <sz val="9"/>
        <color rgb="FF000000"/>
        <rFont val="Times New Roman"/>
        <family val="1"/>
      </rPr>
      <t xml:space="preserve">  If “other”, Parties should specify this information.</t>
    </r>
  </si>
  <si>
    <r>
      <rPr>
        <i/>
        <vertAlign val="superscript"/>
        <sz val="9"/>
        <color rgb="FF000000"/>
        <rFont val="Times New Roman"/>
        <family val="1"/>
      </rPr>
      <t>i</t>
    </r>
    <r>
      <rPr>
        <sz val="9"/>
        <color rgb="FF000000"/>
        <rFont val="Times New Roman"/>
        <family val="1"/>
      </rPr>
      <t xml:space="preserve">  Parties report, to the extent possible, the different amounts per financial instrument, if applicable and as available.</t>
    </r>
  </si>
  <si>
    <r>
      <rPr>
        <i/>
        <vertAlign val="superscript"/>
        <sz val="9"/>
        <color rgb="FF000000"/>
        <rFont val="Times New Roman"/>
        <family val="1"/>
      </rPr>
      <t>j</t>
    </r>
    <r>
      <rPr>
        <sz val="9"/>
        <color rgb="FF000000"/>
        <rFont val="Times New Roman"/>
        <family val="1"/>
      </rPr>
      <t xml:space="preserve">  Region should be reported when data at country level is not available.</t>
    </r>
  </si>
  <si>
    <r>
      <rPr>
        <i/>
        <vertAlign val="superscript"/>
        <sz val="9"/>
        <color rgb="FF000000"/>
        <rFont val="Times New Roman"/>
        <family val="1"/>
      </rPr>
      <t>k</t>
    </r>
    <r>
      <rPr>
        <sz val="9"/>
        <color rgb="FF000000"/>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</si>
  <si>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family val="1"/>
      </rPr>
      <t>l</t>
    </r>
    <r>
      <rPr>
        <sz val="9"/>
        <color rgb="FF00000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</si>
  <si>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color rgb="FF000000"/>
        <rFont val="Times New Roman"/>
      </rPr>
      <t>(2)</t>
    </r>
    <r>
      <rPr>
        <sz val="9"/>
        <color rgb="FF000000"/>
        <rFont val="Times New Roman"/>
      </rPr>
      <t xml:space="preserve"> </t>
    </r>
    <r>
      <rPr>
        <i/>
        <sz val="9"/>
        <color rgb="FF000000"/>
        <rFont val="Times New Roman"/>
      </rPr>
      <t xml:space="preserve">The Australian financial year runs from 1 July to 30 June. Figures reported for 2021 are for the period 1 July 2020 to 30 June 2021. </t>
    </r>
  </si>
  <si>
    <r>
      <rPr>
        <vertAlign val="superscript"/>
        <sz val="9"/>
        <rFont val="Times New Roman"/>
        <family val="1"/>
      </rPr>
      <t>(4)</t>
    </r>
    <r>
      <rPr>
        <sz val="9"/>
        <rFont val="Times New Roman"/>
        <family val="1"/>
      </rPr>
      <t xml:space="preserve"> </t>
    </r>
    <r>
      <rPr>
        <i/>
        <sz val="9"/>
        <rFont val="Times New Roman"/>
        <family val="1"/>
      </rPr>
      <t>The amount of climate finance attributable to Australia’s multilateral core contributions was calculated using the imputed multilateral shares for climate development finance for 2021, published by the OECD.</t>
    </r>
  </si>
  <si>
    <t>Adaptation
Mitigation</t>
  </si>
  <si>
    <t>Adaptation
Mitigation
Cross-cutting</t>
  </si>
  <si>
    <r>
      <rPr>
        <vertAlign val="superscript"/>
        <sz val="9"/>
        <rFont val="Times New Roman"/>
        <family val="1"/>
      </rPr>
      <t>(4)</t>
    </r>
    <r>
      <rPr>
        <sz val="9"/>
        <rFont val="Times New Roman"/>
        <family val="1"/>
      </rPr>
      <t xml:space="preserve"> </t>
    </r>
    <r>
      <rPr>
        <i/>
        <sz val="9"/>
        <rFont val="Times New Roman"/>
        <family val="1"/>
      </rPr>
      <t>The amount of climate finance attributable to Australia’s multilateral core contributions was calculated using the imputed multilateral shares for climate development finance for 2022, published by the OECD.</t>
    </r>
  </si>
  <si>
    <t xml:space="preserve">TABLE  III.3 </t>
  </si>
  <si>
    <t>Information on financial support mobilized through public interventions under Article 9 of the Paris Agreement in year</t>
  </si>
  <si>
    <r>
      <t xml:space="preserve">Recipient </t>
    </r>
    <r>
      <rPr>
        <i/>
        <vertAlign val="superscript"/>
        <sz val="9"/>
        <rFont val="Times New Roman"/>
        <family val="1"/>
      </rPr>
      <t>c</t>
    </r>
  </si>
  <si>
    <r>
      <t>Title of the project programme, activity or other</t>
    </r>
    <r>
      <rPr>
        <i/>
        <vertAlign val="superscript"/>
        <sz val="9"/>
        <rFont val="Times New Roman"/>
        <family val="1"/>
      </rPr>
      <t>c, d</t>
    </r>
  </si>
  <si>
    <r>
      <t>Channel</t>
    </r>
    <r>
      <rPr>
        <i/>
        <vertAlign val="superscript"/>
        <sz val="9"/>
        <rFont val="Times New Roman"/>
        <family val="1"/>
      </rPr>
      <t xml:space="preserve"> c</t>
    </r>
  </si>
  <si>
    <r>
      <t>Amount mobilized</t>
    </r>
    <r>
      <rPr>
        <i/>
        <vertAlign val="superscript"/>
        <sz val="9"/>
        <rFont val="Times New Roman"/>
        <family val="1"/>
      </rPr>
      <t>c, e</t>
    </r>
  </si>
  <si>
    <r>
      <t xml:space="preserve">Amount of resources used to mobilize the support </t>
    </r>
    <r>
      <rPr>
        <i/>
        <vertAlign val="superscript"/>
        <sz val="9"/>
        <rFont val="Times New Roman"/>
        <family val="1"/>
      </rPr>
      <t>c</t>
    </r>
  </si>
  <si>
    <r>
      <t>Type of public intervention</t>
    </r>
    <r>
      <rPr>
        <i/>
        <vertAlign val="superscript"/>
        <sz val="9"/>
        <rFont val="Times New Roman"/>
        <family val="1"/>
      </rPr>
      <t>c, f</t>
    </r>
  </si>
  <si>
    <t>Type of support</t>
  </si>
  <si>
    <r>
      <t>Subsector</t>
    </r>
    <r>
      <rPr>
        <i/>
        <vertAlign val="superscript"/>
        <sz val="9"/>
        <rFont val="Times New Roman"/>
        <family val="1"/>
      </rPr>
      <t>c</t>
    </r>
  </si>
  <si>
    <r>
      <t>Additional information</t>
    </r>
    <r>
      <rPr>
        <i/>
        <vertAlign val="superscript"/>
        <sz val="9"/>
        <rFont val="Times New Roman"/>
        <family val="1"/>
      </rPr>
      <t>c, i</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</si>
  <si>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</si>
  <si>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</si>
  <si>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family val="1"/>
      </rPr>
      <t>b</t>
    </r>
    <r>
      <rPr>
        <sz val="9"/>
        <rFont val="Times New Roman"/>
        <family val="1"/>
      </rPr>
      <t xml:space="preserve">  Parties fill in a separate table for each year, namely 20XX-3 and 20XX-2, where 20XX is the reporting year.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</si>
  <si>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</si>
  <si>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</si>
  <si>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The face value and, on a voluntary basis, the grant-equivalent value, if applicable.</t>
    </r>
  </si>
  <si>
    <r>
      <rPr>
        <i/>
        <vertAlign val="superscript"/>
        <sz val="9"/>
        <rFont val="Times New Roman"/>
        <family val="1"/>
      </rPr>
      <t>f</t>
    </r>
    <r>
      <rPr>
        <sz val="9"/>
        <rFont val="Times New Roman"/>
        <family val="1"/>
      </rPr>
      <t xml:space="preserve">  Parties report, to the extent possible, the different amounts per financial instrument, if applicable and as available</t>
    </r>
  </si>
  <si>
    <r>
      <rPr>
        <i/>
        <vertAlign val="superscript"/>
        <sz val="9"/>
        <rFont val="Times New Roman"/>
        <family val="1"/>
      </rPr>
      <t>g</t>
    </r>
    <r>
      <rPr>
        <sz val="9"/>
        <rFont val="Times New Roman"/>
        <family val="1"/>
      </rPr>
      <t xml:space="preserve">  Region should be reported when data at country level is not available.</t>
    </r>
  </si>
  <si>
    <r>
      <rPr>
        <i/>
        <vertAlign val="superscript"/>
        <sz val="9"/>
        <rFont val="Times New Roman"/>
        <family val="1"/>
      </rPr>
      <t>h</t>
    </r>
    <r>
      <rPr>
        <sz val="9"/>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</si>
  <si>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family val="1"/>
      </rPr>
      <t>i</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</si>
  <si>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color theme="1"/>
        <rFont val="Times New Roman"/>
        <family val="1"/>
      </rPr>
      <t>(2)</t>
    </r>
    <r>
      <rPr>
        <i/>
        <sz val="9"/>
        <color theme="1"/>
        <rFont val="Times New Roman"/>
        <family val="1"/>
      </rPr>
      <t xml:space="preserve"> In FY 2020-21, 100% of Australia's climate finance contributions were grant-based. No private finance was mobilised until FY 2021-22. </t>
    </r>
  </si>
  <si>
    <t>Australian Climate Finance Partnership: private climate finance mobilised</t>
  </si>
  <si>
    <t>Forestry</t>
  </si>
  <si>
    <t>Private Finance Mobilised through Australian Climate Finance Partnership</t>
  </si>
  <si>
    <t>TABLE  III.4</t>
  </si>
  <si>
    <t>Information on support for technology development and transfer provided under Article 10 of the Paris Agreement</t>
  </si>
  <si>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</si>
  <si>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</si>
  <si>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</si>
  <si>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</si>
  <si>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Sector</t>
    </r>
    <r>
      <rPr>
        <i/>
        <vertAlign val="superscript"/>
        <sz val="9"/>
        <rFont val="Times New Roman"/>
        <family val="1"/>
      </rPr>
      <t>b</t>
    </r>
  </si>
  <si>
    <r>
      <t>Subsector</t>
    </r>
    <r>
      <rPr>
        <i/>
        <vertAlign val="superscript"/>
        <sz val="9"/>
        <rFont val="Times New Roman"/>
        <family val="1"/>
      </rPr>
      <t>b</t>
    </r>
  </si>
  <si>
    <r>
      <t>Type of technology</t>
    </r>
    <r>
      <rPr>
        <i/>
        <vertAlign val="superscript"/>
        <sz val="9"/>
        <rFont val="Times New Roman"/>
        <family val="1"/>
      </rPr>
      <t>b</t>
    </r>
  </si>
  <si>
    <r>
      <t>Status of measure or activity</t>
    </r>
    <r>
      <rPr>
        <i/>
        <vertAlign val="superscript"/>
        <sz val="9"/>
        <rFont val="Times New Roman"/>
        <family val="1"/>
      </rPr>
      <t>b</t>
    </r>
  </si>
  <si>
    <r>
      <t>Activity undertaken by</t>
    </r>
    <r>
      <rPr>
        <i/>
        <vertAlign val="superscript"/>
        <sz val="9"/>
        <rFont val="Times New Roman"/>
        <family val="1"/>
      </rPr>
      <t>b</t>
    </r>
  </si>
  <si>
    <r>
      <t>Additional information</t>
    </r>
    <r>
      <rPr>
        <i/>
        <vertAlign val="superscript"/>
        <sz val="9"/>
        <rFont val="Times New Roman"/>
        <family val="1"/>
      </rPr>
      <t>e</t>
    </r>
  </si>
  <si>
    <t>INN760 - The Australian Science &amp; Technology for Climate Partnerships enables leading Australian scientific and academic institutions to implement innovative climate ideas at a local level for possible replication and scale up in driving practical climate action and enhancing recognition of Australia's role in this area. It focuses on the Indo-Pacific. The investment enables Australian Government agencies and universities to drive a climate smart recovery in the region through climate innovation, adaptation, resilience and mitigation projects.</t>
  </si>
  <si>
    <t>Science and Technology - various (water filtration, Agricultural technology, solar-driven thermodiffusion etc)</t>
  </si>
  <si>
    <t>Ongoing</t>
  </si>
  <si>
    <t>Public Sector</t>
  </si>
  <si>
    <t>Digital financial services, e-commerce</t>
  </si>
  <si>
    <t xml:space="preserve">INM424 - The Australia Pacific Climate Partnership (APCP) ensured Australian aid investments across the Pacific were climate informed, that Australian supported climate change information were relevant and influential, and that Australia was valued as a partner in climate action in the Pacific. It aimed to achieve this through a range of activities including continued investment in climate science, support for climate data informed adaptation and mitigation activities, and investments in climate governance and gender mainstreaming. </t>
  </si>
  <si>
    <t>Meteorology, tidal gauges</t>
  </si>
  <si>
    <t>Completed</t>
  </si>
  <si>
    <t xml:space="preserve">INN156 -  Activities contributed to building the capacity of developing countries in the Pacific to better manage their coral reefs. Activities sought to be innovative, including the use of innovative technology, to enhance developing country capabilities to gather and assess information on coral reef resilience and inform appropriate management actions based on these assessments. Activities included training to reef managers, scientists, and other users in developing countries on the operation and application of the Reef Cloud platform, to better report reef cover and health; assist policy and decision makers in developing countries to analyse and monitor information to enhance resilience-based coral reef management; and support Pacific regional organisations to access better data to inform decision making on reef protection and management. 
</t>
  </si>
  <si>
    <t xml:space="preserve">Marine science, Digital technology "Reef Cloud" </t>
  </si>
  <si>
    <t>INM591 - The Pacific Food Security initiative aimed to improve the resilience, productivity, and sustainability of the agricultural and food sector to economic, social, and environmental shocks. It assisted smallholders to transform the way they grow and access food including improved nutrition – to develop more resilient and sustainable food systems. This initiative comprised a portfolio of activities to support resilient agriculture in the Pacific.</t>
  </si>
  <si>
    <t>Affordable climate smart technologies and designs including raised wicking garden beds, Food Cubes, composting techniques and a mix of other technologies appropriate to each country to support food production and consumption</t>
  </si>
  <si>
    <t xml:space="preserve">INM531 - At COP23, Australia announced an initiative to support efforts to protect and manage blue carbon ecosystems in the Pacific. It aims to strengthen blue carbon expertise and data in the Pacific; support the integration of blue carbon into national greenhouse gas accounting and climate policy; and encourage investment in blue carbon restoration and conservation projects. Blue carbon ecosystems are important in the Pacific. They have long been recognised for their ability to provide protection from extreme weather events, mitigate against impacts of rising sea levels and provide for food security and sustainable livelihoods. Increasingly, the carbon value of the ecosystems is also being recognised. Despite growing global awareness of their importance, climate change and human-induced factors continue to threaten these ecosystems, potentially undermining community resilience, economic opportunities and livelihoods in the Pacific. 
</t>
  </si>
  <si>
    <t xml:space="preserve">GHG accounting technology </t>
  </si>
  <si>
    <t xml:space="preserve">INN422 - The Nadi Flood Alleviation Project (NFAP) seeks to mitigate future damage to the Fijian economy and livelihoods from floods in the commercial centre of Nadi town and on the Nadi flood plain. Funding under this investment (Component C of NFAP) comprised the watershed management and upstream flood mitigation required to address residual flood risk, including sediment management infrastructure, catchment land use management measures, awareness, forecasting and warning. </t>
  </si>
  <si>
    <t>Technology relating to watershed management, sediment management, and flood alleviation</t>
  </si>
  <si>
    <t xml:space="preserve">INI949 - The Nauru Infrastructure and Services Partnership supported the Government of Nauru strategies for reform of the utilities sector and essential infrastructure and services with an emphasis on: improving the reliability and cost effectiveness of power and water services, through more effective governance, maintenance and cost recovery arrangements; increasing use of renewable forms of energy and clean water capture, particularly at household level and public buildings; and supporting maintenance and provision of essential infrastructure and services. Under the initiative Nauru's electricity and water production facilities have been fully refurbished resulting in more reliable 24 hour power supply for around 1,600 homes and business and water production met around 80% of the island's needs. </t>
  </si>
  <si>
    <t>Mitigation
Cross-cutting</t>
  </si>
  <si>
    <t>Transport
Energy
Water and Sanitation</t>
  </si>
  <si>
    <t>Technology related to the maintenance of power and water utilities</t>
  </si>
  <si>
    <t>INN475 - This investment captured the portfolio of activities in the energy sector financed under the Australian Infrastructure Financing Facility for the Pacific (AIFFP) and contributed to the Papua New Guinea Electrification Partnership (PEP). The AIFFP PEP portfolio supported Papua New Guinea’s ambitious economic growth and development aspirations to connect 70% of its population to electricity and achieve 100% renewable energy by 2030.</t>
  </si>
  <si>
    <t>Technology related to electrification projects</t>
  </si>
  <si>
    <t>INK605 - Australia's investment in the Tonga Energy Roadmap (TERM), Outer Island Renewable Energy Project (OIREP) and Nuku'alofa Network Upgrade Project (NNUP) supported Tonga's TERM goals and renewable energy targets, with a focus on reducing dependence on costly fossil fuels/diesel for power generation, particularly in remote, outer islands. Infrastructure upgrades also ensured a safer and climate resilient power network.</t>
  </si>
  <si>
    <t>Construction of Solar Photovoltaic (PV) power plants on 8 outer islands</t>
  </si>
  <si>
    <t xml:space="preserve">INK238 - The Disaster Preparedness and Response Program enabled the Tonga Red Cross to preposition and distribute disaster response supplies, contribute to the building of a society warehouse in Eua, deliver emergency response and first aid training and equip schools with first aid kits. The program also provided, in agreement with the Government of Tonga (on behalf of Tonga Meteorological Services) staff training and development, specialist equipment and a weather monitoring station on 'Eua. Assistance to the National Emergency Management Office (NEMO) was also provided under this investment through funding of a shared warehouse to house NEMO's supplies as well as funding of an international logistics specialist that was based in NEMO. </t>
  </si>
  <si>
    <t>Specialist equipment and a weather monitoring station for Tonga Meteorological Services</t>
  </si>
  <si>
    <t>Supporting Mekong Architecture - Mekong  River Commission (MRC)</t>
  </si>
  <si>
    <t xml:space="preserve">INN683 - This investment has two activities both supporting Mekong River Commission 1) Australia's contribution to MRC's basket fund to implement its USD60 million five-year strategic plan 2021-2025 and 2) eWater's technical support to MRC. This investment enhances rules-based and transparent transboundary cooperation in the Mekong subregion. The investment is supporting stability of the subregion by protecting established regional governance norms and strengthening regional architecture for building longer-term resilience. </t>
  </si>
  <si>
    <t>Technology relating to water resource management</t>
  </si>
  <si>
    <t>INN898 - This investment was one of the nine activities under the Mekong-Australia Partnership - Water, Energy, Climate (MAP-WEC). It built on a program of ACIAR work which demonstrated that technical solutions mitigate impacts of water infrastructure development on fisheries and provide lasting economic and social benefits for river communities. This investment upscaled, and scaled out, adoption of technology that integrates fish passes into existing and new water infrastructure. Australia commissioned CSU to implement a program from 2022-2025 to 1) establish demonstration sites in Laos and Cambodia, 2) build capacity in fish passage integration into irrigation programs, 3) support policy development and influence of government agencies to mandate developers to better-consider fish passage integration into river development planning and policy, and 4) facilitate regional engagement and advocacy.</t>
  </si>
  <si>
    <t>Technology relating to fisheries management</t>
  </si>
  <si>
    <t>INM567 -  Promoting Rural Income thru Support in Agriculture (PRISMA-2) was the second phase of the successful Australia Indonesia Partnership for Rural Economic Development (AIP-Rural) program (2013-2018). PRISMA-2 aimed to increase the incomes of an additional 700,000 smallholder farming households by 30% by December 2023 in the six provinces of Papua, West Papua, West Nusa Tenggara, East Nusa Tenggara, East Java, and Central Java. At least 60% of the beneficiaries consisted of farmers living below USD2.5 per day at PPP (Purchasing Power Parity). PRISMA-2 continued to use the market systems development approach in the areas of agriculture, horticulture, livestock, and aquaculture sectors to stimulate systemic market change and improve smallholder farmer competitiveness through access to new markets, better inputs, know-how and technology. A total of 1 million smallholder farming households benefited as a result of Australia’s 10 year investment in the AIP-Rural and PRISMA-2.</t>
  </si>
  <si>
    <t>Program works with private sector seed companies to promote technology transfer to smallholder farmers of high yielding rice varieties, which have various beneficial characteristics like drought tolerance, pest resistance or are suitable for mechanical harvesting.</t>
  </si>
  <si>
    <t>INN133 - This investment funded Phase II of Digital Earth Africa. It expanded the African Regional Data Cube (ARDC) pilot program into a fully operational, continent-wide data and information infrastructure platform. Phase II converted 30 years of satellite remote sensing data into ready-to-use data (data that has been pre-processed to allow it to be used for immediate analysis) for a wide range of users. It also provided basic analytical tools to access the ready-to-use data and build capacity to access and manage the data within African institutions. It also helped some development stakeholders, including businesses, governments, NGOs, research and academic institutions and multilaterals, to develop applications that utilise the platform’s data. The UN Economic Commission for Africa (UNECA) in Addis Ababa hosted Digital Earth Africa which is now accessible by agencies from the more than 50 African countries. The Platform was developed by Geoscience Australia.</t>
  </si>
  <si>
    <t xml:space="preserve">Digital technology that converts satellite remote sensing data and analytical tools. </t>
  </si>
  <si>
    <t xml:space="preserve">INJ561 - Australia's bilateral aid program in the Republic of the Marshall Islands focuses on three strategic objectives: increasing access to clean water and sanitation through activities such as improving water and sewerage services on Ebeye Island, Kwajalein Atoll, and Majuro Atoll; strengthening education systems through placement of technical advisers to help the Public School System (PSS) with its broader reform program; and improving the lives of women and girls through support to Women United Together Marshall Islands (WUTMI). The aid in Ebeye was being implemented in partnership with the Asian Development Bank and the RMI Government, and included a new reverse osmosis plant to produce larger quantities of fresh water, reduced leakage in the freshwater pipe network, a new sewage outfall pipe and other improvements in the sewage system, improvements in the electrical supply system, and a long-term hygiene awareness and behaviour change program.  </t>
  </si>
  <si>
    <t xml:space="preserve">Technology relating to water resources management including a reverse osmosis plant. </t>
  </si>
  <si>
    <t>INM616 - The SHIELD (Strengthening Institutions and Empowering Localities Against Disasters and Climate Change) Program investment covered the development and implementation of a new disaster and climate resilience investment in the Philippines.
The investment targeted the subnational level, with strategic engagement at the national level, and contributed to developing more disaster and climate resilient institutions and communities to save lives, protect investments and economic gains, and contribute to stability.</t>
  </si>
  <si>
    <t>Technology related to disaster resilience</t>
  </si>
  <si>
    <r>
      <rPr>
        <i/>
        <vertAlign val="superscript"/>
        <sz val="9"/>
        <rFont val="Times New Roman"/>
        <family val="1"/>
      </rPr>
      <t>a</t>
    </r>
    <r>
      <rPr>
        <sz val="9"/>
        <rFont val="Times New Roman"/>
        <family val="1"/>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</si>
  <si>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family val="1"/>
      </rPr>
      <t>b</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</si>
  <si>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c</t>
    </r>
    <r>
      <rPr>
        <sz val="9"/>
        <rFont val="Times New Roman"/>
        <family val="1"/>
      </rPr>
      <t xml:space="preserve">  If “other”, Parties should specify this information.</t>
    </r>
  </si>
  <si>
    <r>
      <rPr>
        <i/>
        <vertAlign val="superscript"/>
        <sz val="9"/>
        <rFont val="Times New Roman"/>
        <family val="1"/>
      </rPr>
      <t>d</t>
    </r>
    <r>
      <rPr>
        <sz val="9"/>
        <rFont val="Times New Roman"/>
        <family val="1"/>
      </rPr>
      <t xml:space="preserve">  This refers to activities that have both mitigation and adaptation components.</t>
    </r>
  </si>
  <si>
    <r>
      <rPr>
        <i/>
        <vertAlign val="superscript"/>
        <sz val="9"/>
        <rFont val="Times New Roman"/>
        <family val="1"/>
      </rPr>
      <t>e</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</si>
  <si>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family val="1"/>
      </rPr>
      <t>(2)</t>
    </r>
    <r>
      <rPr>
        <sz val="9"/>
        <rFont val="Times New Roman"/>
        <family val="1"/>
      </rPr>
      <t xml:space="preserve"> </t>
    </r>
    <r>
      <rPr>
        <i/>
        <sz val="9"/>
        <rFont val="Times New Roman"/>
        <family val="1"/>
      </rPr>
      <t>The list of tagged investments is not exhaustive as capacity building and technology transfer are integrated across Australia's development assistance.</t>
    </r>
  </si>
  <si>
    <t>TABLE III. 5</t>
  </si>
  <si>
    <r>
      <t>Information on capacity-building support provided under Article 11 of the Paris Agreement</t>
    </r>
    <r>
      <rPr>
        <b/>
        <vertAlign val="superscript"/>
        <sz val="12"/>
        <rFont val="Times New Roman"/>
        <family val="1"/>
      </rPr>
      <t xml:space="preserve"> a</t>
    </r>
  </si>
  <si>
    <r>
      <t>Additional information</t>
    </r>
    <r>
      <rPr>
        <i/>
        <vertAlign val="superscript"/>
        <sz val="9"/>
        <rFont val="Times New Roman"/>
        <family val="1"/>
      </rPr>
      <t>d</t>
    </r>
  </si>
  <si>
    <t>INI691 - Water and Sanitation Initiative (WSI) Global Programming was an initiative to fund global and regional water, sanitation and hygiene programs delivered through multilateral partners. The purpose of the funding was to widen the geographical focus and impact of water programs; complement activities funded bilaterally; and to work with multilateral partners to improve aid effectiveness, build partner capacity and enhance knowledge management. It also contributed to DFAT's support to SDG 6 to achieve access to safe and affordable drinking water and adequate and equitable sanitation and hygiene for all, especially the needs of vulnerable women and girls and other vulnerable populations. This investment funded multilateral partners including the World Bank; the World Health Organization and the Sanitation and Water for All Partnership (SWA).</t>
  </si>
  <si>
    <t>INJ201 - Fisheries Development Assistance in the Pacific formed part of a long-standing, coordinated investment by Australia to support implementation of the region’s Framework for a Pacific Oceanscape, endorsed by Pacific Island Forum Leaders, including Australia, in 2010. The investment aimed to: increase the contribution of fisheries to reducing poverty and achieving sustainable development by strengthening institutional frameworks, policies and plans, and fostering partnerships; establish jurisdictional rights and responsibilities over maritime zones by formalising maritime boundaries; reclaim stewardship of the ocean as core to Pacific Island livelihoods through integrated coastal resource management, marine spatial planning, and managing high seas resources and deep sea ecosystems; and sought opportunities to adapt to, and mitigate, the impacts of climate change, climate variability, sea level rise, extreme events and environmental and economic change.</t>
  </si>
  <si>
    <t>INJ561 - Australia's bilateral aid program in the Republic of the Marshall Islands focused on three strategic objectives: increasing access to clean water and sanitation, through activities such as improving water and sewerage services on Ebeye Island, Kwajalein Atoll, and Majuro Atoll; strengthening education systems through placement of technical advisers to help the Public School System (PSS) with its broader reform program; and improving the lives of women and girls through support to Women United Together Marshall Islands (WUTMI). The aid in Ebeye was implemented in partnership with the Asian Development Bank and the RMI Government, and included a new reverse osmosis plant to produce larger quantities of fresh water, reduced leakage in the freshwater pipe network, a new sewage outfall pipe and other improvements in the sewage system, improvements in the electrical supply system, and a long-term hygiene awareness and behaviour change program.  On Majuro Atoll, technical advisors worked with the Majuro Water and Sewer Company to further develop it services.</t>
  </si>
  <si>
    <t xml:space="preserve">INK081 - Australia’s support to Papua New Guinea’s transport sector was delivered through the Papua New Guinea-Australia Transport Sector Support Program (TSSP). TSSP commenced in 2007 as a 15-20 year commitment to support the Government of Papua New Guinea to achieve a well-maintained transport infrastructure network. Funds under this investment provided capacity building and technical assistance for governance, providing support services for the transport sector coordination body (TSCMIC) and Secretariat, policy advice, strategic direction, financial and procurement oversight for the program, monitoring and evaluation. Activities were implemented through the Asian Development Banks's Building Resilience to Climate Change in Papua New Guinea Program (BRCC) and Climate Proofing and Connectivity Improvement of the Alotau Provincial Wharf project. </t>
  </si>
  <si>
    <t>INL001 - The World Bank Pacific Facility IV (PF4) multi-donor trust fund aimed to assist in shaping and accelerating economic growth and poverty reduction in the Pacific region by increasing access to the World Bank’s (the Bank) resources and expertise. PF4 objectives aim to support the drivers of growth including, infrastructure development, telecommunications, private sector, aviation safety, community services, electricity, fisheries management, access to finance, participation by women, health and education. The PF4 was designed to support implementation of flexible earmarked projects aligned with Australian Government policy. With the addition of Nauru, the Bank has 12 Pacific Island member countries (FSM, Fiji, Kiribati, Palau, PNG, RMI, Samoa, Solomon Islands, Tonga, Tuvalu and Vanuatu), the majority of which are extremely remote, have limited capacity to manage major projects and are highly vulnerable to shocks, particularly natural disasters. Using a single trust fund to resource a range of activities and expertise across all of these countries reduced transaction costs for the Bank, Australia and Pacific island governments. Further, the Bank’s convening power and strong trust fund systems allowed it to manage large-scale projects in remote and challenging environments.</t>
  </si>
  <si>
    <t xml:space="preserve">INL594 - The Sustainable Development Investment Portfolio Phase 2 (SDIP2) sought to improve the integrated management of water, food and energy in South Asia, especially addressing climate risks and the interests of women and girls. The investment focused on the three major transboundary Himalayan river basins – the Indus, Ganges and Brahmaputra – covering parts of India, Pakistan, Nepal, Bangladesh and Bhutan.  SDIP2 is the second four-year phase of an intended 12 year engagement, which recognises that many of the critical interventions required for improving the integrated management of the water, energy and food at the basin level will require sustained engagement to build regional cooperation and capacity over time. </t>
  </si>
  <si>
    <t xml:space="preserve">INL645 - Grow Asia was developed by the World Economic Forum as a multi-stakeholder partnership platform. It aimed to bring together the private-sector, governments, civil society, research and academia, farmers' groups and international donors to increase the scale and impact of agribusiness ventures in the ASEAN region.  This funding represents Australia's support Grow Asia's activities in the ASEAN region. </t>
  </si>
  <si>
    <t xml:space="preserve">INL878 - The Economic and Social Infrastructure Program (ESIP) aims to improve the prioritisation, quality, and sustainability of infrastructure investment in PNG. The Program works in different subsectors at the project, sectoral and national levels.  It leverages project-level activities to create opportunities for deeper engagement in sector-wide planning and policy, and enables the identification and resolution of broader national level policy, financing and planning reforms and partnerships necessary for sustained long term change. The Program aimed to influence change across these levels through the following key mechanisms: project management, budget and financing advisory services; technical assistance and capacity development for improved planning and prioritisation; and high level engagement in support of institutional and regulatory reform, including in renewable energy, and in sectors that impact adaptation and mitigation policies and physical infrastructure.  </t>
  </si>
  <si>
    <t>INM155 - The Australian Humanitarian Partnership (AHP) was delivered by Australian NGOs, CARE Australia, Caritas Australia, Oxfam Australia, Plan International Australia, Save the Children Australia and World Vision Australia. The goal of the AHP was to save lives, alleviate suffering and enhance human dignity during and in the aftermath of conflict, disasters and other humanitarian crises, as well as to strengthen capacity to prepare for and recover from the occurrence of such situations.  Additionally, the AHP sought to strengthen collaboration and innovation to support local communities to take a leadership role in preparedness, response, early recovery, risk reduction and resilience efforts.</t>
  </si>
  <si>
    <t>Climate and Agriculture - Rural livelihood benefits from carbon trading options in Pacific agroforestry systems (Papua New Guinea)</t>
  </si>
  <si>
    <t>INM205 - This investment supported improved climate resilience in small holder agriculture (focusing on PNG and the Pacific) and investigated opportunities for smallholders that may arise from climate mitigation. This project explored the viability of carbon sequestration and trading as an approach to increasing income for smallholder coffee and cocoa farmers. The project was designed as an action learning activity, with a case study project established to trade carbon with smallholder farmers and an agribusiness buyer. This approach may have potential to be extended to other tree crops in PNG like citrus, avocado, gallup nuts and coconut. The project built on an earlier pilot research project conducted by ANU on carbon accumulation in coffee in PNG. This project researched and refined the baseline estimates of carbon sequestration rates in coffee systems and planned to expand the activities to examine the prospect of establishing carbon offsets and sequestration credits with smallholder cocoa farmers.</t>
  </si>
  <si>
    <t xml:space="preserve">INM241 - Empower Women, Impact Climate: Climate Change Negotiations Skills for Women in the Pacific was a multi-year, multi-tiered training and travel support program to train women leaders and build the capacity of twelve Pacific Islands nations' delegations to advocate for just climate policies. By training participants in diplomacy and negotiation skills, teaching advanced knowledge of the climate change negotiations, contributing to the development of leadership skills, providing connections and networking with other women leaders, and supporting participants as part of their national delegations, this program enabled women leaders from the Pacific, at the frontlines of climate impacts, to also serve effectively on the frontlines of climate change policy-making and implementation.  </t>
  </si>
  <si>
    <t xml:space="preserve">INM247 - The Australian Volunteers Program provides effective contribution to development through Australian volunteers supporting organisations in developing countries to achieve their development goals. Individual Australians contribute by undertaking assignments in a range of developing countries, helping to build capacity in host organisations which focus on meeting development needs across sectors such as health, education, rural development, climate, and law and justice. </t>
  </si>
  <si>
    <t>Adaptation
Mitigation
Cross-Cutting</t>
  </si>
  <si>
    <t>INM405 - The need for effective and rules-based water governance in the Greater Mekong region has never been so apparent.  Economic growth, future quality of life and regional stability are strongly linked to the choices made by countries on how to share, develop and manage water to produce food and energy, maintain vital ecosystems and sustain livelihoods. This Facility provided government to government line of cooperation, offering a responsive, nimble and flexible mechanism for Australia to further enhance our existing water-related partnerships with the governments of the region. The overall goal of the Facility was to enhance rules-based governance for water, food and energy security in the Greater Mekong region.</t>
  </si>
  <si>
    <t>INM424 - The Australia Pacific Climate Partnership (APCP) aimed to ensure Australian aid investments across the Pacific were climate informed, that Australian supported climate change information that is relevant and influential, and that Australia is a valued as a partner in climate action in the Pacific. It aimed to achieve this through a range of activities including continued investment in climate science, support for climate data informed adaptation and mitigation activities, and investments in climate governance and gender mainstreaming.</t>
  </si>
  <si>
    <t>INM460 - Funding under the Climate Change Portfolio investment aimed to enhance resilience of PNG communities and of critical social and economic infrastructure. In support of this goal, this investment had three main components; small grants for NGOs; capacity development and support; and an adaptation program.</t>
  </si>
  <si>
    <t>Cross-cutting
Adaptation</t>
  </si>
  <si>
    <t>INM531 - At COP23, Australia announced an initiative to support efforts to protect and manage blue carbon ecosystems in the Pacific. It aimed to strengthen blue carbon expertise and data in the Pacific; support the integration of blue carbon into national greenhouse gas accounting and climate policy; and encourage investment in blue carbon restoration and conservation projects.  
Blue carbon ecosystems are important in the Pacific. They have long been recognised for their ability to provide protection from extreme weather events, mitigate against impacts of rising sea levels and provide for food security and sustainable livelihoods. Increasingly, the carbon value of the ecosystems is also being recognised. Despite growing global awareness of their importance, climate change and human-induced factors continue to threaten these ecosystems, potentially undermining community resilience, economic opportunities and livelihoods in the Pacific.</t>
  </si>
  <si>
    <t xml:space="preserve">INM591 - The Pacific Food Security initiative aimed to improve the resilience, productivity, and sustainability of the agricultural and food sector to economic, social, and environmental shocks. It assisted smallholders to transform the way they grow and access food including improved nutrition – to develop more resilient and sustainable food systems. This initiative comprised a portfolio of activities to support resilient agriculture in the Pacific. The activity included the Atoll Food Futures Initiatives which aimed to build a holistic approach to food production and healthy lifestyles. The program conducted training and demonstrations with households on compost making, natural pest protection, seed saving, nutrition, food preservation and cooking techniques. To encourage climate-smart gardening for the whole community, this training was often conducted with schools, labourers and project stakeholders using community and demonstration gardens that are accessible to all. This worked towards creating food resilience for as many people as possible. </t>
  </si>
  <si>
    <t xml:space="preserve">INM616 - The SHIELD (Strengthening Institutions and Empowering Localities Against Disasters and Climate Change) Program investment covered the development and implementation of a new disaster and climate resilience investment in the Philippines. The investment was targeted at the subnational level, with strategic engagement at the national level, and contributed to developing more disaster and climate resilient institutions and communities to save lives, protect investments and economic gains, and contribute to stability. The program involved collaborative arrangements between Australian and Philippine scientific agencies and institutions to share skills and build capabilities and systems for developing climate projections, modelling and impact forecasting, as well as hazard risk assessments; and to improve the accessibility of this information for provinces, LGUs, and communities. Improving accessibility of technical and scientific information addressed the recognised difficulty facing local planners in preparing meaningful plans and actions on resilience to climate change and natural hazards. </t>
  </si>
  <si>
    <t>INM620 - The purpose of PHAMA Plus was to contribute to improved economic growth and improved rural livelihoods for Pacific peoples. PHAMA Plus built on the successes of PHAMA to support selected Pacific Island countries to increase the quantity and quality of their agricultural, horticultural and cultural exports in ways that benefit producers, exporters and importers. PHAMA Plus had three end-of-program outcomes: 
1. Producers and exporters use maintained and new export market access for Pacific export products; 
2. Women and men exporters, processors and producers adopt quality and productivity enhancing innovations for their export products; 
3. Women and men staff of Pacific biosecurity authorities perform their export markets access facilitation functions better.</t>
  </si>
  <si>
    <t xml:space="preserve">INN031 - The ASEAN Australia Smart Cities initiative (AASCI) supported ASEAN Member States to develop city systems in smart and sustainable ways. This investment supported a new partnership with the ADB for a ASEAN Australia Smart Cities Trust Fund (AASCTF). The expected outcome of the AASCTF was that: through the adoption and adaptation of digital solutions, systems and governance in participating ASEAN cities. </t>
  </si>
  <si>
    <t>INN037 - P4I’s goal was to contribute to ‘quality infrastructure development that drives inclusive growth in Southeast Asia’. The end-of-investment outcome was ‘improved decision-making towards quality infrastructure underpinned by strong government-to-government partnerships’. 
P4I had three focus areas: planning and prioritisation of projects; implementation support for public infrastructure procurement; and sector policy and regulation. Climate change, gender equality and social inclusion are integrated throughout. 
P4I was delivered via four linked approaches: a quick response mechanism with high calibre advisers to provide advice at short notice to Southeast Asian governments and regional institutions; long term engagement through government-to-government partnerships; technical assistance that supplements and supports government to government partnerships; and regional networking and learning to bring together Australian experts with Southeast Asian counterparts.</t>
  </si>
  <si>
    <t>INN133 - DE Africa provided a routine, reliable and operational service, using Earth observations to deliver decision-ready products enabling policy makers, scientists, the private sector and civil society to address social, environmental and economic changes on the continent and develop an ecosystem for innovation across sectors. This investment funded Phase II of Digital Earth Africa. It expanded the African Regional Data Cube (ARDC) pilot program into a fully operational, continent-wide data and information infrastructure platform. Phase II converted 30 years of satellite remote sensing data into ready-to-use data (data that had been pre-processed to allow it to be used for immediate analysis) for a wide range of users. It also provided basic analytical tools to access the ready-to-use data and build capacity to access and manage the data within African institutions. It also helped some development stakeholders, including businesses, governments, NGOs, research and academic institutions and multilaterals, to develop applications that ustilise the platform’s data. The UN Economic Commission for Africa (UNECA) in Addis Ababa hosted Digital Earth Africa which is accessible by agencies from the more than 50 African countries. The Platform was developed by Geoscience Australia.</t>
  </si>
  <si>
    <t xml:space="preserve">INN156 - Activities contributed to building the capacity of developing countries in the Pacific to better manage their coral reefs. Activities were innovative, including the use of innovative technology, to enhance developing country capabilities to gather and assess information on coral reef resilience and inform appropriate management actions based on these assessments. Activities included training to reef managers, scientists, and other users in developing countries on the operation and application of the Reef Cloud platform, to better report reef cover and health; assist policy and decision makers in developing countries to analyse and monitor information to enhance resilience-based coral reef management; and support Pacific regional organisations to access better data to inform decision making on reef protection and management. </t>
  </si>
  <si>
    <t xml:space="preserve">INN158 - This investment supported implementation of the Pacific Ocean Litter Project (POLP), which aimed to assist the Secretariat of the Pacific Regional Environment Program (SPREP) to coordinate implementation of the Pacific Action Plan for Marine Litter 2018-2025, and build the capacity of Pacific Island Countries (PICs) to plan and successfully implement measures to curb marine litter. Support was delivered through technical assistance aimed at assisting PICs to reduce single-use plastics from ‘household litter’ and ‘take-away food and beverage containers’. The long-term outcome of the project was to reduce plastic litter within the coastal and ocean environments of PICs’ Exclusive Economic Zones by reducing the availability of single-use plastics. </t>
  </si>
  <si>
    <t xml:space="preserve">INN369 - The Papua New Guinea (PNG) Food Futures Initiative supported a number of rural development activities in agriculture and food security. It included a broad spectrum of activities aimed at connecting smallholder farmers to markets and creating more efficient agricultural value chains. Activities included support to women in agriculture, digital agriculture solutions, data collection and policy support and capacity building, agricultural education in schools, nutrition, and horticulture, poultry and aquaculture value chain development. The initiative partnered with a range of Papua New Guinean, Australian and International organisations and personnel. </t>
  </si>
  <si>
    <t>INN464 - This investment built on the Mekong Inclusion Project Phase I (2014/15-2019/20) that was implemented by Oxfam Australia. It supported civil society partners, women leaders and communities in Cambodia, Laos, Myanmar, Thailand and Vietnam and at the regional level, to engage with and influence governments, inter-governmental bodies and the private sector in water resource governance, planning and development. Using the tools and experience from IP1, IP2 worked more directly with private sectors, financiers and governments to enhance accountability in the hydropower sector but also broadened the activities to include community engagement in policy discussions on alternative energy sources. Furthermore, supporting CSOs, communities and women leaders in raising their awareness and strengthening their capacity to effectively engage with state and private sector actors contribute to Australia’s values in promoting open dialogue, prosperity and enhancing stability.</t>
  </si>
  <si>
    <t>INN466 - The Australian Climate Finance Partnership (ACFP) is an Australian Government initiative to mobilise private sector investment in low emission, climate-resilient solutions for the Pacific and Southeast Asia.  The ACFP supports a range of financial instruments (debt, equity, guarantees) using the principle of minimum concessionality to crowd-in private sector finance, reducing climate emissions, increasing a partner country’s resilience, empowering women, and improving the investment environment for additional private climate finance.</t>
  </si>
  <si>
    <t xml:space="preserve">INN515 - The Solomon Islands Disaster Management and Climate Resilience investment supported the Solomon Islands Government to ensure the National Disaster Management Office (NDMO) and provincial authorities to prepare for and respond to disasters and COVID-19. The program aimed to strengthen the United Nations Development Program (UNDP) to provide sustained technical disaster preparedness and respond support to Solomon Islands and increased climate and disaster resilience in select communities, including in Malaita province. </t>
  </si>
  <si>
    <t>Adaptation
Cross-cutting</t>
  </si>
  <si>
    <t>INN652 - Building Pacific Capacity (BPaC) is a mechanism to provide responsive, flexible implementation support for DFAT governance and stability initiatives in smaller Pacific countries, particularly Kiribati Nauru and Tuvalu. AusP3 will contribute to a broad range of bilateral development priorities, including climate change, mutually agreed in partnership between Australia and each relevant partner government.</t>
  </si>
  <si>
    <t>INN683 - This investment had two activities both supporting Mekong River Commission 1) Australia's contribution to MRC's basket fund to implement its USD60 million five-year strategic plan 2021-2025 and 2) eWater's technical support to MRC. The key expected outcome of this investment was enhanced rules-based and transparent transboundary cooperation in the Mekong subregion. The investment supported stability of the subregion by seeking to protect established regional governance norms and strengthen regional architecture for building longer-term resilience.</t>
  </si>
  <si>
    <t xml:space="preserve">INN752 - Scaling up existing nature based solutions and trialling new innovative approaches via a challenge fund, this initiative demonstrates the sustainability of nature based solutions for climate livelihood outcomes in the Pacific and Asia. </t>
  </si>
  <si>
    <t>INN755 - This investment covered a series of short courses in Energy, Adaptation and Ocean Plastics. The Energy courses were ran initially in SE Asia while the Adaptation courses focused on the Pacific.</t>
  </si>
  <si>
    <t>INN846 - The investment supported the delivery of short course on Grid Integration and Renewable Energy through the co-funding arrangement of existing agreement with the Australian National University managed by Climate Innovation and Investment Section (CIIS).</t>
  </si>
  <si>
    <t>INN876 - The investment was designed to support a network of knowledge-based policy influence organisations that would advance locally led research and policy dialogues on critical water, energy, and climate issues in the Mekong subregion. The investment also worked toward building the capacity of the next generation of thought leaders, through research fellowships and knowledge events.</t>
  </si>
  <si>
    <t>INN898 - This investment is one of the nine activities under the Mekong-Australia Partnership - Water, Energy, Climate (MAP-WEC). It builds on a program of ACIAR work which demonstrated that technical solutions mitigate impacts of water infrastructure development on fisheries and provided lasting economic and social benefits for river communities. This investment aims to upscale, and scale out, adoption of technology that integrates fish passes into existing and new water infrastructure. The program is 1) establishing demonstration sites in Laos and Cambodia , 2) building capacity in fish passage integration into irrigation programs, 3) supporting policy development and influence of government agencies to mandate developers to better-consider fish passage integration into river development planning and policy, and 4) facilitate regional engagement and advocacy.</t>
  </si>
  <si>
    <t xml:space="preserve">INN909 - The Private Infrastructure Development Group (PIDG) mobilised private sector investment to assist developing countries in providing infrastructure vital to boosting their economic growth, and combating poverty. Contributions from Australia were through the PIDG Trust to support InfraCo Asia and GuarantCo. InfraCo Asia is a company funded by donors that aimed to stimulate greater private investment in South and Southeast Asian infrastructure development by acting as a principal project developer, focusing on lower income countries. GuarantCo is a company funded by donors that provided local currency guarantees to local or regional banks and bond investors to enable infrastructure projects to raise medium and long-term debt finance. Both companies are subsidiary facilities of the PIDG. InfraCo Asia's and GuarantCo's portfolio address climate mitigation. </t>
  </si>
  <si>
    <t>INN911 - A World Bank lead design that delivered improved climate resilient infrastructure in Tongan schools and education capacity system strengthening.</t>
  </si>
  <si>
    <t xml:space="preserve">INN919 - The Australian Humanitarian Partnership (AHP) was delivered by Australian NGOs CARE Australia, Caritas Australia, Oxfam Australia, Plan International Australia, Save the Children Australia and World Vision Australia. The goal of the AHP was to save lives, alleviate suffering and enhance human dignity during and in the aftermath of conflict, disasters and other humanitarian crises, as well as to strengthen capacity to prepare for and recover from the occurrence of such situations. Additionally, the AHP sought to strengthen collaboration and innovation to deliver effective humanitarian assistance and support local communities to take a leadership role in preparedness, response, early recovery, risk reduction and resilience efforts. </t>
  </si>
  <si>
    <t>INN924 - Over 2009 to 2020, with financial support and partnership from DFAT, the Small Grants Programme (SGP), which is supported by the Global Environment Facility and implemented by the UNDP, implemented the Mekong-Asia-Pacific (MAP CBA) and SIDS Community Based Adaptation Programmes (SIDS CBA). The programmes support 237 projects in 41 countries including 37 SIDS through: building resilience and improve the adaptive capacity of local communities to the adverse impacts of climate change, across priority landscapes, and contextualize these initiatives within COVID-19 recovery efforts; scaling up CBA and locally led adaptation practices at local and national levels and integrate CBA within national planning and development processes. The goals of the CBA programme will support three programme-level outcomes: empowering and capacity strengthening of local communities and Civil Society Organisations for designing, implementing and sustaining community-based adaptation measures- with a strong focus on social inclusion (gender, youth, Indigenous Peoples and persons with disabilities); mainstreaming CBA practices at the local and national levels, through innovative approaches built on traditional knowledge; transferring knowledge for broader adoption of CBA and locally led approaches for scaling up and replication purposes, through multi-stakeholder dialogue platforms at local and national levels.</t>
  </si>
  <si>
    <t>INN952 - Developed technical and financial capacities that enabled smaller, less well off and more rural communities to secure their water supplies and improve their agricultural production through financing for climate programming in the face of climate change, while also improving the overall efficiency of accessing financial markets/digital service and sustaining their livelihoods on a long-term basis. LEAD was a pilot project that sought to be scalable and replicable in other rural communities that were in the wake of water scarcity.</t>
  </si>
  <si>
    <t>INN995 - DFAT has been a long standing supporter of the Commonwealth Climate Finance Access Hub (CCFAH) since it was incepted at CHOGM in 2015. Support has been provided to support small and vulnerable states in the Commonwealth to address capacity gaps that hinder access to international sources of climate finance. The new proposal supported an existing Indo-Pacific Regional Advisor and Tonga National advisor, and installed new advisors for Nauru, Kiribati, Tuvalu, and Sri Lanka and established a new role ‘CCFAH Knowledge Officer’</t>
  </si>
  <si>
    <t>Scholarship Awards</t>
  </si>
  <si>
    <t>Australia has  various scholarships and award programs - broadly collected under  "Australia Awards". These programs provided scholarships for individuals from developing country partners to advance professional and academic skills through tertiary study both in Australia and in their home countries. Funding was provided for a range of long-term scholarships, short courses, fellowships and other forms of training for current and emerging leaders and influencers, alongside strategic engagement with alumni. This sought to allow recipients to return home with new ideas and knowledge, and the ability to make a significant contribution to their home countries as leaders in their field. A proportion of Australia Awards program funding was related to climate, environmental management, resilience and adaptation. ( INM083, INM608, INN296, INN622, INN784, INM313, INM023, INL420)</t>
  </si>
  <si>
    <t>INK238 - The Disaster Preparedness and Response Program enabled the Tonga Red Cross to preposition and distribute disaster response supplies, contribute to the building of a society warehouse in Eua, deliver emergency response and first aid training and equip schools with first aid kits. The program also provided, in agreement with the Government of Tonga (on behalf of Tonga Meteorological Services) staff training and development, specialist equipment and a weather monitoring station on 'Eua. Assistance to the National Emergency Management Office (NEMO) was also provided under this investment through funding of a shared warehouse to house NEMO's supplies as well as funding of an international logistics specialist that was based in NEMO. The total value of this investment was AUD1.7 m over 7 years</t>
  </si>
  <si>
    <r>
      <rPr>
        <i/>
        <vertAlign val="superscript"/>
        <sz val="9"/>
        <rFont val="Times New Roman"/>
        <family val="1"/>
      </rPr>
      <t>a</t>
    </r>
    <r>
      <rPr>
        <sz val="9"/>
        <rFont val="Times New Roman"/>
        <family val="1"/>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</si>
  <si>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family val="1"/>
      </rPr>
      <t>c</t>
    </r>
    <r>
      <rPr>
        <sz val="9"/>
        <rFont val="Times New Roman"/>
        <family val="1"/>
      </rPr>
      <t xml:space="preserve">  This refers to activities that have both mitigation and adaptation components.</t>
    </r>
  </si>
  <si>
    <r>
      <rPr>
        <i/>
        <vertAlign val="superscript"/>
        <sz val="9"/>
        <rFont val="Times New Roman"/>
        <family val="1"/>
      </rPr>
      <t>d</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</si>
  <si>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i/>
        <vertAlign val="superscript"/>
        <sz val="9"/>
        <rFont val="Times New Roman"/>
        <family val="1"/>
      </rPr>
      <t>(6)</t>
    </r>
    <r>
      <rPr>
        <i/>
        <sz val="9"/>
        <rFont val="Times New Roman"/>
        <family val="1"/>
      </rPr>
      <t xml:space="preserve"> Due to data sensitivities, some descriptive information has not been reported</t>
    </r>
  </si>
  <si>
    <t>Multi-Sector and General Development Support 1</t>
  </si>
  <si>
    <t xml:space="preserve">INN612 - The United Nations Capital Development Fund (UNCDF) Pacific Programme Investment focuses on digital economy development and climate and disaster risk insurance. It consists of two sub-programmes, the Pacific Digital Economies Programme (PDEP) and the Pacific Insurance and Climate Adaptation Programme (PICAP) and builds on the digital financial services and inclusive insurance work that began under the Pacific Financial Inclusion Programme. The goal of the UNCDF Pacific Programme is to develop innovative and inclusive regional programmes that allow rural communities, women and MSMEs, as well as labour mobility workers to enhance market participation and effectively better manage risks, resulting in poverty reduction, improved livelihoods and economic growth. </t>
  </si>
  <si>
    <t xml:space="preserve">Mitigation
</t>
  </si>
  <si>
    <t xml:space="preserve">INM271 - The Pacific Islands Emergency Management Alliance (PIEMA) aimed to strengthen emergency preparedness and response capabilities of key national agencies in the Pacific through professional twinning partnerships between Australian and New Zealand state-based emergency services and Pacific governments. PIEMA oversight was provided by the Pacific Community (SPC) and co-financed by Australia and New Zealand. It was expected that PIEMA would increase interoperability between Pacific countries by introducing standardisation to incident management systems across the region.  The program also aimed to provide some rigour around capacity development activities undertaken by fire and emergency services in the Pacific to strengthen the capacity of first responders to disaster, including responses to cyclones, tsunamis and other climate-induced extreme weather events. </t>
  </si>
  <si>
    <t>Australian Centre for International Agricultural Research</t>
  </si>
  <si>
    <t>Technology related to climate-resilient agriculture and sustainable fisheries management</t>
  </si>
  <si>
    <t xml:space="preserve">The Australian Centre for International Agricultural Research (ACIAR) works with international partners to foster and implement global research collaborations that support development in agriculture, fisheries and forestry. Their climate change research and capacity development projects progress the science and practice of how to effectively pursue adaptation, mitigation and climate-resilient development in agriculture and rural livelihoods. For example, in the reporting period ACIAR, in cooperation with national research partners, supported community-based fisheries management and community-led food systems transformation in the Pacific, and trialled and implemented fisheries technology in Southeast Asia to protect fishing livelihoods and boost river health and food security. An activity in the Mekong Delta also increased the production and profitability of saline-affected crop production systems. ACIAR has supported more than 1,500 agricultural research for development projects over 40 years, with more than 400 partners in 40 different countries. 
</t>
  </si>
  <si>
    <t xml:space="preserve">The Australian Centre for International Agricultural Research (ACIAR) works with international partners to foster and implement global research collaborations that support development in agriculture, fisheries and forestry. Their climate change research and capacity development projects progress the science and practice of how to effectively pursue adaptation, mitigation and climate-resilient development in agriculture and rural livelihoods. For example, in the reporting period ACIAR, in cooperation with national research partners, supported community-based fisheries management and community-led food systems transformation in the Pacific, and trialled and implemented fisheries technology in Southeast Asia to protect fishing livelihoods and boost river health and food security. An activity in the Mekong Delta also increased the production and profitability of saline-affected crop production systems. ACIAR also manages the Pacific Agricultural Scholarships, Support and Climate Resilience Program, which provides scholarships and climate-related enrichment to postgraduate students in the Pacific. Students studying in the fields of agriculture, forestry and fisheries are supported to research agricultural problems and consider how climate change intersects with the development challenges and opportunities they are researching. ACIAR has supported more than 1,500 agricultural research for development projects over 40 years, with more than 400 partners in 40 different countries. </t>
  </si>
  <si>
    <t>Info</t>
  </si>
  <si>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 Chapter IV of Australia's BTR.</t>
    </r>
  </si>
  <si>
    <r>
      <rPr>
        <vertAlign val="superscript"/>
        <sz val="9"/>
        <rFont val="Times New Roman"/>
        <family val="1"/>
      </rPr>
      <t>(5</t>
    </r>
    <r>
      <rPr>
        <i/>
        <vertAlign val="superscript"/>
        <sz val="9"/>
        <rFont val="Times New Roman"/>
        <family val="1"/>
      </rPr>
      <t xml:space="preserve">) </t>
    </r>
    <r>
      <rPr>
        <i/>
        <sz val="9"/>
        <rFont val="Times New Roman"/>
        <family val="1"/>
      </rPr>
      <t xml:space="preserve">The investments tagged as contributing to capacity building and technology development and transfer objectives are not exhaustive as capacity building and  technology transfer are integrated across Australia's development assistance. </t>
    </r>
  </si>
  <si>
    <r>
      <rPr>
        <vertAlign val="superscript"/>
        <sz val="9"/>
        <rFont val="Times New Roman"/>
        <family val="1"/>
      </rPr>
      <t>(5)</t>
    </r>
    <r>
      <rPr>
        <i/>
        <sz val="9"/>
        <rFont val="Times New Roman"/>
        <family val="1"/>
      </rPr>
      <t xml:space="preserve"> The investments tagged as contributing to capacity building and technology development and transfer objectives are not exhaustive as capacity building and  technology transfer are integrated across Australia's development assistance. </t>
    </r>
  </si>
  <si>
    <r>
      <rPr>
        <vertAlign val="superscript"/>
        <sz val="9"/>
        <color theme="1"/>
        <rFont val="Times New Roman"/>
        <family val="1"/>
      </rPr>
      <t>(1)</t>
    </r>
    <r>
      <rPr>
        <i/>
        <sz val="9"/>
        <color theme="1"/>
        <rFont val="Times New Roman"/>
        <family val="1"/>
      </rPr>
      <t xml:space="preserve"> The underlying assumptions, definitions and methodologies of the information in this CTF is available at Chapter IV of Australia's BTR.</t>
    </r>
  </si>
  <si>
    <t>Global</t>
  </si>
  <si>
    <t>Oceania</t>
  </si>
  <si>
    <t>Southern Asia</t>
  </si>
  <si>
    <t>South-eastern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</si>
</sst>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quot;%&quot;General"/>
    <numFmt numFmtId="165" formatCode="_-* #,##0_-;\-* #,##0_-;_-* &quot;-&quot;??_-;_-@_-"/>
    <numFmt numFmtId="166" formatCode="0.0000"/>
    <numFmt numFmtId="167" formatCode="_-* #,##0.0_-;\-* #,##0.0_-;_-* &quot;-&quot;?_-;_-@_-"/>
  </numFmts>
  <fonts count="33"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vertAlign val="superscript"/>
      <sz val="9"/>
      <color rgb="FF000000"/>
      <name val="Times New Roman"/>
      <family val="1"/>
    </font>
    <font>
      <b/>
      <i/>
      <sz val="9"/>
      <color theme="1"/>
      <name val="Times New Roman"/>
      <family val="1"/>
    </font>
    <font>
      <sz val="9"/>
      <color rgb="FF000000"/>
      <name val="Times New Roman"/>
      <family val="1"/>
    </font>
    <fon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i/>
      <vertAlign val="superscript"/>
      <sz val="9"/>
      <name val="Times New Roman"/>
      <family val="1"/>
    </font>
    <font>
      <sz val="9"/>
      <name val="Times New Roman"/>
      <family val="1"/>
    </font>
    <font>
      <i/>
      <sz val="9"/>
      <name val="Times New Roman"/>
      <family val="1"/>
    </font>
    <font>
      <vertAlign val="superscript"/>
      <sz val="9"/>
      <name val="Times New Roman"/>
      <family val="1"/>
    </font>
    <font>
      <b/>
      <vertAlign val="superscript"/>
      <sz val="12"/>
      <name val="Times New Roman"/>
      <family val="1"/>
    </font>
    <font>
      <sz val="11"/>
      <color theme="1"/>
      <name val="Calibri"/>
      <family val="2"/>
      <scheme val="minor"/>
    </font>
    <font>
      <sz val="10"/>
      <color theme="1"/>
      <name val="Calibri"/>
      <family val="2"/>
      <scheme val="minor"/>
    </font>
    <font>
      <sz val="9"/>
      <color theme="1"/>
      <name val="Calibri"/>
      <family val="2"/>
      <scheme val="minor"/>
    </font>
    <font>
      <b/>
      <sz val="10"/>
      <color rgb="FF000000"/>
      <name val="Calibri"/>
      <family val="2"/>
      <scheme val="minor"/>
    </font>
    <font>
      <sz val="10"/>
      <color rgb="FF000000"/>
      <name val="Calibri"/>
      <family val="2"/>
      <scheme val="minor"/>
    </font>
    <font>
      <sz val="9"/>
      <name val="Calibri"/>
      <family val="2"/>
      <scheme val="minor"/>
    </font>
    <font>
      <vertAlign val="superscript"/>
      <sz val="9"/>
      <color rgb="FF000000"/>
      <name val="Times New Roman"/>
      <family val="1"/>
    </font>
    <font>
      <vertAlign val="superscript"/>
      <sz val="9"/>
      <color rgb="FF000000"/>
      <name val="Times New Roman"/>
    </font>
    <font>
      <sz val="9"/>
      <color rgb="FF000000"/>
      <name val="Times New Roman"/>
    </font>
    <font>
      <i/>
      <sz val="9"/>
      <color rgb="FF000000"/>
      <name val="Times New Roman"/>
    </font>
  </fonts>
  <fills count="2">
    <fill>
      <patternFill patternType="none"/>
    </fill>
    <fill>
      <patternFill patternType="gray125"/>
    </fill>
  </fills>
  <borders count="2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style="thin">
        <color indexed="64"/>
      </bottom>
      <diagonal/>
    </border>
  </borders>
  <cellStyleXfs count="8">
    <xf numFmtId="0" fontId="0" fillId="0" borderId="0"/>
    <xf numFmtId="0" fontId="3" fillId="0" borderId="0"/>
    <xf numFmtId="0" fontId="5" fillId="0" borderId="0"/>
    <xf numFmtId="0" fontId="6" fillId="0" borderId="2"/>
    <xf numFmtId="0" fontId="6" fillId="0" borderId="1"/>
    <xf numFmtId="0" fontId="16" fillId="0" borderId="0"/>
    <xf numFmtId="43" fontId="23" fillId="0" borderId="0" applyFont="0" applyFill="0" applyBorder="0" applyAlignment="0" applyProtection="0"/>
    <xf numFmtId="43" fontId="23" fillId="0" borderId="0" applyFont="0" applyFill="0" applyBorder="0" applyAlignment="0" applyProtection="0"/>
  </cellStyleXfs>
  <cellXfs count="226">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3" fontId="0" fillId="0" borderId="0" xfId="6" applyNumberFormat="1" applyFont="1" applyFill="1" applyAlignment="1">
      <alignment horizontal="right"/>
    </xf>
    <xf numFmtId="3" fontId="0" fillId="0" borderId="0" xfId="6" applyNumberFormat="1" applyFont="1" applyFill="1" applyBorder="1" applyAlignment="1">
      <alignment horizontal="right"/>
    </xf>
    <xf numFmtId="0" fontId="0" fillId="0" borderId="0" xfId="6" applyNumberFormat="1" applyFont="1" applyFill="1" applyBorder="1" applyAlignment="1">
      <alignment horizontal="left" vertical="top"/>
    </xf>
    <xf numFmtId="165" fontId="1" fillId="0" borderId="13" xfId="6" applyNumberFormat="1" applyFont="1" applyFill="1" applyBorder="1" applyAlignment="1">
      <alignment vertical="top"/>
    </xf>
    <xf numFmtId="165" fontId="1" fillId="0" borderId="13" xfId="6" applyNumberFormat="1" applyFont="1" applyFill="1" applyBorder="1" applyAlignment="1">
      <alignment vertical="top" wrapText="1"/>
    </xf>
    <xf numFmtId="0" fontId="1" fillId="0" borderId="13" xfId="6" applyNumberFormat="1" applyFont="1" applyFill="1" applyBorder="1" applyAlignment="1">
      <alignment horizontal="left" vertical="top"/>
    </xf>
    <xf numFmtId="0" fontId="1" fillId="0" borderId="13" xfId="6" applyNumberFormat="1" applyFont="1" applyFill="1" applyBorder="1" applyAlignment="1">
      <alignment horizontal="left" vertical="top" wrapText="1"/>
    </xf>
    <xf numFmtId="3" fontId="1" fillId="0" borderId="13" xfId="6" applyNumberFormat="1" applyFont="1" applyFill="1" applyBorder="1" applyAlignment="1">
      <alignment horizontal="right" vertical="top"/>
    </xf>
    <xf numFmtId="3" fontId="1" fillId="0" borderId="16" xfId="6" applyNumberFormat="1" applyFont="1" applyFill="1" applyBorder="1" applyAlignment="1">
      <alignment horizontal="right" vertical="top"/>
    </xf>
    <xf numFmtId="4" fontId="0" fillId="0" borderId="0" xfId="6" applyNumberFormat="1" applyFont="1" applyFill="1" applyAlignment="1">
      <alignment horizontal="right"/>
    </xf>
    <xf numFmtId="4" fontId="0" fillId="0" borderId="0" xfId="6" applyNumberFormat="1" applyFont="1" applyFill="1" applyBorder="1" applyAlignment="1">
      <alignment horizontal="right"/>
    </xf>
    <xf numFmtId="165" fontId="1" fillId="0" borderId="13" xfId="6" applyNumberFormat="1" applyFont="1" applyFill="1" applyBorder="1" applyAlignment="1">
      <alignment horizontal="right" vertical="top"/>
    </xf>
    <xf numFmtId="4" fontId="1" fillId="0" borderId="13" xfId="6" applyNumberFormat="1" applyFont="1" applyFill="1" applyBorder="1" applyAlignment="1">
      <alignment horizontal="right" vertical="top"/>
    </xf>
    <xf numFmtId="0" fontId="5" fillId="0" borderId="0" xfId="2" applyFill="1" applyAlignment="1">
      <alignment horizontal="left"/>
    </xf>
    <xf numFmtId="0" fontId="1" fillId="0" borderId="0" xfId="0" applyFont="1" applyFill="1"/>
    <xf numFmtId="0" fontId="5" fillId="0" borderId="0" xfId="0" applyFont="1" applyFill="1"/>
    <xf numFmtId="0" fontId="2" fillId="0" borderId="0" xfId="2" applyFont="1" applyFill="1" applyAlignment="1">
      <alignment horizontal="left"/>
    </xf>
    <xf numFmtId="0" fontId="1" fillId="0" borderId="0" xfId="2" applyFont="1" applyFill="1" applyAlignment="1">
      <alignment horizontal="left"/>
    </xf>
    <xf numFmtId="166" fontId="1" fillId="0" borderId="0" xfId="2" applyNumberFormat="1" applyFont="1" applyFill="1" applyAlignment="1">
      <alignment horizontal="left"/>
    </xf>
    <xf numFmtId="0" fontId="3" fillId="0" borderId="0" xfId="1" applyFill="1" applyAlignment="1">
      <alignment horizontal="left"/>
    </xf>
    <xf numFmtId="0" fontId="4" fillId="0" borderId="0" xfId="2" applyFont="1" applyFill="1" applyAlignment="1">
      <alignment horizontal="left"/>
    </xf>
    <xf numFmtId="0" fontId="6" fillId="0" borderId="1" xfId="0" applyFont="1" applyFill="1" applyBorder="1" applyAlignment="1">
      <alignment horizontal="center" vertical="center" wrapText="1"/>
    </xf>
    <xf numFmtId="0" fontId="6" fillId="0" borderId="2" xfId="0" applyFont="1" applyFill="1" applyBorder="1" applyAlignment="1">
      <alignment horizontal="centerContinuous" vertical="center"/>
    </xf>
    <xf numFmtId="0" fontId="6" fillId="0" borderId="3" xfId="0" applyFont="1" applyFill="1" applyBorder="1" applyAlignment="1">
      <alignment horizontal="centerContinuous" vertical="center"/>
    </xf>
    <xf numFmtId="0" fontId="6" fillId="0" borderId="4" xfId="0" applyFont="1" applyFill="1" applyBorder="1" applyAlignment="1">
      <alignment horizontal="centerContinuous" vertical="center"/>
    </xf>
    <xf numFmtId="0" fontId="6" fillId="0" borderId="5" xfId="0" applyFont="1" applyFill="1" applyBorder="1" applyAlignment="1">
      <alignment horizontal="center" vertical="center" wrapText="1"/>
    </xf>
    <xf numFmtId="0" fontId="6" fillId="0" borderId="0" xfId="0" applyFont="1" applyFill="1"/>
    <xf numFmtId="0" fontId="6" fillId="0" borderId="6" xfId="0" applyFont="1" applyFill="1" applyBorder="1" applyAlignment="1">
      <alignment horizontal="center" vertical="center" wrapText="1"/>
    </xf>
    <xf numFmtId="0" fontId="6" fillId="0" borderId="2" xfId="3" applyFill="1" applyAlignment="1">
      <alignment horizontal="centerContinuous" vertical="center"/>
    </xf>
    <xf numFmtId="0" fontId="6" fillId="0" borderId="4" xfId="3" applyFill="1" applyBorder="1" applyAlignment="1">
      <alignment horizontal="centerContinuous" vertical="center"/>
    </xf>
    <xf numFmtId="0" fontId="6" fillId="0" borderId="7" xfId="0" applyFont="1" applyFill="1" applyBorder="1" applyAlignment="1">
      <alignment horizontal="center" vertical="center" wrapText="1"/>
    </xf>
    <xf numFmtId="0" fontId="6" fillId="0" borderId="1" xfId="3" applyFill="1" applyBorder="1" applyAlignment="1">
      <alignment horizontal="center" vertical="center" wrapText="1"/>
    </xf>
    <xf numFmtId="0" fontId="6" fillId="0" borderId="1" xfId="3" applyFill="1" applyBorder="1" applyAlignment="1">
      <alignment horizontal="center" vertical="center"/>
    </xf>
    <xf numFmtId="0" fontId="1" fillId="0" borderId="13" xfId="0" applyFont="1" applyFill="1" applyBorder="1" applyAlignment="1">
      <alignment vertical="top"/>
    </xf>
    <xf numFmtId="0" fontId="1" fillId="0" borderId="13" xfId="0" applyFont="1" applyFill="1" applyBorder="1" applyAlignment="1">
      <alignment horizontal="left" vertical="top" wrapText="1"/>
    </xf>
    <xf numFmtId="0" fontId="1" fillId="0" borderId="13" xfId="0" applyFont="1" applyFill="1" applyBorder="1" applyAlignment="1">
      <alignment horizontal="left" vertical="top"/>
    </xf>
    <xf numFmtId="0" fontId="1" fillId="0" borderId="13" xfId="0" applyFont="1" applyFill="1" applyBorder="1" applyAlignment="1">
      <alignment horizontal="right" vertical="top" wrapText="1"/>
    </xf>
    <xf numFmtId="0" fontId="1" fillId="0" borderId="13" xfId="0" applyFont="1" applyFill="1" applyBorder="1" applyAlignment="1">
      <alignment vertical="top" wrapText="1"/>
    </xf>
    <xf numFmtId="0" fontId="1" fillId="0" borderId="11" xfId="0" applyFont="1" applyFill="1" applyBorder="1" applyAlignment="1">
      <alignment horizontal="left" vertical="top" wrapText="1"/>
    </xf>
    <xf numFmtId="0" fontId="1" fillId="0" borderId="0" xfId="0" applyFont="1" applyFill="1" applyAlignment="1">
      <alignment horizontal="left" vertical="center" indent="7"/>
    </xf>
    <xf numFmtId="0" fontId="2" fillId="0" borderId="0" xfId="0" applyFont="1" applyFill="1" applyAlignment="1">
      <alignment horizontal="left" vertical="center" indent="7"/>
    </xf>
    <xf numFmtId="0" fontId="8" fillId="0" borderId="0" xfId="0" applyFont="1" applyFill="1" applyAlignment="1">
      <alignment vertical="center"/>
    </xf>
    <xf numFmtId="0" fontId="1" fillId="0" borderId="0" xfId="0" applyFont="1" applyFill="1" applyAlignment="1">
      <alignment vertical="center"/>
    </xf>
    <xf numFmtId="0" fontId="9" fillId="0" borderId="0" xfId="0" applyFont="1" applyFill="1" applyAlignment="1">
      <alignment vertical="center"/>
    </xf>
    <xf numFmtId="0" fontId="0" fillId="0" borderId="0" xfId="0" applyFill="1" applyAlignment="1">
      <alignment vertical="top"/>
    </xf>
    <xf numFmtId="0" fontId="0" fillId="0" borderId="0" xfId="0" applyFill="1" applyAlignment="1">
      <alignment horizontal="left" vertical="top"/>
    </xf>
    <xf numFmtId="0" fontId="0" fillId="0" borderId="0" xfId="0" applyFill="1" applyAlignment="1">
      <alignment horizontal="left"/>
    </xf>
    <xf numFmtId="0" fontId="0" fillId="0" borderId="0" xfId="0" applyFill="1" applyAlignment="1">
      <alignment horizontal="right" vertical="top" wrapText="1"/>
    </xf>
    <xf numFmtId="0" fontId="0" fillId="0" borderId="0" xfId="0" applyFill="1" applyAlignment="1">
      <alignment vertical="top" wrapText="1"/>
    </xf>
    <xf numFmtId="3" fontId="6" fillId="0" borderId="0" xfId="0" applyNumberFormat="1" applyFont="1" applyFill="1"/>
    <xf numFmtId="3" fontId="6" fillId="0" borderId="0" xfId="3" applyNumberFormat="1" applyFill="1" applyBorder="1" applyAlignment="1">
      <alignment horizontal="center" vertical="top"/>
    </xf>
    <xf numFmtId="3" fontId="6" fillId="0" borderId="0" xfId="3" applyNumberFormat="1" applyFill="1" applyBorder="1" applyAlignment="1">
      <alignment vertical="top"/>
    </xf>
    <xf numFmtId="0" fontId="6" fillId="0" borderId="0" xfId="3" applyFill="1" applyBorder="1" applyAlignment="1">
      <alignment horizontal="center" vertical="top"/>
    </xf>
    <xf numFmtId="0" fontId="6" fillId="0" borderId="0" xfId="3" applyFill="1" applyBorder="1" applyAlignment="1">
      <alignment horizontal="center" vertical="top" wrapText="1"/>
    </xf>
    <xf numFmtId="0" fontId="6" fillId="0" borderId="0" xfId="3" applyFill="1" applyBorder="1" applyAlignment="1">
      <alignment vertical="top" wrapText="1"/>
    </xf>
    <xf numFmtId="0" fontId="8" fillId="0" borderId="0" xfId="0" applyFont="1" applyFill="1"/>
    <xf numFmtId="0" fontId="1" fillId="0" borderId="0" xfId="3" applyFont="1" applyFill="1" applyBorder="1" applyAlignment="1">
      <alignment horizontal="left" vertical="top" wrapText="1"/>
    </xf>
    <xf numFmtId="0" fontId="1" fillId="0" borderId="0" xfId="3" applyFont="1" applyFill="1" applyBorder="1" applyAlignment="1">
      <alignment vertical="top" wrapText="1"/>
    </xf>
    <xf numFmtId="3" fontId="1" fillId="0" borderId="0" xfId="3" applyNumberFormat="1" applyFont="1" applyFill="1" applyBorder="1" applyAlignment="1">
      <alignment vertical="top"/>
    </xf>
    <xf numFmtId="3" fontId="1" fillId="0" borderId="0" xfId="3" applyNumberFormat="1" applyFont="1" applyFill="1" applyBorder="1" applyAlignment="1">
      <alignment horizontal="center" vertical="top"/>
    </xf>
    <xf numFmtId="0" fontId="4" fillId="0" borderId="0" xfId="2" applyFont="1" applyFill="1" applyAlignment="1">
      <alignment horizontal="left" wrapText="1"/>
    </xf>
    <xf numFmtId="0" fontId="2" fillId="0" borderId="0" xfId="0" applyFont="1" applyFill="1"/>
    <xf numFmtId="0" fontId="19" fillId="0" borderId="0" xfId="0" applyFont="1" applyFill="1"/>
    <xf numFmtId="0" fontId="1" fillId="0" borderId="0" xfId="0" applyFont="1" applyFill="1" applyAlignment="1">
      <alignment wrapText="1"/>
    </xf>
    <xf numFmtId="0" fontId="25" fillId="0" borderId="0" xfId="0" applyFont="1" applyFill="1"/>
    <xf numFmtId="0" fontId="20" fillId="0" borderId="0" xfId="0" applyFont="1" applyFill="1"/>
    <xf numFmtId="0" fontId="27" fillId="0" borderId="0" xfId="0" applyFont="1" applyFill="1" applyAlignment="1">
      <alignment vertical="center" wrapText="1"/>
    </xf>
    <xf numFmtId="0" fontId="0" fillId="0" borderId="0" xfId="0" applyFill="1"/>
    <xf numFmtId="0" fontId="24" fillId="0" borderId="0" xfId="0" applyFont="1" applyFill="1" applyAlignment="1">
      <alignment vertical="center"/>
    </xf>
    <xf numFmtId="0" fontId="24" fillId="0" borderId="0" xfId="0" applyFont="1" applyFill="1" applyAlignment="1">
      <alignment vertical="center" wrapText="1"/>
    </xf>
    <xf numFmtId="0" fontId="5" fillId="0" borderId="0" xfId="2" applyFill="1" applyAlignment="1">
      <alignment horizontal="left" wrapText="1"/>
    </xf>
    <xf numFmtId="166" fontId="1" fillId="0" borderId="0" xfId="2" applyNumberFormat="1" applyFont="1" applyFill="1" applyAlignment="1">
      <alignment horizontal="left" wrapText="1"/>
    </xf>
    <xf numFmtId="0" fontId="1" fillId="0" borderId="0" xfId="2" applyFont="1" applyFill="1" applyAlignment="1">
      <alignment horizontal="left" wrapText="1"/>
    </xf>
    <xf numFmtId="3" fontId="1" fillId="0" borderId="13" xfId="0" applyNumberFormat="1" applyFont="1" applyFill="1" applyBorder="1" applyAlignment="1">
      <alignment horizontal="right" vertical="top"/>
    </xf>
    <xf numFmtId="0" fontId="1" fillId="0" borderId="20" xfId="0" applyFont="1" applyFill="1" applyBorder="1" applyAlignment="1">
      <alignment horizontal="left" vertical="top" wrapText="1"/>
    </xf>
    <xf numFmtId="0" fontId="6" fillId="0" borderId="13" xfId="3" applyFill="1" applyBorder="1" applyAlignment="1">
      <alignment horizontal="center" vertical="top"/>
    </xf>
    <xf numFmtId="0" fontId="8" fillId="0" borderId="13" xfId="0" applyFont="1" applyFill="1" applyBorder="1" applyAlignment="1">
      <alignment vertical="top"/>
    </xf>
    <xf numFmtId="4" fontId="1" fillId="0" borderId="13" xfId="0" applyNumberFormat="1" applyFont="1" applyFill="1" applyBorder="1" applyAlignment="1">
      <alignment horizontal="right" vertical="top"/>
    </xf>
    <xf numFmtId="0" fontId="1" fillId="0" borderId="13" xfId="0" applyFont="1" applyFill="1" applyBorder="1" applyAlignment="1">
      <alignment horizontal="right" vertical="top"/>
    </xf>
    <xf numFmtId="0" fontId="19" fillId="0" borderId="13" xfId="0" applyFont="1" applyFill="1" applyBorder="1" applyAlignment="1">
      <alignment vertical="top" wrapText="1"/>
    </xf>
    <xf numFmtId="0" fontId="19" fillId="0" borderId="13" xfId="0" applyFont="1" applyFill="1" applyBorder="1" applyAlignment="1">
      <alignment horizontal="right" vertical="top" wrapText="1"/>
    </xf>
    <xf numFmtId="0" fontId="19" fillId="0" borderId="13" xfId="0" applyFont="1" applyFill="1" applyBorder="1" applyAlignment="1">
      <alignment horizontal="left" vertical="top" wrapText="1"/>
    </xf>
    <xf numFmtId="0" fontId="1" fillId="0" borderId="16" xfId="0" applyFont="1" applyFill="1" applyBorder="1" applyAlignment="1">
      <alignment vertical="top"/>
    </xf>
    <xf numFmtId="0" fontId="1" fillId="0" borderId="16" xfId="0" applyFont="1" applyFill="1" applyBorder="1" applyAlignment="1">
      <alignment vertical="top" wrapText="1"/>
    </xf>
    <xf numFmtId="0" fontId="1" fillId="0" borderId="16" xfId="0" applyFont="1" applyFill="1" applyBorder="1" applyAlignment="1">
      <alignment horizontal="left" vertical="top"/>
    </xf>
    <xf numFmtId="0" fontId="1" fillId="0" borderId="16" xfId="0" applyFont="1" applyFill="1" applyBorder="1" applyAlignment="1">
      <alignment horizontal="left" vertical="top" wrapText="1"/>
    </xf>
    <xf numFmtId="0" fontId="19" fillId="0" borderId="16" xfId="0" applyFont="1" applyFill="1" applyBorder="1" applyAlignment="1">
      <alignment horizontal="right" vertical="top" wrapText="1"/>
    </xf>
    <xf numFmtId="0" fontId="19" fillId="0" borderId="16" xfId="0" applyFont="1" applyFill="1" applyBorder="1" applyAlignment="1">
      <alignment vertical="top" wrapText="1"/>
    </xf>
    <xf numFmtId="0" fontId="19" fillId="0" borderId="13" xfId="0" applyFont="1" applyFill="1" applyBorder="1" applyAlignment="1">
      <alignment vertical="top"/>
    </xf>
    <xf numFmtId="0" fontId="7" fillId="0" borderId="0" xfId="0" applyFont="1" applyFill="1"/>
    <xf numFmtId="0" fontId="6" fillId="0" borderId="0" xfId="0" applyFont="1" applyFill="1" applyAlignment="1">
      <alignment wrapText="1"/>
    </xf>
    <xf numFmtId="4" fontId="6" fillId="0" borderId="0" xfId="0" applyNumberFormat="1" applyFont="1" applyFill="1"/>
    <xf numFmtId="0" fontId="8" fillId="0" borderId="0" xfId="0" applyFont="1" applyFill="1" applyAlignment="1">
      <alignment wrapText="1"/>
    </xf>
    <xf numFmtId="0" fontId="26" fillId="0" borderId="0" xfId="0" applyFont="1" applyFill="1" applyAlignment="1">
      <alignment vertical="center" wrapText="1"/>
    </xf>
    <xf numFmtId="0" fontId="27" fillId="0" borderId="0" xfId="0" applyFont="1" applyFill="1" applyAlignment="1">
      <alignment vertical="center"/>
    </xf>
    <xf numFmtId="4" fontId="0" fillId="0" borderId="0" xfId="0" applyNumberFormat="1" applyFill="1"/>
    <xf numFmtId="4" fontId="1" fillId="0" borderId="0" xfId="0" applyNumberFormat="1" applyFont="1" applyFill="1"/>
    <xf numFmtId="0" fontId="6" fillId="0" borderId="9" xfId="0" applyFont="1" applyFill="1" applyBorder="1" applyAlignment="1">
      <alignment horizontal="centerContinuous" vertical="center" wrapText="1"/>
    </xf>
    <xf numFmtId="0" fontId="6" fillId="0" borderId="1" xfId="0" applyFont="1" applyFill="1" applyBorder="1" applyAlignment="1">
      <alignment horizontal="center" vertical="center" wrapText="1"/>
    </xf>
    <xf numFmtId="0" fontId="6" fillId="0" borderId="6" xfId="3"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9" xfId="3" applyFill="1" applyBorder="1" applyAlignment="1">
      <alignment horizontal="centerContinuous" vertical="center" wrapText="1"/>
    </xf>
    <xf numFmtId="0" fontId="6" fillId="0" borderId="0" xfId="0" applyFont="1" applyFill="1" applyAlignment="1">
      <alignment horizontal="left" vertical="top"/>
    </xf>
    <xf numFmtId="0" fontId="2" fillId="0" borderId="14" xfId="0" applyFont="1" applyFill="1" applyBorder="1"/>
    <xf numFmtId="0" fontId="1" fillId="0" borderId="13" xfId="0" applyFont="1" applyFill="1" applyBorder="1"/>
    <xf numFmtId="0" fontId="1" fillId="0" borderId="15" xfId="0" applyFont="1" applyFill="1" applyBorder="1" applyAlignment="1">
      <alignment vertical="top" wrapText="1"/>
    </xf>
    <xf numFmtId="165" fontId="6" fillId="0" borderId="13" xfId="6" applyNumberFormat="1" applyFont="1" applyFill="1" applyBorder="1" applyAlignment="1">
      <alignment horizontal="right"/>
    </xf>
    <xf numFmtId="165" fontId="6" fillId="0" borderId="13" xfId="6" applyNumberFormat="1" applyFont="1" applyFill="1" applyBorder="1" applyAlignment="1">
      <alignment horizontal="right" vertical="top"/>
    </xf>
    <xf numFmtId="3" fontId="6" fillId="0" borderId="13" xfId="3" applyNumberFormat="1" applyFill="1" applyBorder="1" applyAlignment="1">
      <alignment horizontal="right" vertical="top"/>
    </xf>
    <xf numFmtId="0" fontId="6" fillId="0" borderId="13" xfId="3" applyFill="1" applyBorder="1" applyAlignment="1">
      <alignment horizontal="right" vertical="top"/>
    </xf>
    <xf numFmtId="0" fontId="6" fillId="0" borderId="13" xfId="3" applyFill="1" applyBorder="1" applyAlignment="1">
      <alignment horizontal="right" vertical="top" wrapText="1"/>
    </xf>
    <xf numFmtId="0" fontId="1" fillId="0" borderId="13" xfId="0" applyFont="1" applyFill="1" applyBorder="1" applyAlignment="1">
      <alignment horizontal="right"/>
    </xf>
    <xf numFmtId="0" fontId="1" fillId="0" borderId="15" xfId="0" applyFont="1" applyFill="1" applyBorder="1"/>
    <xf numFmtId="0" fontId="1" fillId="0" borderId="13" xfId="3" applyFont="1" applyFill="1" applyBorder="1" applyAlignment="1">
      <alignment horizontal="right" vertical="top"/>
    </xf>
    <xf numFmtId="0" fontId="1" fillId="0" borderId="15" xfId="0" applyFont="1" applyFill="1" applyBorder="1" applyAlignment="1">
      <alignment vertical="top"/>
    </xf>
    <xf numFmtId="165" fontId="1" fillId="0" borderId="13" xfId="6" applyNumberFormat="1" applyFont="1" applyFill="1" applyBorder="1" applyAlignment="1">
      <alignment horizontal="right" vertical="top" wrapText="1"/>
    </xf>
    <xf numFmtId="165" fontId="4" fillId="0" borderId="13" xfId="6" applyNumberFormat="1" applyFont="1" applyFill="1" applyBorder="1" applyAlignment="1">
      <alignment horizontal="right" vertical="top" wrapText="1"/>
    </xf>
    <xf numFmtId="165" fontId="19" fillId="0" borderId="13" xfId="6" applyNumberFormat="1" applyFont="1" applyFill="1" applyBorder="1" applyAlignment="1">
      <alignment horizontal="right" vertical="top" wrapText="1"/>
    </xf>
    <xf numFmtId="165" fontId="8" fillId="0" borderId="13" xfId="6" applyNumberFormat="1" applyFont="1" applyFill="1" applyBorder="1" applyAlignment="1">
      <alignment horizontal="right" vertical="top" wrapText="1"/>
    </xf>
    <xf numFmtId="0" fontId="8" fillId="0" borderId="13" xfId="0" applyFont="1" applyFill="1" applyBorder="1" applyAlignment="1">
      <alignment horizontal="right" vertical="top" wrapText="1"/>
    </xf>
    <xf numFmtId="0" fontId="6" fillId="0" borderId="15" xfId="0" quotePrefix="1" applyFont="1" applyFill="1" applyBorder="1" applyAlignment="1">
      <alignment vertical="top" wrapText="1"/>
    </xf>
    <xf numFmtId="0" fontId="6" fillId="0" borderId="13" xfId="0" quotePrefix="1" applyFont="1" applyFill="1" applyBorder="1" applyAlignment="1">
      <alignment vertical="top" wrapText="1"/>
    </xf>
    <xf numFmtId="0" fontId="6" fillId="0" borderId="15" xfId="0" applyFont="1" applyFill="1" applyBorder="1" applyAlignment="1">
      <alignment vertical="top" wrapText="1"/>
    </xf>
    <xf numFmtId="0" fontId="1" fillId="0" borderId="16" xfId="0" applyFont="1" applyFill="1" applyBorder="1"/>
    <xf numFmtId="0" fontId="2" fillId="0" borderId="15" xfId="0" applyFont="1" applyFill="1" applyBorder="1" applyAlignment="1">
      <alignment horizontal="right"/>
    </xf>
    <xf numFmtId="165" fontId="2" fillId="0" borderId="13" xfId="6" applyNumberFormat="1" applyFont="1" applyFill="1" applyBorder="1" applyAlignment="1">
      <alignment horizontal="right"/>
    </xf>
    <xf numFmtId="0" fontId="1" fillId="0" borderId="13" xfId="0" applyFont="1" applyFill="1" applyBorder="1" applyAlignment="1">
      <alignment horizontal="right" vertical="center"/>
    </xf>
    <xf numFmtId="0" fontId="1" fillId="0" borderId="9" xfId="0" applyFont="1" applyFill="1" applyBorder="1" applyAlignment="1">
      <alignment horizontal="left" vertical="top" wrapText="1"/>
    </xf>
    <xf numFmtId="165" fontId="1" fillId="0" borderId="0" xfId="0" applyNumberFormat="1" applyFont="1" applyFill="1"/>
    <xf numFmtId="0" fontId="1" fillId="0" borderId="0" xfId="0" applyFont="1" applyFill="1" applyAlignment="1">
      <alignment vertical="top"/>
    </xf>
    <xf numFmtId="0" fontId="10" fillId="0" borderId="0" xfId="0" applyFont="1" applyFill="1"/>
    <xf numFmtId="0" fontId="31" fillId="0" borderId="0" xfId="0" applyFont="1" applyFill="1"/>
    <xf numFmtId="0" fontId="27" fillId="0" borderId="0" xfId="0" applyFont="1" applyFill="1" applyAlignment="1">
      <alignment vertical="center" wrapText="1"/>
    </xf>
    <xf numFmtId="0" fontId="27" fillId="0" borderId="0" xfId="0" applyFont="1" applyFill="1" applyAlignment="1">
      <alignment horizontal="left" vertical="center" wrapText="1"/>
    </xf>
    <xf numFmtId="0" fontId="28" fillId="0" borderId="19" xfId="0" applyFont="1" applyFill="1" applyBorder="1" applyAlignment="1">
      <alignment horizontal="left" vertical="top" wrapText="1"/>
    </xf>
    <xf numFmtId="0" fontId="25" fillId="0" borderId="0" xfId="0" applyFont="1" applyFill="1" applyAlignment="1">
      <alignment vertical="center"/>
    </xf>
    <xf numFmtId="0" fontId="25" fillId="0" borderId="0" xfId="0" applyFont="1" applyFill="1" applyAlignment="1">
      <alignment vertical="center" wrapText="1"/>
    </xf>
    <xf numFmtId="0" fontId="2" fillId="0" borderId="17" xfId="0" applyFont="1" applyFill="1" applyBorder="1" applyAlignment="1">
      <alignment wrapText="1"/>
    </xf>
    <xf numFmtId="0" fontId="1" fillId="0" borderId="13" xfId="0" applyFont="1" applyFill="1" applyBorder="1" applyAlignment="1">
      <alignment horizontal="left" vertical="center"/>
    </xf>
    <xf numFmtId="165" fontId="1" fillId="0" borderId="13" xfId="6" applyNumberFormat="1" applyFont="1" applyFill="1" applyBorder="1" applyAlignment="1">
      <alignment horizontal="left" vertical="center"/>
    </xf>
    <xf numFmtId="0" fontId="6" fillId="0" borderId="13" xfId="0" applyFont="1" applyFill="1" applyBorder="1" applyAlignment="1">
      <alignment horizontal="left" vertical="center"/>
    </xf>
    <xf numFmtId="0" fontId="1" fillId="0" borderId="13" xfId="0" applyFont="1" applyFill="1" applyBorder="1" applyAlignment="1">
      <alignment horizontal="left" vertical="center" wrapText="1"/>
    </xf>
    <xf numFmtId="165" fontId="1" fillId="0" borderId="13" xfId="6" applyNumberFormat="1" applyFont="1" applyFill="1" applyBorder="1" applyAlignment="1">
      <alignment horizontal="left" vertical="top"/>
    </xf>
    <xf numFmtId="0" fontId="6" fillId="0" borderId="13" xfId="0" applyFont="1" applyFill="1" applyBorder="1" applyAlignment="1">
      <alignment horizontal="left" vertical="top"/>
    </xf>
    <xf numFmtId="0" fontId="1" fillId="0" borderId="17" xfId="0" applyFont="1" applyFill="1" applyBorder="1" applyAlignment="1">
      <alignment wrapText="1"/>
    </xf>
    <xf numFmtId="165" fontId="1" fillId="0" borderId="13" xfId="0" applyNumberFormat="1" applyFont="1" applyFill="1" applyBorder="1" applyAlignment="1">
      <alignment horizontal="left" vertical="top"/>
    </xf>
    <xf numFmtId="3" fontId="6" fillId="0" borderId="13" xfId="3" applyNumberFormat="1" applyFill="1" applyBorder="1" applyAlignment="1">
      <alignment horizontal="left" vertical="top"/>
    </xf>
    <xf numFmtId="165" fontId="6" fillId="0" borderId="13" xfId="3" applyNumberFormat="1" applyFill="1" applyBorder="1" applyAlignment="1">
      <alignment horizontal="left" vertical="top"/>
    </xf>
    <xf numFmtId="0" fontId="6" fillId="0" borderId="13" xfId="3" applyFill="1" applyBorder="1" applyAlignment="1">
      <alignment horizontal="left" vertical="top"/>
    </xf>
    <xf numFmtId="0" fontId="6" fillId="0" borderId="13" xfId="3" applyFill="1" applyBorder="1" applyAlignment="1">
      <alignment horizontal="left" vertical="top" wrapText="1"/>
    </xf>
    <xf numFmtId="3" fontId="1" fillId="0" borderId="13" xfId="3" applyNumberFormat="1" applyFont="1" applyFill="1" applyBorder="1" applyAlignment="1">
      <alignment horizontal="left" vertical="top"/>
    </xf>
    <xf numFmtId="0" fontId="1" fillId="0" borderId="13" xfId="3" applyFont="1" applyFill="1" applyBorder="1" applyAlignment="1">
      <alignment horizontal="left" vertical="top"/>
    </xf>
    <xf numFmtId="0" fontId="2" fillId="0" borderId="13" xfId="0" applyFont="1" applyFill="1" applyBorder="1" applyAlignment="1">
      <alignment horizontal="left" vertical="top"/>
    </xf>
    <xf numFmtId="165" fontId="1" fillId="0" borderId="13" xfId="6" applyNumberFormat="1" applyFont="1" applyFill="1" applyBorder="1" applyAlignment="1">
      <alignment horizontal="left" vertical="top" wrapText="1"/>
    </xf>
    <xf numFmtId="0" fontId="1" fillId="0" borderId="17" xfId="0" applyFont="1" applyFill="1" applyBorder="1" applyAlignment="1">
      <alignment vertical="top" wrapText="1"/>
    </xf>
    <xf numFmtId="165" fontId="4" fillId="0" borderId="13" xfId="6" applyNumberFormat="1" applyFont="1" applyFill="1" applyBorder="1" applyAlignment="1">
      <alignment horizontal="left" vertical="top" wrapText="1"/>
    </xf>
    <xf numFmtId="165" fontId="19" fillId="0" borderId="13" xfId="6" applyNumberFormat="1" applyFont="1" applyFill="1" applyBorder="1" applyAlignment="1">
      <alignment horizontal="left" vertical="top" wrapText="1"/>
    </xf>
    <xf numFmtId="165" fontId="29" fillId="0" borderId="13" xfId="6" applyNumberFormat="1" applyFont="1" applyFill="1" applyBorder="1" applyAlignment="1">
      <alignment horizontal="left" vertical="top" wrapText="1"/>
    </xf>
    <xf numFmtId="0" fontId="8" fillId="0" borderId="13" xfId="0" applyFont="1" applyFill="1" applyBorder="1" applyAlignment="1">
      <alignment horizontal="left" vertical="top" wrapText="1"/>
    </xf>
    <xf numFmtId="0" fontId="19" fillId="0" borderId="13" xfId="0" applyFont="1" applyFill="1" applyBorder="1" applyAlignment="1">
      <alignment horizontal="left" vertical="top"/>
    </xf>
    <xf numFmtId="0" fontId="6" fillId="0" borderId="17" xfId="0" quotePrefix="1" applyFont="1" applyFill="1" applyBorder="1" applyAlignment="1">
      <alignment vertical="top" wrapText="1"/>
    </xf>
    <xf numFmtId="0" fontId="6" fillId="0" borderId="17" xfId="0" applyFont="1" applyFill="1" applyBorder="1" applyAlignment="1">
      <alignment vertical="top" wrapText="1"/>
    </xf>
    <xf numFmtId="0" fontId="6" fillId="0" borderId="18" xfId="0" applyFont="1" applyFill="1" applyBorder="1" applyAlignment="1">
      <alignment vertical="top" wrapText="1"/>
    </xf>
    <xf numFmtId="0" fontId="2" fillId="0" borderId="15" xfId="0" applyFont="1" applyFill="1" applyBorder="1" applyAlignment="1">
      <alignment horizontal="right" wrapText="1"/>
    </xf>
    <xf numFmtId="165" fontId="2" fillId="0" borderId="13" xfId="6" applyNumberFormat="1" applyFont="1" applyFill="1" applyBorder="1" applyAlignment="1">
      <alignment horizontal="left" vertical="center"/>
    </xf>
    <xf numFmtId="165" fontId="1" fillId="0" borderId="13" xfId="0" applyNumberFormat="1" applyFont="1" applyFill="1" applyBorder="1" applyAlignment="1">
      <alignment horizontal="left" vertical="center"/>
    </xf>
    <xf numFmtId="0" fontId="1" fillId="0" borderId="13" xfId="3" applyFont="1" applyFill="1" applyBorder="1" applyAlignment="1">
      <alignment horizontal="left" vertical="center"/>
    </xf>
    <xf numFmtId="167" fontId="1" fillId="0" borderId="0" xfId="0" applyNumberFormat="1" applyFont="1" applyFill="1"/>
    <xf numFmtId="0" fontId="11" fillId="0" borderId="0" xfId="0" applyFont="1" applyFill="1"/>
    <xf numFmtId="0" fontId="4" fillId="0" borderId="0" xfId="1" applyFont="1" applyFill="1" applyAlignment="1">
      <alignment horizontal="left"/>
    </xf>
    <xf numFmtId="0" fontId="12" fillId="0" borderId="0" xfId="2" applyFont="1" applyFill="1" applyAlignment="1">
      <alignment horizontal="left"/>
    </xf>
    <xf numFmtId="0" fontId="13" fillId="0" borderId="0" xfId="0" applyFont="1" applyFill="1"/>
    <xf numFmtId="0" fontId="6" fillId="0" borderId="1" xfId="4" applyFill="1" applyAlignment="1">
      <alignment horizontal="center" vertical="center" wrapText="1"/>
    </xf>
    <xf numFmtId="0" fontId="6" fillId="0" borderId="9" xfId="0" applyFont="1" applyFill="1" applyBorder="1" applyAlignment="1">
      <alignment horizontal="centerContinuous" vertical="center"/>
    </xf>
    <xf numFmtId="0" fontId="6" fillId="0" borderId="9" xfId="0" applyFont="1" applyFill="1" applyBorder="1" applyAlignment="1">
      <alignment horizontal="centerContinuous"/>
    </xf>
    <xf numFmtId="0" fontId="6" fillId="0" borderId="5" xfId="4" applyFill="1" applyBorder="1" applyAlignment="1">
      <alignment horizontal="centerContinuous" vertical="center" wrapText="1"/>
    </xf>
    <xf numFmtId="0" fontId="6" fillId="0" borderId="11" xfId="4" applyFill="1" applyBorder="1" applyAlignment="1">
      <alignment horizontal="centerContinuous" vertical="center" wrapText="1"/>
    </xf>
    <xf numFmtId="0" fontId="6" fillId="0" borderId="6" xfId="4" applyFill="1" applyBorder="1" applyAlignment="1">
      <alignment horizontal="center" vertical="center" wrapText="1"/>
    </xf>
    <xf numFmtId="0" fontId="6" fillId="0" borderId="9" xfId="4" applyFill="1" applyBorder="1" applyAlignment="1">
      <alignment horizontal="centerContinuous"/>
    </xf>
    <xf numFmtId="0" fontId="6" fillId="0" borderId="10" xfId="4" applyFill="1" applyBorder="1" applyAlignment="1">
      <alignment vertical="center" wrapText="1"/>
    </xf>
    <xf numFmtId="0" fontId="6" fillId="0" borderId="12" xfId="4" applyFill="1" applyBorder="1" applyAlignment="1">
      <alignment vertical="center" wrapText="1"/>
    </xf>
    <xf numFmtId="0" fontId="6" fillId="0" borderId="8" xfId="0" applyFont="1" applyFill="1" applyBorder="1" applyAlignment="1">
      <alignment horizontal="center" vertical="center" wrapText="1"/>
    </xf>
    <xf numFmtId="0" fontId="6" fillId="0" borderId="8" xfId="4" applyFill="1" applyBorder="1" applyAlignment="1">
      <alignment horizontal="center" vertical="center" wrapText="1"/>
    </xf>
    <xf numFmtId="0" fontId="6" fillId="0" borderId="9" xfId="4" applyFill="1" applyBorder="1" applyAlignment="1">
      <alignment horizontal="center" vertical="center" wrapText="1"/>
    </xf>
    <xf numFmtId="0" fontId="6" fillId="0" borderId="9" xfId="4" applyFill="1" applyBorder="1" applyAlignment="1">
      <alignment horizontal="center" vertical="center"/>
    </xf>
    <xf numFmtId="0" fontId="6" fillId="0" borderId="10" xfId="0" applyFont="1" applyFill="1" applyBorder="1" applyAlignment="1">
      <alignment horizontal="center" vertical="center" wrapText="1"/>
    </xf>
    <xf numFmtId="0" fontId="1" fillId="0" borderId="0" xfId="0" applyFont="1" applyFill="1" applyAlignment="1">
      <alignment horizontal="left" vertical="top" wrapText="1"/>
    </xf>
    <xf numFmtId="0" fontId="14" fillId="0" borderId="0" xfId="0" applyFont="1" applyFill="1" applyAlignment="1">
      <alignment horizontal="left" vertical="top" wrapText="1"/>
    </xf>
    <xf numFmtId="0" fontId="28" fillId="0" borderId="0" xfId="0" applyFont="1" applyFill="1" applyAlignment="1">
      <alignment horizontal="left" vertical="top" wrapText="1"/>
    </xf>
    <xf numFmtId="0" fontId="6" fillId="0" borderId="1" xfId="4" applyFill="1" applyAlignment="1">
      <alignment horizontal="center" vertical="center"/>
    </xf>
    <xf numFmtId="43" fontId="1" fillId="0" borderId="13" xfId="6" applyFont="1" applyFill="1" applyBorder="1" applyAlignment="1">
      <alignment vertical="top" wrapText="1"/>
    </xf>
    <xf numFmtId="0" fontId="13" fillId="0" borderId="0" xfId="1" applyFont="1" applyFill="1" applyAlignment="1">
      <alignment horizontal="left"/>
    </xf>
    <xf numFmtId="0" fontId="4" fillId="0" borderId="0" xfId="1" applyFont="1" applyFill="1" applyAlignment="1">
      <alignment horizontal="left" wrapText="1"/>
    </xf>
    <xf numFmtId="0" fontId="6" fillId="0" borderId="9" xfId="0" applyFont="1" applyFill="1" applyBorder="1" applyAlignment="1">
      <alignment horizontal="center" vertical="center"/>
    </xf>
    <xf numFmtId="0" fontId="6" fillId="0" borderId="9" xfId="0" applyFont="1" applyFill="1" applyBorder="1" applyAlignment="1">
      <alignment horizontal="center" vertical="center" wrapText="1"/>
    </xf>
    <xf numFmtId="0" fontId="1" fillId="0" borderId="9" xfId="0" applyFont="1" applyFill="1" applyBorder="1" applyAlignment="1">
      <alignment horizontal="left" vertical="top"/>
    </xf>
    <xf numFmtId="0" fontId="1" fillId="0" borderId="2" xfId="0" applyFont="1" applyFill="1" applyBorder="1" applyAlignment="1">
      <alignment horizontal="left" vertical="top"/>
    </xf>
    <xf numFmtId="0" fontId="1" fillId="0" borderId="0" xfId="0" applyFont="1" applyFill="1" applyAlignment="1">
      <alignment horizontal="left" vertical="top"/>
    </xf>
    <xf numFmtId="0" fontId="1" fillId="0" borderId="4" xfId="0" applyFont="1" applyFill="1" applyBorder="1" applyAlignment="1">
      <alignment horizontal="left" vertical="top" wrapText="1"/>
    </xf>
    <xf numFmtId="0" fontId="1" fillId="0" borderId="9" xfId="0" applyFont="1" applyFill="1" applyBorder="1" applyAlignment="1">
      <alignment horizontal="right" vertical="top"/>
    </xf>
    <xf numFmtId="0" fontId="1" fillId="0" borderId="9" xfId="0" applyFont="1" applyFill="1" applyBorder="1" applyAlignment="1">
      <alignment vertical="top" wrapText="1"/>
    </xf>
    <xf numFmtId="0" fontId="1" fillId="0" borderId="9" xfId="0" applyFont="1" applyFill="1" applyBorder="1" applyAlignment="1">
      <alignment vertical="top"/>
    </xf>
    <xf numFmtId="0" fontId="5" fillId="0" borderId="0" xfId="2" applyFill="1" applyAlignment="1">
      <alignment horizontal="left" vertical="top"/>
    </xf>
    <xf numFmtId="14" fontId="1" fillId="0" borderId="0" xfId="0" applyNumberFormat="1" applyFont="1" applyFill="1"/>
    <xf numFmtId="0" fontId="15" fillId="0" borderId="0" xfId="0" applyFont="1" applyFill="1" applyAlignment="1">
      <alignment horizontal="center"/>
    </xf>
    <xf numFmtId="164" fontId="1" fillId="0" borderId="0" xfId="0" applyNumberFormat="1" applyFont="1" applyFill="1"/>
    <xf numFmtId="0" fontId="2" fillId="0" borderId="0" xfId="2" applyFont="1" applyFill="1" applyAlignment="1">
      <alignment horizontal="left" vertical="top"/>
    </xf>
    <xf numFmtId="0" fontId="1" fillId="0" borderId="0" xfId="0" applyFont="1" applyFill="1" applyAlignment="1">
      <alignment horizontal="left"/>
    </xf>
    <xf numFmtId="0" fontId="16" fillId="0" borderId="0" xfId="5" applyFill="1" applyAlignment="1">
      <alignment horizontal="left" vertical="top"/>
    </xf>
    <xf numFmtId="0" fontId="16" fillId="0" borderId="0" xfId="5" applyFill="1" applyAlignment="1">
      <alignment horizontal="left" vertical="top" wrapText="1"/>
    </xf>
    <xf numFmtId="0" fontId="5" fillId="0" borderId="0" xfId="2" applyFill="1" applyAlignment="1">
      <alignment horizontal="left" vertical="top" wrapText="1"/>
    </xf>
    <xf numFmtId="0" fontId="2" fillId="0" borderId="0" xfId="2" applyFont="1" applyFill="1" applyAlignment="1">
      <alignment horizontal="left" vertical="top" wrapText="1"/>
    </xf>
    <xf numFmtId="0" fontId="17" fillId="0" borderId="0" xfId="1" applyFont="1" applyFill="1" applyAlignment="1">
      <alignment horizontal="left" vertical="top" wrapText="1"/>
    </xf>
    <xf numFmtId="0" fontId="3" fillId="0" borderId="0" xfId="1" applyFill="1" applyAlignment="1">
      <alignment horizontal="left" vertical="top" wrapText="1"/>
    </xf>
    <xf numFmtId="0" fontId="6" fillId="0" borderId="9" xfId="0" applyFont="1" applyFill="1" applyBorder="1" applyAlignment="1">
      <alignment horizontal="center" vertical="top" wrapText="1"/>
    </xf>
    <xf numFmtId="0" fontId="1" fillId="0" borderId="2" xfId="0" applyFont="1" applyFill="1" applyBorder="1" applyAlignment="1">
      <alignment vertical="top"/>
    </xf>
    <xf numFmtId="0" fontId="1" fillId="0" borderId="21" xfId="0" applyFont="1" applyFill="1" applyBorder="1" applyAlignment="1">
      <alignment horizontal="left" vertical="top"/>
    </xf>
    <xf numFmtId="0" fontId="3" fillId="0" borderId="0" xfId="1" applyFill="1" applyAlignment="1">
      <alignment vertical="center"/>
    </xf>
    <xf numFmtId="0" fontId="1" fillId="0" borderId="0" xfId="0" applyFont="1" applyFill="1" applyAlignment="1">
      <alignment vertical="top" wrapText="1"/>
    </xf>
    <xf numFmtId="0" fontId="2" fillId="0" borderId="0" xfId="0" applyFont="1" applyFill="1" applyAlignment="1">
      <alignment vertical="top" wrapText="1"/>
    </xf>
  </cellXfs>
  <cellStyles count="8">
    <cellStyle name="Comma" xfId="6" builtinId="3"/>
    <cellStyle name="Comma 2" xfId="7" xr:uid="{995095A8-A8B7-43ED-ABA6-6D5B7B242A85}"/>
    <cellStyle name="Headline" xfId="2" xr:uid="{00000000-0005-0000-0000-000002000000}"/>
    <cellStyle name="Hyperlink" xfId="1" xr:uid="{00000000-0005-0000-0000-000001000000}"/>
    <cellStyle name="Normal" xfId="0" builtinId="0" customBuiltin="1"/>
    <cellStyle name="Normal 2" xfId="4" xr:uid="{00000000-0005-0000-0000-000004000000}"/>
    <cellStyle name="Normal 2 2" xfId="3" xr:uid="{00000000-0005-0000-0000-000003000000}"/>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ameera Patoor-Brah" id="{212C050A-84B7-4227-937D-70D058B701FE}" userId="S::sameera.patoor-brah@dfat.gov.au::16ba2bd7-2550-43bd-84cd-ec08859d8b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7" dT="2024-08-26T05:26:54.74" personId="{212C050A-84B7-4227-937D-70D058B701FE}" id="{64A7AB79-09AA-43ED-B4B8-47971B1F9E8F}">
    <text>Confirm compatibility with Beck's tables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6"/>
  <sheetViews>
    <sheetView showGridLines="0" zoomScale="140" workbookViewId="0"/>
  </sheetViews>
  <sheetFormatPr defaultColWidth="8.7265625" defaultRowHeight="12" customHeight="1" x14ac:dyDescent="0.25"/>
  <cols>
    <col min="1" max="1" width="10.1796875" style="1" customWidth="1"/>
    <col min="2" max="2" width="3.26953125" style="1" customWidth="1"/>
    <col min="3" max="3" width="8.7265625" style="1" customWidth="1"/>
    <col min="4" max="16384" width="8.7265625" style="1"/>
  </cols>
  <sheetData>
    <row r="1" spans="1:3" ht="11.5" x14ac:dyDescent="0.25">
      <c r="A1" s="2" t="s">
        <v>0</v>
      </c>
    </row>
    <row r="3" spans="1:3" ht="11.5" x14ac:dyDescent="0.25">
      <c r="A3" s="3"/>
    </row>
    <row r="4" spans="1:3" ht="11.5" x14ac:dyDescent="0.25">
      <c r="A4" s="4" t="s">
        <v>1</v>
      </c>
      <c r="C4" s="2" t="s">
        <v>2</v>
      </c>
    </row>
    <row r="5" spans="1:3" ht="11.5" x14ac:dyDescent="0.25">
      <c r="A5" s="4" t="s">
        <v>3</v>
      </c>
    </row>
    <row r="6" spans="1:3" ht="11.5" x14ac:dyDescent="0.25">
      <c r="A6" s="3" t="s">
        <v>4</v>
      </c>
    </row>
    <row r="7" spans="1:3" ht="11.5" x14ac:dyDescent="0.25">
      <c r="A7" s="3" t="s">
        <v>5</v>
      </c>
    </row>
    <row r="8" spans="1:3" ht="11.5" x14ac:dyDescent="0.25">
      <c r="A8" s="3" t="s">
        <v>6</v>
      </c>
    </row>
    <row r="9" spans="1:3" ht="11.5" x14ac:dyDescent="0.25">
      <c r="A9" s="3" t="s">
        <v>7</v>
      </c>
    </row>
    <row r="10" spans="1:3" ht="12" customHeight="1" x14ac:dyDescent="0.35">
      <c r="A10" s="3" t="s">
        <v>8</v>
      </c>
      <c r="C10" t="s">
        <v>9</v>
      </c>
    </row>
    <row r="11" spans="1:3" ht="12" customHeight="1" x14ac:dyDescent="0.35">
      <c r="A11" s="3" t="s">
        <v>10</v>
      </c>
      <c r="C11" t="s">
        <v>9</v>
      </c>
    </row>
    <row r="12" spans="1:3" ht="11.5" x14ac:dyDescent="0.25">
      <c r="A12" s="3" t="s">
        <v>11</v>
      </c>
    </row>
    <row r="13" spans="1:3" ht="11.5" x14ac:dyDescent="0.25">
      <c r="A13" s="3" t="s">
        <v>12</v>
      </c>
    </row>
    <row r="14" spans="1:3" ht="11.5" x14ac:dyDescent="0.25">
      <c r="A14" s="4" t="s">
        <v>13</v>
      </c>
      <c r="B14" s="4"/>
    </row>
    <row r="15" spans="1:3" ht="11.5" x14ac:dyDescent="0.25"/>
    <row r="16" spans="1:3" ht="11.5" x14ac:dyDescent="0.25">
      <c r="A16" s="5"/>
    </row>
  </sheetData>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25" right="0.25" top="0.75" bottom="0.75" header="0.3" footer="0.3"/>
  <pageSetup fitToHeight="0" orientation="landscape" horizontalDpi="300" verticalDpi="300" r:id="rId1"/>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57"/>
  <sheetViews>
    <sheetView showGridLines="0" zoomScaleNormal="100" workbookViewId="0">
      <selection activeCell="D5" sqref="A1:XFD1048576"/>
    </sheetView>
  </sheetViews>
  <sheetFormatPr defaultColWidth="9.1796875" defaultRowHeight="12" customHeight="1" x14ac:dyDescent="0.25"/>
  <cols>
    <col min="1" max="1" width="2.26953125" style="20" customWidth="1"/>
    <col min="2" max="2" width="23" style="20" customWidth="1"/>
    <col min="3" max="3" width="65.54296875" style="20" bestFit="1" customWidth="1"/>
    <col min="4" max="5" width="11.26953125" style="20" customWidth="1"/>
    <col min="6" max="6" width="16.453125" style="20" customWidth="1"/>
    <col min="7" max="12" width="11.26953125" style="20" customWidth="1"/>
    <col min="13" max="13" width="32.453125" style="20" customWidth="1"/>
    <col min="14" max="16" width="11.26953125" style="20" customWidth="1"/>
    <col min="17" max="17" width="20.453125" style="20" customWidth="1"/>
    <col min="18" max="18" width="9.1796875" style="20" customWidth="1"/>
    <col min="19" max="16384" width="9.1796875" style="20"/>
  </cols>
  <sheetData>
    <row r="1" spans="2:17" ht="16" customHeight="1" x14ac:dyDescent="0.3">
      <c r="B1" s="19" t="s">
        <v>14</v>
      </c>
      <c r="C1" s="19"/>
    </row>
    <row r="2" spans="2:17" ht="16" customHeight="1" x14ac:dyDescent="0.3">
      <c r="B2" s="21" t="s">
        <v>15</v>
      </c>
      <c r="C2" s="19"/>
      <c r="D2" s="22"/>
      <c r="I2" s="20" t="s">
        <v>16</v>
      </c>
      <c r="J2" s="20" t="s">
        <v>17</v>
      </c>
    </row>
    <row r="3" spans="2:17" ht="16" customHeight="1" x14ac:dyDescent="0.25">
      <c r="B3" s="23" t="s">
        <v>18</v>
      </c>
      <c r="C3" s="24">
        <v>0.74680000000000002</v>
      </c>
    </row>
    <row r="4" spans="2:17" ht="16" customHeight="1" x14ac:dyDescent="0.25">
      <c r="B4" s="23"/>
      <c r="C4" s="23"/>
    </row>
    <row r="5" spans="2:17" ht="11.5" x14ac:dyDescent="0.25">
      <c r="B5" s="25" t="s">
        <v>19</v>
      </c>
      <c r="C5" s="26"/>
    </row>
    <row r="6" spans="2:17" ht="11.5" x14ac:dyDescent="0.25">
      <c r="B6" s="25"/>
      <c r="C6" s="26"/>
    </row>
    <row r="7" spans="2:17" s="32" customFormat="1" ht="64.75" customHeight="1" x14ac:dyDescent="0.25">
      <c r="B7" s="27" t="s">
        <v>20</v>
      </c>
      <c r="C7" s="27" t="s">
        <v>21</v>
      </c>
      <c r="D7" s="28" t="s">
        <v>22</v>
      </c>
      <c r="E7" s="29"/>
      <c r="F7" s="29"/>
      <c r="G7" s="30"/>
      <c r="H7" s="27" t="s">
        <v>23</v>
      </c>
      <c r="I7" s="27" t="s">
        <v>24</v>
      </c>
      <c r="J7" s="27" t="s">
        <v>25</v>
      </c>
      <c r="K7" s="27" t="s">
        <v>26</v>
      </c>
      <c r="L7" s="27" t="s">
        <v>27</v>
      </c>
      <c r="M7" s="27" t="s">
        <v>28</v>
      </c>
      <c r="N7" s="27" t="s">
        <v>29</v>
      </c>
      <c r="O7" s="27" t="s">
        <v>30</v>
      </c>
      <c r="P7" s="31" t="s">
        <v>31</v>
      </c>
      <c r="Q7" s="27" t="s">
        <v>32</v>
      </c>
    </row>
    <row r="8" spans="2:17" s="32" customFormat="1" ht="23.5" customHeight="1" x14ac:dyDescent="0.25">
      <c r="B8" s="33"/>
      <c r="C8" s="33"/>
      <c r="D8" s="34" t="s">
        <v>33</v>
      </c>
      <c r="E8" s="35"/>
      <c r="F8" s="34" t="s">
        <v>34</v>
      </c>
      <c r="G8" s="35"/>
      <c r="H8" s="33"/>
      <c r="I8" s="33"/>
      <c r="J8" s="33"/>
      <c r="K8" s="33"/>
      <c r="L8" s="33"/>
      <c r="M8" s="33"/>
      <c r="N8" s="33"/>
      <c r="O8" s="33"/>
      <c r="P8" s="36"/>
      <c r="Q8" s="33"/>
    </row>
    <row r="9" spans="2:17" s="32" customFormat="1" ht="24" customHeight="1" x14ac:dyDescent="0.25">
      <c r="B9" s="33"/>
      <c r="C9" s="33"/>
      <c r="D9" s="37" t="s">
        <v>35</v>
      </c>
      <c r="E9" s="38" t="s">
        <v>36</v>
      </c>
      <c r="F9" s="37" t="s">
        <v>35</v>
      </c>
      <c r="G9" s="38" t="s">
        <v>36</v>
      </c>
      <c r="H9" s="33"/>
      <c r="I9" s="33"/>
      <c r="J9" s="33"/>
      <c r="K9" s="33"/>
      <c r="L9" s="33"/>
      <c r="M9" s="33"/>
      <c r="N9" s="33"/>
      <c r="O9" s="33"/>
      <c r="P9" s="36"/>
      <c r="Q9" s="33"/>
    </row>
    <row r="10" spans="2:17" ht="11.5" x14ac:dyDescent="0.25">
      <c r="B10" s="39" t="s">
        <v>865</v>
      </c>
      <c r="C10" s="40" t="s">
        <v>37</v>
      </c>
      <c r="D10" s="39"/>
      <c r="E10" s="39"/>
      <c r="F10" s="13">
        <v>13441620.832499998</v>
      </c>
      <c r="G10" s="13">
        <v>10038202.437710999</v>
      </c>
      <c r="H10" s="41" t="s">
        <v>38</v>
      </c>
      <c r="I10" s="41" t="s">
        <v>39</v>
      </c>
      <c r="J10" s="39" t="s">
        <v>40</v>
      </c>
      <c r="K10" s="39" t="s">
        <v>41</v>
      </c>
      <c r="L10" s="39" t="s">
        <v>42</v>
      </c>
      <c r="M10" s="11" t="s">
        <v>43</v>
      </c>
      <c r="N10" s="42">
        <v>31182</v>
      </c>
      <c r="O10" s="43" t="s">
        <v>68</v>
      </c>
      <c r="P10" s="43" t="s">
        <v>68</v>
      </c>
      <c r="Q10" s="44"/>
    </row>
    <row r="11" spans="2:17" ht="11.5" x14ac:dyDescent="0.25">
      <c r="B11" s="39" t="s">
        <v>865</v>
      </c>
      <c r="C11" s="40" t="s">
        <v>44</v>
      </c>
      <c r="D11" s="39"/>
      <c r="E11" s="39"/>
      <c r="F11" s="13">
        <v>8187929.3775000004</v>
      </c>
      <c r="G11" s="13">
        <v>6114745.6591170002</v>
      </c>
      <c r="H11" s="41" t="s">
        <v>38</v>
      </c>
      <c r="I11" s="41" t="s">
        <v>39</v>
      </c>
      <c r="J11" s="39" t="s">
        <v>40</v>
      </c>
      <c r="K11" s="39" t="s">
        <v>41</v>
      </c>
      <c r="L11" s="39" t="s">
        <v>42</v>
      </c>
      <c r="M11" s="11" t="s">
        <v>45</v>
      </c>
      <c r="N11" s="42">
        <v>14030</v>
      </c>
      <c r="O11" s="43"/>
      <c r="P11" s="43"/>
      <c r="Q11" s="44"/>
    </row>
    <row r="12" spans="2:17" ht="23" x14ac:dyDescent="0.25">
      <c r="B12" s="39" t="s">
        <v>865</v>
      </c>
      <c r="C12" s="40" t="s">
        <v>46</v>
      </c>
      <c r="D12" s="39"/>
      <c r="E12" s="39"/>
      <c r="F12" s="13">
        <v>5500000</v>
      </c>
      <c r="G12" s="13">
        <v>4107400</v>
      </c>
      <c r="H12" s="41" t="s">
        <v>38</v>
      </c>
      <c r="I12" s="41" t="s">
        <v>39</v>
      </c>
      <c r="J12" s="39" t="s">
        <v>40</v>
      </c>
      <c r="K12" s="39" t="s">
        <v>41</v>
      </c>
      <c r="L12" s="39" t="s">
        <v>42</v>
      </c>
      <c r="M12" s="11" t="s">
        <v>47</v>
      </c>
      <c r="N12" s="42" t="s">
        <v>48</v>
      </c>
      <c r="O12" s="43"/>
      <c r="P12" s="43"/>
      <c r="Q12" s="44"/>
    </row>
    <row r="13" spans="2:17" ht="57.5" x14ac:dyDescent="0.25">
      <c r="B13" s="39" t="s">
        <v>865</v>
      </c>
      <c r="C13" s="40" t="s">
        <v>49</v>
      </c>
      <c r="D13" s="39"/>
      <c r="E13" s="39"/>
      <c r="F13" s="13">
        <v>4750000</v>
      </c>
      <c r="G13" s="13">
        <v>3547300</v>
      </c>
      <c r="H13" s="41" t="s">
        <v>38</v>
      </c>
      <c r="I13" s="41" t="s">
        <v>39</v>
      </c>
      <c r="J13" s="39" t="s">
        <v>40</v>
      </c>
      <c r="K13" s="39" t="s">
        <v>41</v>
      </c>
      <c r="L13" s="39" t="s">
        <v>42</v>
      </c>
      <c r="M13" s="11" t="s">
        <v>50</v>
      </c>
      <c r="N13" s="42" t="s">
        <v>51</v>
      </c>
      <c r="O13" s="43"/>
      <c r="P13" s="43"/>
      <c r="Q13" s="44"/>
    </row>
    <row r="14" spans="2:17" ht="23" x14ac:dyDescent="0.25">
      <c r="B14" s="39" t="s">
        <v>865</v>
      </c>
      <c r="C14" s="40" t="s">
        <v>52</v>
      </c>
      <c r="D14" s="39"/>
      <c r="E14" s="39"/>
      <c r="F14" s="13">
        <v>2609327.9069999987</v>
      </c>
      <c r="G14" s="13">
        <v>1948646.0809475991</v>
      </c>
      <c r="H14" s="41" t="s">
        <v>38</v>
      </c>
      <c r="I14" s="41" t="s">
        <v>39</v>
      </c>
      <c r="J14" s="39" t="s">
        <v>40</v>
      </c>
      <c r="K14" s="39" t="s">
        <v>41</v>
      </c>
      <c r="L14" s="39" t="s">
        <v>42</v>
      </c>
      <c r="M14" s="11" t="s">
        <v>53</v>
      </c>
      <c r="N14" s="42" t="s">
        <v>54</v>
      </c>
      <c r="O14" s="43"/>
      <c r="P14" s="43"/>
      <c r="Q14" s="44"/>
    </row>
    <row r="15" spans="2:17" ht="11.5" x14ac:dyDescent="0.25">
      <c r="B15" s="39" t="s">
        <v>865</v>
      </c>
      <c r="C15" s="40" t="s">
        <v>55</v>
      </c>
      <c r="D15" s="39"/>
      <c r="E15" s="39"/>
      <c r="F15" s="13">
        <v>2205000</v>
      </c>
      <c r="G15" s="13">
        <v>1646694</v>
      </c>
      <c r="H15" s="41" t="s">
        <v>38</v>
      </c>
      <c r="I15" s="41" t="s">
        <v>39</v>
      </c>
      <c r="J15" s="39" t="s">
        <v>40</v>
      </c>
      <c r="K15" s="39" t="s">
        <v>41</v>
      </c>
      <c r="L15" s="39" t="s">
        <v>42</v>
      </c>
      <c r="M15" s="11" t="s">
        <v>45</v>
      </c>
      <c r="N15" s="42">
        <v>14010</v>
      </c>
      <c r="O15" s="43"/>
      <c r="P15" s="43"/>
      <c r="Q15" s="44"/>
    </row>
    <row r="16" spans="2:17" ht="11.5" x14ac:dyDescent="0.25">
      <c r="B16" s="39" t="s">
        <v>865</v>
      </c>
      <c r="C16" s="40" t="s">
        <v>56</v>
      </c>
      <c r="D16" s="39"/>
      <c r="E16" s="39"/>
      <c r="F16" s="13">
        <v>2159999.8200000003</v>
      </c>
      <c r="G16" s="13">
        <v>1613087.8655760002</v>
      </c>
      <c r="H16" s="41" t="s">
        <v>38</v>
      </c>
      <c r="I16" s="41" t="s">
        <v>39</v>
      </c>
      <c r="J16" s="39" t="s">
        <v>40</v>
      </c>
      <c r="K16" s="39" t="s">
        <v>41</v>
      </c>
      <c r="L16" s="39" t="s">
        <v>42</v>
      </c>
      <c r="M16" s="11" t="s">
        <v>57</v>
      </c>
      <c r="N16" s="42">
        <v>74020</v>
      </c>
      <c r="O16" s="43"/>
      <c r="P16" s="43"/>
      <c r="Q16" s="44"/>
    </row>
    <row r="17" spans="2:17" ht="23" x14ac:dyDescent="0.25">
      <c r="B17" s="39" t="s">
        <v>865</v>
      </c>
      <c r="C17" s="40" t="s">
        <v>58</v>
      </c>
      <c r="D17" s="39"/>
      <c r="E17" s="39"/>
      <c r="F17" s="13">
        <v>2100000</v>
      </c>
      <c r="G17" s="13">
        <v>1568280</v>
      </c>
      <c r="H17" s="41" t="s">
        <v>38</v>
      </c>
      <c r="I17" s="41" t="s">
        <v>39</v>
      </c>
      <c r="J17" s="39" t="s">
        <v>40</v>
      </c>
      <c r="K17" s="39" t="s">
        <v>41</v>
      </c>
      <c r="L17" s="39" t="s">
        <v>42</v>
      </c>
      <c r="M17" s="11" t="s">
        <v>57</v>
      </c>
      <c r="N17" s="42">
        <v>74020</v>
      </c>
      <c r="O17" s="43"/>
      <c r="P17" s="43"/>
      <c r="Q17" s="44"/>
    </row>
    <row r="18" spans="2:17" ht="23" x14ac:dyDescent="0.25">
      <c r="B18" s="39" t="s">
        <v>865</v>
      </c>
      <c r="C18" s="40" t="s">
        <v>59</v>
      </c>
      <c r="D18" s="39"/>
      <c r="E18" s="39"/>
      <c r="F18" s="13">
        <v>1260000</v>
      </c>
      <c r="G18" s="13">
        <v>940968</v>
      </c>
      <c r="H18" s="41" t="s">
        <v>38</v>
      </c>
      <c r="I18" s="41" t="s">
        <v>39</v>
      </c>
      <c r="J18" s="39" t="s">
        <v>40</v>
      </c>
      <c r="K18" s="39" t="s">
        <v>41</v>
      </c>
      <c r="L18" s="39" t="s">
        <v>42</v>
      </c>
      <c r="M18" s="11" t="s">
        <v>43</v>
      </c>
      <c r="N18" s="42" t="s">
        <v>60</v>
      </c>
      <c r="O18" s="43"/>
      <c r="P18" s="43"/>
      <c r="Q18" s="44"/>
    </row>
    <row r="19" spans="2:17" ht="126.5" x14ac:dyDescent="0.25">
      <c r="B19" s="39" t="s">
        <v>865</v>
      </c>
      <c r="C19" s="40" t="s">
        <v>61</v>
      </c>
      <c r="D19" s="39"/>
      <c r="E19" s="39"/>
      <c r="F19" s="13">
        <v>1196420.7800000003</v>
      </c>
      <c r="G19" s="13">
        <v>893487.03850400017</v>
      </c>
      <c r="H19" s="41" t="s">
        <v>38</v>
      </c>
      <c r="I19" s="41" t="s">
        <v>39</v>
      </c>
      <c r="J19" s="39" t="s">
        <v>40</v>
      </c>
      <c r="K19" s="39" t="s">
        <v>41</v>
      </c>
      <c r="L19" s="39" t="s">
        <v>42</v>
      </c>
      <c r="M19" s="11" t="s">
        <v>62</v>
      </c>
      <c r="N19" s="42" t="s">
        <v>63</v>
      </c>
      <c r="O19" s="43"/>
      <c r="P19" s="43"/>
      <c r="Q19" s="44"/>
    </row>
    <row r="20" spans="2:17" ht="11.5" x14ac:dyDescent="0.25">
      <c r="B20" s="39" t="s">
        <v>865</v>
      </c>
      <c r="C20" s="40" t="s">
        <v>64</v>
      </c>
      <c r="D20" s="39"/>
      <c r="E20" s="39"/>
      <c r="F20" s="13">
        <v>1000000</v>
      </c>
      <c r="G20" s="13">
        <v>746800</v>
      </c>
      <c r="H20" s="41" t="s">
        <v>38</v>
      </c>
      <c r="I20" s="41" t="s">
        <v>39</v>
      </c>
      <c r="J20" s="39" t="s">
        <v>40</v>
      </c>
      <c r="K20" s="39" t="s">
        <v>41</v>
      </c>
      <c r="L20" s="39" t="s">
        <v>42</v>
      </c>
      <c r="M20" s="11" t="s">
        <v>65</v>
      </c>
      <c r="N20" s="42">
        <v>72010</v>
      </c>
      <c r="O20" s="43"/>
      <c r="P20" s="43"/>
      <c r="Q20" s="44"/>
    </row>
    <row r="21" spans="2:17" ht="23" x14ac:dyDescent="0.25">
      <c r="B21" s="39" t="s">
        <v>865</v>
      </c>
      <c r="C21" s="40" t="s">
        <v>66</v>
      </c>
      <c r="D21" s="39"/>
      <c r="E21" s="39"/>
      <c r="F21" s="13">
        <v>810000</v>
      </c>
      <c r="G21" s="13">
        <v>604908</v>
      </c>
      <c r="H21" s="41" t="s">
        <v>38</v>
      </c>
      <c r="I21" s="41" t="s">
        <v>39</v>
      </c>
      <c r="J21" s="39" t="s">
        <v>40</v>
      </c>
      <c r="K21" s="39" t="s">
        <v>41</v>
      </c>
      <c r="L21" s="39" t="s">
        <v>42</v>
      </c>
      <c r="M21" s="11" t="s">
        <v>45</v>
      </c>
      <c r="N21" s="42" t="s">
        <v>67</v>
      </c>
      <c r="O21" s="43" t="s">
        <v>68</v>
      </c>
      <c r="P21" s="43"/>
      <c r="Q21" s="44"/>
    </row>
    <row r="22" spans="2:17" ht="11.5" x14ac:dyDescent="0.25">
      <c r="B22" s="39" t="s">
        <v>865</v>
      </c>
      <c r="C22" s="40" t="s">
        <v>69</v>
      </c>
      <c r="D22" s="39"/>
      <c r="E22" s="39"/>
      <c r="F22" s="13">
        <v>640600</v>
      </c>
      <c r="G22" s="13">
        <v>478400.08</v>
      </c>
      <c r="H22" s="41" t="s">
        <v>38</v>
      </c>
      <c r="I22" s="41" t="s">
        <v>39</v>
      </c>
      <c r="J22" s="39" t="s">
        <v>40</v>
      </c>
      <c r="K22" s="39" t="s">
        <v>41</v>
      </c>
      <c r="L22" s="39" t="s">
        <v>42</v>
      </c>
      <c r="M22" s="11" t="s">
        <v>43</v>
      </c>
      <c r="N22" s="42">
        <v>31110</v>
      </c>
      <c r="O22" s="43" t="s">
        <v>68</v>
      </c>
      <c r="P22" s="43"/>
      <c r="Q22" s="44"/>
    </row>
    <row r="23" spans="2:17" ht="69" x14ac:dyDescent="0.25">
      <c r="B23" s="39" t="s">
        <v>865</v>
      </c>
      <c r="C23" s="40" t="s">
        <v>70</v>
      </c>
      <c r="D23" s="39"/>
      <c r="E23" s="39"/>
      <c r="F23" s="13">
        <v>605052</v>
      </c>
      <c r="G23" s="13">
        <v>451852.83360000001</v>
      </c>
      <c r="H23" s="41" t="s">
        <v>38</v>
      </c>
      <c r="I23" s="41" t="s">
        <v>39</v>
      </c>
      <c r="J23" s="39" t="s">
        <v>40</v>
      </c>
      <c r="K23" s="39" t="s">
        <v>41</v>
      </c>
      <c r="L23" s="39" t="s">
        <v>42</v>
      </c>
      <c r="M23" s="11" t="s">
        <v>71</v>
      </c>
      <c r="N23" s="42" t="s">
        <v>72</v>
      </c>
      <c r="O23" s="43"/>
      <c r="P23" s="43"/>
      <c r="Q23" s="44"/>
    </row>
    <row r="24" spans="2:17" ht="11.5" x14ac:dyDescent="0.25">
      <c r="B24" s="39" t="s">
        <v>865</v>
      </c>
      <c r="C24" s="40" t="s">
        <v>73</v>
      </c>
      <c r="D24" s="39"/>
      <c r="E24" s="39"/>
      <c r="F24" s="13">
        <v>462884.23680000019</v>
      </c>
      <c r="G24" s="13">
        <v>345681.94804224017</v>
      </c>
      <c r="H24" s="41" t="s">
        <v>38</v>
      </c>
      <c r="I24" s="41" t="s">
        <v>39</v>
      </c>
      <c r="J24" s="39" t="s">
        <v>40</v>
      </c>
      <c r="K24" s="39" t="s">
        <v>41</v>
      </c>
      <c r="L24" s="39" t="s">
        <v>42</v>
      </c>
      <c r="M24" s="11" t="s">
        <v>74</v>
      </c>
      <c r="N24" s="42">
        <v>25010</v>
      </c>
      <c r="O24" s="43"/>
      <c r="P24" s="43"/>
      <c r="Q24" s="44"/>
    </row>
    <row r="25" spans="2:17" ht="11.5" x14ac:dyDescent="0.25">
      <c r="B25" s="39" t="s">
        <v>865</v>
      </c>
      <c r="C25" s="40" t="s">
        <v>75</v>
      </c>
      <c r="D25" s="39"/>
      <c r="E25" s="39"/>
      <c r="F25" s="13">
        <v>400000</v>
      </c>
      <c r="G25" s="13">
        <v>298720</v>
      </c>
      <c r="H25" s="41" t="s">
        <v>38</v>
      </c>
      <c r="I25" s="41" t="s">
        <v>39</v>
      </c>
      <c r="J25" s="39" t="s">
        <v>40</v>
      </c>
      <c r="K25" s="39" t="s">
        <v>41</v>
      </c>
      <c r="L25" s="39" t="s">
        <v>42</v>
      </c>
      <c r="M25" s="11" t="s">
        <v>76</v>
      </c>
      <c r="N25" s="42">
        <v>41010</v>
      </c>
      <c r="O25" s="43"/>
      <c r="P25" s="43"/>
      <c r="Q25" s="44"/>
    </row>
    <row r="26" spans="2:17" ht="23" x14ac:dyDescent="0.25">
      <c r="B26" s="39" t="s">
        <v>865</v>
      </c>
      <c r="C26" s="40" t="s">
        <v>77</v>
      </c>
      <c r="D26" s="39"/>
      <c r="E26" s="39"/>
      <c r="F26" s="13">
        <v>300406.15599999996</v>
      </c>
      <c r="G26" s="13">
        <v>224343.31730079997</v>
      </c>
      <c r="H26" s="41" t="s">
        <v>38</v>
      </c>
      <c r="I26" s="41" t="s">
        <v>39</v>
      </c>
      <c r="J26" s="39" t="s">
        <v>40</v>
      </c>
      <c r="K26" s="39" t="s">
        <v>41</v>
      </c>
      <c r="L26" s="39" t="s">
        <v>42</v>
      </c>
      <c r="M26" s="11" t="s">
        <v>78</v>
      </c>
      <c r="N26" s="42" t="s">
        <v>79</v>
      </c>
      <c r="O26" s="43"/>
      <c r="P26" s="43"/>
      <c r="Q26" s="44"/>
    </row>
    <row r="27" spans="2:17" ht="11.5" x14ac:dyDescent="0.25">
      <c r="B27" s="39" t="s">
        <v>865</v>
      </c>
      <c r="C27" s="40" t="s">
        <v>80</v>
      </c>
      <c r="D27" s="39"/>
      <c r="E27" s="39"/>
      <c r="F27" s="13">
        <v>250000</v>
      </c>
      <c r="G27" s="13">
        <v>186700</v>
      </c>
      <c r="H27" s="41" t="s">
        <v>38</v>
      </c>
      <c r="I27" s="41" t="s">
        <v>39</v>
      </c>
      <c r="J27" s="39" t="s">
        <v>40</v>
      </c>
      <c r="K27" s="39" t="s">
        <v>41</v>
      </c>
      <c r="L27" s="39" t="s">
        <v>42</v>
      </c>
      <c r="M27" s="11" t="s">
        <v>81</v>
      </c>
      <c r="N27" s="42">
        <v>23110</v>
      </c>
      <c r="O27" s="43" t="s">
        <v>68</v>
      </c>
      <c r="P27" s="43"/>
      <c r="Q27" s="44"/>
    </row>
    <row r="28" spans="2:17" ht="115" x14ac:dyDescent="0.25">
      <c r="B28" s="39" t="s">
        <v>865</v>
      </c>
      <c r="C28" s="40" t="s">
        <v>82</v>
      </c>
      <c r="D28" s="39"/>
      <c r="E28" s="39"/>
      <c r="F28" s="13">
        <v>230312.13</v>
      </c>
      <c r="G28" s="13">
        <v>171997.098684</v>
      </c>
      <c r="H28" s="41" t="s">
        <v>38</v>
      </c>
      <c r="I28" s="41" t="s">
        <v>39</v>
      </c>
      <c r="J28" s="39" t="s">
        <v>40</v>
      </c>
      <c r="K28" s="39" t="s">
        <v>41</v>
      </c>
      <c r="L28" s="39" t="s">
        <v>42</v>
      </c>
      <c r="M28" s="11" t="s">
        <v>83</v>
      </c>
      <c r="N28" s="42" t="s">
        <v>84</v>
      </c>
      <c r="O28" s="43"/>
      <c r="P28" s="43"/>
      <c r="Q28" s="44"/>
    </row>
    <row r="29" spans="2:17" ht="69" x14ac:dyDescent="0.25">
      <c r="B29" s="39" t="s">
        <v>865</v>
      </c>
      <c r="C29" s="40" t="s">
        <v>85</v>
      </c>
      <c r="D29" s="39"/>
      <c r="E29" s="39"/>
      <c r="F29" s="13">
        <v>229837.48199999996</v>
      </c>
      <c r="G29" s="13">
        <v>171642.63155759996</v>
      </c>
      <c r="H29" s="41" t="s">
        <v>38</v>
      </c>
      <c r="I29" s="41" t="s">
        <v>39</v>
      </c>
      <c r="J29" s="39" t="s">
        <v>40</v>
      </c>
      <c r="K29" s="39" t="s">
        <v>41</v>
      </c>
      <c r="L29" s="39" t="s">
        <v>42</v>
      </c>
      <c r="M29" s="11" t="s">
        <v>86</v>
      </c>
      <c r="N29" s="42" t="s">
        <v>87</v>
      </c>
      <c r="O29" s="43"/>
      <c r="P29" s="43"/>
      <c r="Q29" s="44"/>
    </row>
    <row r="30" spans="2:17" ht="69" x14ac:dyDescent="0.25">
      <c r="B30" s="39" t="s">
        <v>865</v>
      </c>
      <c r="C30" s="40" t="s">
        <v>88</v>
      </c>
      <c r="D30" s="39"/>
      <c r="E30" s="39"/>
      <c r="F30" s="13">
        <v>226128.3</v>
      </c>
      <c r="G30" s="13">
        <v>168872.61444</v>
      </c>
      <c r="H30" s="41" t="s">
        <v>38</v>
      </c>
      <c r="I30" s="41" t="s">
        <v>39</v>
      </c>
      <c r="J30" s="39" t="s">
        <v>40</v>
      </c>
      <c r="K30" s="39" t="s">
        <v>41</v>
      </c>
      <c r="L30" s="39" t="s">
        <v>42</v>
      </c>
      <c r="M30" s="11" t="s">
        <v>89</v>
      </c>
      <c r="N30" s="42" t="s">
        <v>90</v>
      </c>
      <c r="O30" s="43"/>
      <c r="P30" s="43"/>
      <c r="Q30" s="44"/>
    </row>
    <row r="31" spans="2:17" ht="11.5" x14ac:dyDescent="0.25">
      <c r="B31" s="39" t="s">
        <v>865</v>
      </c>
      <c r="C31" s="40" t="s">
        <v>91</v>
      </c>
      <c r="D31" s="39"/>
      <c r="E31" s="39"/>
      <c r="F31" s="13">
        <v>226073.32269999999</v>
      </c>
      <c r="G31" s="13">
        <v>168831.55739236</v>
      </c>
      <c r="H31" s="41" t="s">
        <v>38</v>
      </c>
      <c r="I31" s="41" t="s">
        <v>39</v>
      </c>
      <c r="J31" s="39" t="s">
        <v>40</v>
      </c>
      <c r="K31" s="39" t="s">
        <v>41</v>
      </c>
      <c r="L31" s="39" t="s">
        <v>42</v>
      </c>
      <c r="M31" s="11" t="s">
        <v>92</v>
      </c>
      <c r="N31" s="42">
        <v>43081</v>
      </c>
      <c r="O31" s="43"/>
      <c r="P31" s="43"/>
      <c r="Q31" s="44"/>
    </row>
    <row r="32" spans="2:17" ht="11.5" x14ac:dyDescent="0.25">
      <c r="B32" s="39" t="s">
        <v>865</v>
      </c>
      <c r="C32" s="40" t="s">
        <v>93</v>
      </c>
      <c r="D32" s="39"/>
      <c r="E32" s="39"/>
      <c r="F32" s="13">
        <v>205000</v>
      </c>
      <c r="G32" s="13">
        <v>153094</v>
      </c>
      <c r="H32" s="41" t="s">
        <v>38</v>
      </c>
      <c r="I32" s="41" t="s">
        <v>39</v>
      </c>
      <c r="J32" s="39" t="s">
        <v>40</v>
      </c>
      <c r="K32" s="39" t="s">
        <v>41</v>
      </c>
      <c r="L32" s="39" t="s">
        <v>42</v>
      </c>
      <c r="M32" s="11" t="s">
        <v>94</v>
      </c>
      <c r="N32" s="42">
        <v>16010</v>
      </c>
      <c r="O32" s="43"/>
      <c r="P32" s="43"/>
      <c r="Q32" s="44"/>
    </row>
    <row r="33" spans="2:17" ht="126.5" x14ac:dyDescent="0.25">
      <c r="B33" s="39" t="s">
        <v>865</v>
      </c>
      <c r="C33" s="40" t="s">
        <v>95</v>
      </c>
      <c r="D33" s="39"/>
      <c r="E33" s="39"/>
      <c r="F33" s="13">
        <v>188093.93</v>
      </c>
      <c r="G33" s="13">
        <v>140468.54692399999</v>
      </c>
      <c r="H33" s="41" t="s">
        <v>38</v>
      </c>
      <c r="I33" s="41" t="s">
        <v>39</v>
      </c>
      <c r="J33" s="39" t="s">
        <v>40</v>
      </c>
      <c r="K33" s="39" t="s">
        <v>41</v>
      </c>
      <c r="L33" s="39" t="s">
        <v>42</v>
      </c>
      <c r="M33" s="11" t="s">
        <v>96</v>
      </c>
      <c r="N33" s="42" t="s">
        <v>97</v>
      </c>
      <c r="O33" s="43"/>
      <c r="P33" s="43"/>
      <c r="Q33" s="44"/>
    </row>
    <row r="34" spans="2:17" ht="23" x14ac:dyDescent="0.25">
      <c r="B34" s="39" t="s">
        <v>865</v>
      </c>
      <c r="C34" s="40" t="s">
        <v>98</v>
      </c>
      <c r="D34" s="39"/>
      <c r="E34" s="39"/>
      <c r="F34" s="13">
        <v>173483.88400000002</v>
      </c>
      <c r="G34" s="13">
        <v>129557.76457120002</v>
      </c>
      <c r="H34" s="41" t="s">
        <v>38</v>
      </c>
      <c r="I34" s="41" t="s">
        <v>39</v>
      </c>
      <c r="J34" s="39" t="s">
        <v>40</v>
      </c>
      <c r="K34" s="39" t="s">
        <v>41</v>
      </c>
      <c r="L34" s="39" t="s">
        <v>42</v>
      </c>
      <c r="M34" s="11" t="s">
        <v>99</v>
      </c>
      <c r="N34" s="42" t="s">
        <v>100</v>
      </c>
      <c r="O34" s="43"/>
      <c r="P34" s="43"/>
      <c r="Q34" s="44"/>
    </row>
    <row r="35" spans="2:17" ht="195.5" x14ac:dyDescent="0.25">
      <c r="B35" s="39" t="s">
        <v>865</v>
      </c>
      <c r="C35" s="40" t="s">
        <v>101</v>
      </c>
      <c r="D35" s="39"/>
      <c r="E35" s="39"/>
      <c r="F35" s="13">
        <v>169568.13578142744</v>
      </c>
      <c r="G35" s="13">
        <v>126633.48380157001</v>
      </c>
      <c r="H35" s="41" t="s">
        <v>38</v>
      </c>
      <c r="I35" s="41" t="s">
        <v>39</v>
      </c>
      <c r="J35" s="39" t="s">
        <v>40</v>
      </c>
      <c r="K35" s="39" t="s">
        <v>41</v>
      </c>
      <c r="L35" s="39" t="s">
        <v>42</v>
      </c>
      <c r="M35" s="11" t="s">
        <v>102</v>
      </c>
      <c r="N35" s="42" t="s">
        <v>103</v>
      </c>
      <c r="O35" s="43"/>
      <c r="P35" s="43"/>
      <c r="Q35" s="44"/>
    </row>
    <row r="36" spans="2:17" ht="11.5" x14ac:dyDescent="0.25">
      <c r="B36" s="39" t="s">
        <v>865</v>
      </c>
      <c r="C36" s="40" t="s">
        <v>104</v>
      </c>
      <c r="D36" s="39"/>
      <c r="E36" s="39"/>
      <c r="F36" s="13">
        <v>160000</v>
      </c>
      <c r="G36" s="13">
        <v>119488</v>
      </c>
      <c r="H36" s="41" t="s">
        <v>38</v>
      </c>
      <c r="I36" s="41" t="s">
        <v>39</v>
      </c>
      <c r="J36" s="39" t="s">
        <v>40</v>
      </c>
      <c r="K36" s="39" t="s">
        <v>41</v>
      </c>
      <c r="L36" s="39" t="s">
        <v>42</v>
      </c>
      <c r="M36" s="11" t="s">
        <v>57</v>
      </c>
      <c r="N36" s="42">
        <v>74020</v>
      </c>
      <c r="O36" s="43"/>
      <c r="P36" s="43"/>
      <c r="Q36" s="44"/>
    </row>
    <row r="37" spans="2:17" ht="172.5" x14ac:dyDescent="0.25">
      <c r="B37" s="39" t="s">
        <v>865</v>
      </c>
      <c r="C37" s="40" t="s">
        <v>105</v>
      </c>
      <c r="D37" s="39"/>
      <c r="E37" s="39"/>
      <c r="F37" s="13">
        <v>153749.73999999996</v>
      </c>
      <c r="G37" s="13">
        <v>114820.30583199997</v>
      </c>
      <c r="H37" s="41" t="s">
        <v>38</v>
      </c>
      <c r="I37" s="41" t="s">
        <v>39</v>
      </c>
      <c r="J37" s="39" t="s">
        <v>40</v>
      </c>
      <c r="K37" s="39" t="s">
        <v>41</v>
      </c>
      <c r="L37" s="39" t="s">
        <v>42</v>
      </c>
      <c r="M37" s="11" t="s">
        <v>106</v>
      </c>
      <c r="N37" s="42" t="s">
        <v>107</v>
      </c>
      <c r="O37" s="43"/>
      <c r="P37" s="43"/>
      <c r="Q37" s="44"/>
    </row>
    <row r="38" spans="2:17" ht="11.5" x14ac:dyDescent="0.25">
      <c r="B38" s="39" t="s">
        <v>865</v>
      </c>
      <c r="C38" s="40" t="s">
        <v>108</v>
      </c>
      <c r="D38" s="39"/>
      <c r="E38" s="39"/>
      <c r="F38" s="13">
        <v>148149</v>
      </c>
      <c r="G38" s="13">
        <v>110637.6732</v>
      </c>
      <c r="H38" s="41" t="s">
        <v>38</v>
      </c>
      <c r="I38" s="41" t="s">
        <v>39</v>
      </c>
      <c r="J38" s="39" t="s">
        <v>40</v>
      </c>
      <c r="K38" s="39" t="s">
        <v>41</v>
      </c>
      <c r="L38" s="39" t="s">
        <v>42</v>
      </c>
      <c r="M38" s="11" t="s">
        <v>74</v>
      </c>
      <c r="N38" s="42">
        <v>25010</v>
      </c>
      <c r="O38" s="43"/>
      <c r="P38" s="43"/>
      <c r="Q38" s="44"/>
    </row>
    <row r="39" spans="2:17" ht="92" x14ac:dyDescent="0.25">
      <c r="B39" s="39" t="s">
        <v>865</v>
      </c>
      <c r="C39" s="40" t="s">
        <v>109</v>
      </c>
      <c r="D39" s="39"/>
      <c r="E39" s="39"/>
      <c r="F39" s="13">
        <v>136754.53140000001</v>
      </c>
      <c r="G39" s="13">
        <v>102128.28404952001</v>
      </c>
      <c r="H39" s="41" t="s">
        <v>38</v>
      </c>
      <c r="I39" s="41" t="s">
        <v>39</v>
      </c>
      <c r="J39" s="39" t="s">
        <v>40</v>
      </c>
      <c r="K39" s="39" t="s">
        <v>41</v>
      </c>
      <c r="L39" s="39" t="s">
        <v>42</v>
      </c>
      <c r="M39" s="11" t="s">
        <v>110</v>
      </c>
      <c r="N39" s="42" t="s">
        <v>111</v>
      </c>
      <c r="O39" s="43"/>
      <c r="P39" s="43"/>
      <c r="Q39" s="44"/>
    </row>
    <row r="40" spans="2:17" ht="57.5" x14ac:dyDescent="0.25">
      <c r="B40" s="39" t="s">
        <v>865</v>
      </c>
      <c r="C40" s="40" t="s">
        <v>112</v>
      </c>
      <c r="D40" s="39"/>
      <c r="E40" s="39"/>
      <c r="F40" s="13">
        <v>127600.00000000001</v>
      </c>
      <c r="G40" s="13">
        <v>95291.680000000008</v>
      </c>
      <c r="H40" s="41" t="s">
        <v>38</v>
      </c>
      <c r="I40" s="41" t="s">
        <v>39</v>
      </c>
      <c r="J40" s="39" t="s">
        <v>40</v>
      </c>
      <c r="K40" s="39" t="s">
        <v>41</v>
      </c>
      <c r="L40" s="39" t="s">
        <v>42</v>
      </c>
      <c r="M40" s="11" t="s">
        <v>113</v>
      </c>
      <c r="N40" s="42" t="s">
        <v>114</v>
      </c>
      <c r="O40" s="43"/>
      <c r="P40" s="43"/>
      <c r="Q40" s="44"/>
    </row>
    <row r="41" spans="2:17" ht="57.5" x14ac:dyDescent="0.25">
      <c r="B41" s="39" t="s">
        <v>865</v>
      </c>
      <c r="C41" s="40" t="s">
        <v>115</v>
      </c>
      <c r="D41" s="39"/>
      <c r="E41" s="39"/>
      <c r="F41" s="13">
        <v>80170.900000000009</v>
      </c>
      <c r="G41" s="13">
        <v>59871.628120000008</v>
      </c>
      <c r="H41" s="41" t="s">
        <v>38</v>
      </c>
      <c r="I41" s="41" t="s">
        <v>39</v>
      </c>
      <c r="J41" s="39" t="s">
        <v>40</v>
      </c>
      <c r="K41" s="39" t="s">
        <v>41</v>
      </c>
      <c r="L41" s="39" t="s">
        <v>42</v>
      </c>
      <c r="M41" s="11" t="s">
        <v>43</v>
      </c>
      <c r="N41" s="42" t="s">
        <v>116</v>
      </c>
      <c r="O41" s="43"/>
      <c r="P41" s="43"/>
      <c r="Q41" s="44"/>
    </row>
    <row r="42" spans="2:17" ht="34.5" x14ac:dyDescent="0.25">
      <c r="B42" s="39" t="s">
        <v>865</v>
      </c>
      <c r="C42" s="40" t="s">
        <v>117</v>
      </c>
      <c r="D42" s="39"/>
      <c r="E42" s="39"/>
      <c r="F42" s="13">
        <v>79571.240000000005</v>
      </c>
      <c r="G42" s="13">
        <v>59423.802032000007</v>
      </c>
      <c r="H42" s="41" t="s">
        <v>38</v>
      </c>
      <c r="I42" s="41" t="s">
        <v>39</v>
      </c>
      <c r="J42" s="39" t="s">
        <v>40</v>
      </c>
      <c r="K42" s="39" t="s">
        <v>41</v>
      </c>
      <c r="L42" s="39" t="s">
        <v>42</v>
      </c>
      <c r="M42" s="11" t="s">
        <v>118</v>
      </c>
      <c r="N42" s="42" t="s">
        <v>119</v>
      </c>
      <c r="O42" s="43"/>
      <c r="P42" s="43"/>
      <c r="Q42" s="44"/>
    </row>
    <row r="43" spans="2:17" ht="11.5" x14ac:dyDescent="0.25">
      <c r="B43" s="39" t="s">
        <v>865</v>
      </c>
      <c r="C43" s="40" t="s">
        <v>120</v>
      </c>
      <c r="D43" s="39"/>
      <c r="E43" s="39"/>
      <c r="F43" s="13">
        <v>70371.149999999994</v>
      </c>
      <c r="G43" s="13">
        <v>52553.17482</v>
      </c>
      <c r="H43" s="41" t="s">
        <v>38</v>
      </c>
      <c r="I43" s="41" t="s">
        <v>39</v>
      </c>
      <c r="J43" s="39" t="s">
        <v>40</v>
      </c>
      <c r="K43" s="39" t="s">
        <v>41</v>
      </c>
      <c r="L43" s="39" t="s">
        <v>42</v>
      </c>
      <c r="M43" s="11" t="s">
        <v>92</v>
      </c>
      <c r="N43" s="42">
        <v>43081</v>
      </c>
      <c r="O43" s="43"/>
      <c r="P43" s="43"/>
      <c r="Q43" s="44"/>
    </row>
    <row r="44" spans="2:17" ht="23" x14ac:dyDescent="0.25">
      <c r="B44" s="39" t="s">
        <v>865</v>
      </c>
      <c r="C44" s="40" t="s">
        <v>121</v>
      </c>
      <c r="D44" s="39"/>
      <c r="E44" s="39"/>
      <c r="F44" s="13">
        <v>66301.2</v>
      </c>
      <c r="G44" s="13">
        <v>49513.73616</v>
      </c>
      <c r="H44" s="41" t="s">
        <v>38</v>
      </c>
      <c r="I44" s="41" t="s">
        <v>39</v>
      </c>
      <c r="J44" s="39" t="s">
        <v>40</v>
      </c>
      <c r="K44" s="39" t="s">
        <v>41</v>
      </c>
      <c r="L44" s="39" t="s">
        <v>42</v>
      </c>
      <c r="M44" s="11" t="s">
        <v>122</v>
      </c>
      <c r="N44" s="42" t="s">
        <v>123</v>
      </c>
      <c r="O44" s="43"/>
      <c r="P44" s="43"/>
      <c r="Q44" s="44"/>
    </row>
    <row r="45" spans="2:17" ht="11.5" x14ac:dyDescent="0.25">
      <c r="B45" s="39" t="s">
        <v>865</v>
      </c>
      <c r="C45" s="40" t="s">
        <v>124</v>
      </c>
      <c r="D45" s="39"/>
      <c r="E45" s="39"/>
      <c r="F45" s="13">
        <v>62500</v>
      </c>
      <c r="G45" s="13">
        <v>46675</v>
      </c>
      <c r="H45" s="41" t="s">
        <v>38</v>
      </c>
      <c r="I45" s="41" t="s">
        <v>39</v>
      </c>
      <c r="J45" s="39" t="s">
        <v>40</v>
      </c>
      <c r="K45" s="39" t="s">
        <v>41</v>
      </c>
      <c r="L45" s="39" t="s">
        <v>42</v>
      </c>
      <c r="M45" s="11" t="s">
        <v>125</v>
      </c>
      <c r="N45" s="42">
        <v>14030</v>
      </c>
      <c r="O45" s="43"/>
      <c r="P45" s="43"/>
      <c r="Q45" s="44"/>
    </row>
    <row r="46" spans="2:17" ht="34.5" x14ac:dyDescent="0.25">
      <c r="B46" s="39" t="s">
        <v>865</v>
      </c>
      <c r="C46" s="40" t="s">
        <v>126</v>
      </c>
      <c r="D46" s="39"/>
      <c r="E46" s="39"/>
      <c r="F46" s="13">
        <v>53330</v>
      </c>
      <c r="G46" s="13">
        <v>39826.844000000005</v>
      </c>
      <c r="H46" s="41" t="s">
        <v>38</v>
      </c>
      <c r="I46" s="41" t="s">
        <v>39</v>
      </c>
      <c r="J46" s="39" t="s">
        <v>40</v>
      </c>
      <c r="K46" s="39" t="s">
        <v>41</v>
      </c>
      <c r="L46" s="39" t="s">
        <v>42</v>
      </c>
      <c r="M46" s="11" t="s">
        <v>127</v>
      </c>
      <c r="N46" s="42" t="s">
        <v>128</v>
      </c>
      <c r="O46" s="43"/>
      <c r="P46" s="43"/>
      <c r="Q46" s="44"/>
    </row>
    <row r="47" spans="2:17" ht="11.5" x14ac:dyDescent="0.25">
      <c r="B47" s="39" t="s">
        <v>865</v>
      </c>
      <c r="C47" s="40" t="s">
        <v>129</v>
      </c>
      <c r="D47" s="39"/>
      <c r="E47" s="39"/>
      <c r="F47" s="13">
        <v>51429.911999999997</v>
      </c>
      <c r="G47" s="13">
        <v>38407.858281599998</v>
      </c>
      <c r="H47" s="41" t="s">
        <v>38</v>
      </c>
      <c r="I47" s="41" t="s">
        <v>39</v>
      </c>
      <c r="J47" s="39" t="s">
        <v>40</v>
      </c>
      <c r="K47" s="39" t="s">
        <v>41</v>
      </c>
      <c r="L47" s="39" t="s">
        <v>42</v>
      </c>
      <c r="M47" s="11" t="s">
        <v>130</v>
      </c>
      <c r="N47" s="42">
        <v>43081</v>
      </c>
      <c r="O47" s="43"/>
      <c r="P47" s="43"/>
      <c r="Q47" s="44"/>
    </row>
    <row r="48" spans="2:17" ht="23" x14ac:dyDescent="0.25">
      <c r="B48" s="39" t="s">
        <v>865</v>
      </c>
      <c r="C48" s="40" t="s">
        <v>131</v>
      </c>
      <c r="D48" s="39"/>
      <c r="E48" s="39"/>
      <c r="F48" s="13">
        <v>39169.199999999997</v>
      </c>
      <c r="G48" s="13">
        <v>29251.558559999998</v>
      </c>
      <c r="H48" s="41" t="s">
        <v>38</v>
      </c>
      <c r="I48" s="41" t="s">
        <v>39</v>
      </c>
      <c r="J48" s="39" t="s">
        <v>40</v>
      </c>
      <c r="K48" s="39" t="s">
        <v>41</v>
      </c>
      <c r="L48" s="39" t="s">
        <v>42</v>
      </c>
      <c r="M48" s="11" t="s">
        <v>132</v>
      </c>
      <c r="N48" s="42" t="s">
        <v>133</v>
      </c>
      <c r="O48" s="43"/>
      <c r="P48" s="43"/>
      <c r="Q48" s="44"/>
    </row>
    <row r="49" spans="2:17" ht="34.5" x14ac:dyDescent="0.25">
      <c r="B49" s="39" t="s">
        <v>865</v>
      </c>
      <c r="C49" s="40" t="s">
        <v>134</v>
      </c>
      <c r="D49" s="39"/>
      <c r="E49" s="39"/>
      <c r="F49" s="13">
        <v>30211.980000000003</v>
      </c>
      <c r="G49" s="13">
        <v>22562.306664000003</v>
      </c>
      <c r="H49" s="41" t="s">
        <v>38</v>
      </c>
      <c r="I49" s="41" t="s">
        <v>39</v>
      </c>
      <c r="J49" s="39" t="s">
        <v>40</v>
      </c>
      <c r="K49" s="39" t="s">
        <v>41</v>
      </c>
      <c r="L49" s="39" t="s">
        <v>42</v>
      </c>
      <c r="M49" s="11" t="s">
        <v>43</v>
      </c>
      <c r="N49" s="42" t="s">
        <v>135</v>
      </c>
      <c r="O49" s="43"/>
      <c r="P49" s="43"/>
      <c r="Q49" s="44"/>
    </row>
    <row r="50" spans="2:17" ht="34.5" x14ac:dyDescent="0.25">
      <c r="B50" s="39" t="s">
        <v>865</v>
      </c>
      <c r="C50" s="40" t="s">
        <v>136</v>
      </c>
      <c r="D50" s="39"/>
      <c r="E50" s="39"/>
      <c r="F50" s="13">
        <v>27718.1</v>
      </c>
      <c r="G50" s="13">
        <v>20699.877079999998</v>
      </c>
      <c r="H50" s="41" t="s">
        <v>38</v>
      </c>
      <c r="I50" s="41" t="s">
        <v>39</v>
      </c>
      <c r="J50" s="39" t="s">
        <v>40</v>
      </c>
      <c r="K50" s="39" t="s">
        <v>41</v>
      </c>
      <c r="L50" s="39" t="s">
        <v>42</v>
      </c>
      <c r="M50" s="11" t="s">
        <v>137</v>
      </c>
      <c r="N50" s="42" t="s">
        <v>138</v>
      </c>
      <c r="O50" s="43"/>
      <c r="P50" s="43"/>
      <c r="Q50" s="44"/>
    </row>
    <row r="51" spans="2:17" ht="23" x14ac:dyDescent="0.25">
      <c r="B51" s="39" t="s">
        <v>865</v>
      </c>
      <c r="C51" s="40" t="s">
        <v>139</v>
      </c>
      <c r="D51" s="39"/>
      <c r="E51" s="39"/>
      <c r="F51" s="13">
        <v>27200</v>
      </c>
      <c r="G51" s="13">
        <v>20312.96</v>
      </c>
      <c r="H51" s="41" t="s">
        <v>38</v>
      </c>
      <c r="I51" s="41" t="s">
        <v>39</v>
      </c>
      <c r="J51" s="39" t="s">
        <v>40</v>
      </c>
      <c r="K51" s="39" t="s">
        <v>41</v>
      </c>
      <c r="L51" s="39" t="s">
        <v>42</v>
      </c>
      <c r="M51" s="11" t="s">
        <v>140</v>
      </c>
      <c r="N51" s="42" t="s">
        <v>141</v>
      </c>
      <c r="O51" s="43"/>
      <c r="P51" s="43"/>
      <c r="Q51" s="44"/>
    </row>
    <row r="52" spans="2:17" ht="23" x14ac:dyDescent="0.25">
      <c r="B52" s="39" t="s">
        <v>865</v>
      </c>
      <c r="C52" s="40" t="s">
        <v>142</v>
      </c>
      <c r="D52" s="39"/>
      <c r="E52" s="39"/>
      <c r="F52" s="13">
        <v>25000</v>
      </c>
      <c r="G52" s="13">
        <v>18670</v>
      </c>
      <c r="H52" s="41" t="s">
        <v>38</v>
      </c>
      <c r="I52" s="41" t="s">
        <v>39</v>
      </c>
      <c r="J52" s="39" t="s">
        <v>40</v>
      </c>
      <c r="K52" s="39" t="s">
        <v>41</v>
      </c>
      <c r="L52" s="39" t="s">
        <v>42</v>
      </c>
      <c r="M52" s="11" t="s">
        <v>47</v>
      </c>
      <c r="N52" s="42" t="s">
        <v>143</v>
      </c>
      <c r="O52" s="43"/>
      <c r="P52" s="43"/>
      <c r="Q52" s="44"/>
    </row>
    <row r="53" spans="2:17" s="32" customFormat="1" ht="11.5" x14ac:dyDescent="0.25">
      <c r="B53" s="39" t="s">
        <v>865</v>
      </c>
      <c r="C53" s="40" t="s">
        <v>144</v>
      </c>
      <c r="D53" s="39"/>
      <c r="E53" s="39"/>
      <c r="F53" s="13">
        <v>24904.230000000003</v>
      </c>
      <c r="G53" s="13">
        <v>18598.478964000002</v>
      </c>
      <c r="H53" s="41" t="s">
        <v>38</v>
      </c>
      <c r="I53" s="41" t="s">
        <v>39</v>
      </c>
      <c r="J53" s="39" t="s">
        <v>40</v>
      </c>
      <c r="K53" s="39" t="s">
        <v>41</v>
      </c>
      <c r="L53" s="39" t="s">
        <v>42</v>
      </c>
      <c r="M53" s="11" t="s">
        <v>130</v>
      </c>
      <c r="N53" s="42">
        <v>43081</v>
      </c>
      <c r="O53" s="43"/>
      <c r="P53" s="43"/>
      <c r="Q53" s="44"/>
    </row>
    <row r="54" spans="2:17" s="32" customFormat="1" ht="11.5" x14ac:dyDescent="0.25">
      <c r="B54" s="39" t="s">
        <v>865</v>
      </c>
      <c r="C54" s="40" t="s">
        <v>145</v>
      </c>
      <c r="D54" s="39"/>
      <c r="E54" s="39"/>
      <c r="F54" s="13">
        <v>21167</v>
      </c>
      <c r="G54" s="13">
        <v>15807.515600000001</v>
      </c>
      <c r="H54" s="41" t="s">
        <v>38</v>
      </c>
      <c r="I54" s="41" t="s">
        <v>39</v>
      </c>
      <c r="J54" s="39" t="s">
        <v>40</v>
      </c>
      <c r="K54" s="39" t="s">
        <v>41</v>
      </c>
      <c r="L54" s="39" t="s">
        <v>42</v>
      </c>
      <c r="M54" s="11" t="s">
        <v>43</v>
      </c>
      <c r="N54" s="42">
        <v>31161</v>
      </c>
      <c r="O54" s="43"/>
      <c r="P54" s="43"/>
      <c r="Q54" s="44"/>
    </row>
    <row r="55" spans="2:17" s="32" customFormat="1" ht="11.5" x14ac:dyDescent="0.25">
      <c r="B55" s="39" t="s">
        <v>865</v>
      </c>
      <c r="C55" s="40" t="s">
        <v>146</v>
      </c>
      <c r="D55" s="39"/>
      <c r="E55" s="39"/>
      <c r="F55" s="13">
        <v>12823</v>
      </c>
      <c r="G55" s="13">
        <v>9576.2163999999993</v>
      </c>
      <c r="H55" s="41" t="s">
        <v>38</v>
      </c>
      <c r="I55" s="41" t="s">
        <v>39</v>
      </c>
      <c r="J55" s="39" t="s">
        <v>40</v>
      </c>
      <c r="K55" s="39" t="s">
        <v>41</v>
      </c>
      <c r="L55" s="39" t="s">
        <v>42</v>
      </c>
      <c r="M55" s="11" t="s">
        <v>43</v>
      </c>
      <c r="N55" s="42">
        <v>31182</v>
      </c>
      <c r="O55" s="43"/>
      <c r="P55" s="43"/>
      <c r="Q55" s="44"/>
    </row>
    <row r="56" spans="2:17" s="32" customFormat="1" ht="23" x14ac:dyDescent="0.25">
      <c r="B56" s="39" t="s">
        <v>865</v>
      </c>
      <c r="C56" s="40" t="s">
        <v>147</v>
      </c>
      <c r="D56" s="39"/>
      <c r="E56" s="39"/>
      <c r="F56" s="13">
        <v>10000</v>
      </c>
      <c r="G56" s="13">
        <v>7468</v>
      </c>
      <c r="H56" s="41" t="s">
        <v>38</v>
      </c>
      <c r="I56" s="41" t="s">
        <v>39</v>
      </c>
      <c r="J56" s="39" t="s">
        <v>40</v>
      </c>
      <c r="K56" s="39" t="s">
        <v>41</v>
      </c>
      <c r="L56" s="39" t="s">
        <v>42</v>
      </c>
      <c r="M56" s="11" t="s">
        <v>148</v>
      </c>
      <c r="N56" s="42" t="s">
        <v>149</v>
      </c>
      <c r="O56" s="43"/>
      <c r="P56" s="43"/>
      <c r="Q56" s="44"/>
    </row>
    <row r="57" spans="2:17" s="32" customFormat="1" ht="11.5" x14ac:dyDescent="0.25">
      <c r="B57" s="39" t="s">
        <v>865</v>
      </c>
      <c r="C57" s="40" t="s">
        <v>150</v>
      </c>
      <c r="D57" s="39"/>
      <c r="E57" s="39"/>
      <c r="F57" s="13">
        <v>6108</v>
      </c>
      <c r="G57" s="13">
        <v>4561.4544000000005</v>
      </c>
      <c r="H57" s="41" t="s">
        <v>38</v>
      </c>
      <c r="I57" s="41" t="s">
        <v>39</v>
      </c>
      <c r="J57" s="39" t="s">
        <v>40</v>
      </c>
      <c r="K57" s="39" t="s">
        <v>41</v>
      </c>
      <c r="L57" s="39" t="s">
        <v>42</v>
      </c>
      <c r="M57" s="11" t="s">
        <v>57</v>
      </c>
      <c r="N57" s="42">
        <v>74010</v>
      </c>
      <c r="O57" s="43"/>
      <c r="P57" s="43"/>
      <c r="Q57" s="44"/>
    </row>
    <row r="58" spans="2:17" ht="23" x14ac:dyDescent="0.25">
      <c r="B58" s="39" t="s">
        <v>865</v>
      </c>
      <c r="C58" s="40" t="s">
        <v>151</v>
      </c>
      <c r="D58" s="39"/>
      <c r="E58" s="39"/>
      <c r="F58" s="13">
        <v>4400</v>
      </c>
      <c r="G58" s="13">
        <v>3285.92</v>
      </c>
      <c r="H58" s="41" t="s">
        <v>38</v>
      </c>
      <c r="I58" s="41" t="s">
        <v>39</v>
      </c>
      <c r="J58" s="39" t="s">
        <v>40</v>
      </c>
      <c r="K58" s="39" t="s">
        <v>41</v>
      </c>
      <c r="L58" s="39" t="s">
        <v>42</v>
      </c>
      <c r="M58" s="11" t="s">
        <v>152</v>
      </c>
      <c r="N58" s="42" t="s">
        <v>153</v>
      </c>
      <c r="O58" s="43"/>
      <c r="P58" s="43"/>
      <c r="Q58" s="44"/>
    </row>
    <row r="59" spans="2:17" ht="23" x14ac:dyDescent="0.25">
      <c r="B59" s="39" t="s">
        <v>865</v>
      </c>
      <c r="C59" s="40" t="s">
        <v>154</v>
      </c>
      <c r="D59" s="39"/>
      <c r="E59" s="39"/>
      <c r="F59" s="13">
        <v>2181.1</v>
      </c>
      <c r="G59" s="13">
        <v>1628.84548</v>
      </c>
      <c r="H59" s="41" t="s">
        <v>38</v>
      </c>
      <c r="I59" s="41" t="s">
        <v>39</v>
      </c>
      <c r="J59" s="39" t="s">
        <v>40</v>
      </c>
      <c r="K59" s="39" t="s">
        <v>41</v>
      </c>
      <c r="L59" s="39" t="s">
        <v>42</v>
      </c>
      <c r="M59" s="11" t="s">
        <v>99</v>
      </c>
      <c r="N59" s="42" t="s">
        <v>155</v>
      </c>
      <c r="O59" s="43"/>
      <c r="P59" s="43"/>
      <c r="Q59" s="44"/>
    </row>
    <row r="60" spans="2:17" ht="11.5" x14ac:dyDescent="0.25">
      <c r="B60" s="39" t="s">
        <v>865</v>
      </c>
      <c r="C60" s="40" t="s">
        <v>156</v>
      </c>
      <c r="D60" s="39"/>
      <c r="E60" s="39"/>
      <c r="F60" s="13">
        <v>1750</v>
      </c>
      <c r="G60" s="13">
        <v>1306.9000000000001</v>
      </c>
      <c r="H60" s="41" t="s">
        <v>38</v>
      </c>
      <c r="I60" s="41" t="s">
        <v>39</v>
      </c>
      <c r="J60" s="39" t="s">
        <v>40</v>
      </c>
      <c r="K60" s="39" t="s">
        <v>41</v>
      </c>
      <c r="L60" s="39" t="s">
        <v>42</v>
      </c>
      <c r="M60" s="11" t="s">
        <v>92</v>
      </c>
      <c r="N60" s="42">
        <v>43040</v>
      </c>
      <c r="O60" s="43"/>
      <c r="P60" s="43"/>
      <c r="Q60" s="44"/>
    </row>
    <row r="61" spans="2:17" ht="11.5" x14ac:dyDescent="0.25">
      <c r="B61" s="39" t="s">
        <v>865</v>
      </c>
      <c r="C61" s="40" t="s">
        <v>157</v>
      </c>
      <c r="D61" s="39"/>
      <c r="E61" s="39"/>
      <c r="F61" s="13">
        <v>1000</v>
      </c>
      <c r="G61" s="13">
        <v>746.80000000000007</v>
      </c>
      <c r="H61" s="41" t="s">
        <v>38</v>
      </c>
      <c r="I61" s="41" t="s">
        <v>39</v>
      </c>
      <c r="J61" s="39" t="s">
        <v>40</v>
      </c>
      <c r="K61" s="39" t="s">
        <v>41</v>
      </c>
      <c r="L61" s="39" t="s">
        <v>42</v>
      </c>
      <c r="M61" s="11" t="s">
        <v>43</v>
      </c>
      <c r="N61" s="42">
        <v>31120</v>
      </c>
      <c r="O61" s="43"/>
      <c r="P61" s="43"/>
      <c r="Q61" s="44"/>
    </row>
    <row r="62" spans="2:17" ht="11.5" x14ac:dyDescent="0.25">
      <c r="B62" s="39" t="s">
        <v>865</v>
      </c>
      <c r="C62" s="40" t="s">
        <v>158</v>
      </c>
      <c r="D62" s="39"/>
      <c r="E62" s="39"/>
      <c r="F62" s="13">
        <v>-290.82300000000043</v>
      </c>
      <c r="G62" s="13">
        <v>-217.18661640000033</v>
      </c>
      <c r="H62" s="41" t="s">
        <v>38</v>
      </c>
      <c r="I62" s="41" t="s">
        <v>39</v>
      </c>
      <c r="J62" s="39" t="s">
        <v>40</v>
      </c>
      <c r="K62" s="39" t="s">
        <v>41</v>
      </c>
      <c r="L62" s="39" t="s">
        <v>42</v>
      </c>
      <c r="M62" s="11" t="s">
        <v>74</v>
      </c>
      <c r="N62" s="42">
        <v>25010</v>
      </c>
      <c r="O62" s="43"/>
      <c r="P62" s="43"/>
      <c r="Q62" s="44"/>
    </row>
    <row r="63" spans="2:17" ht="57.5" x14ac:dyDescent="0.25">
      <c r="B63" s="39" t="s">
        <v>865</v>
      </c>
      <c r="C63" s="40" t="s">
        <v>49</v>
      </c>
      <c r="D63" s="39"/>
      <c r="E63" s="39"/>
      <c r="F63" s="13">
        <v>4750000</v>
      </c>
      <c r="G63" s="13">
        <v>3547300</v>
      </c>
      <c r="H63" s="41" t="s">
        <v>38</v>
      </c>
      <c r="I63" s="41" t="s">
        <v>39</v>
      </c>
      <c r="J63" s="39" t="s">
        <v>40</v>
      </c>
      <c r="K63" s="39" t="s">
        <v>41</v>
      </c>
      <c r="L63" s="39" t="s">
        <v>159</v>
      </c>
      <c r="M63" s="11" t="s">
        <v>50</v>
      </c>
      <c r="N63" s="42" t="s">
        <v>51</v>
      </c>
      <c r="O63" s="43"/>
      <c r="P63" s="43"/>
      <c r="Q63" s="44"/>
    </row>
    <row r="64" spans="2:17" ht="11.5" x14ac:dyDescent="0.25">
      <c r="B64" s="39" t="s">
        <v>865</v>
      </c>
      <c r="C64" s="40" t="s">
        <v>160</v>
      </c>
      <c r="D64" s="39"/>
      <c r="E64" s="39"/>
      <c r="F64" s="13">
        <v>3901266.31</v>
      </c>
      <c r="G64" s="13">
        <v>2913465.6803080002</v>
      </c>
      <c r="H64" s="41" t="s">
        <v>38</v>
      </c>
      <c r="I64" s="41" t="s">
        <v>39</v>
      </c>
      <c r="J64" s="39" t="s">
        <v>40</v>
      </c>
      <c r="K64" s="39" t="s">
        <v>41</v>
      </c>
      <c r="L64" s="39" t="s">
        <v>159</v>
      </c>
      <c r="M64" s="11" t="s">
        <v>130</v>
      </c>
      <c r="N64" s="42">
        <v>43010</v>
      </c>
      <c r="O64" s="43"/>
      <c r="P64" s="43"/>
      <c r="Q64" s="44"/>
    </row>
    <row r="65" spans="2:17" ht="69" x14ac:dyDescent="0.25">
      <c r="B65" s="39" t="s">
        <v>865</v>
      </c>
      <c r="C65" s="40" t="s">
        <v>70</v>
      </c>
      <c r="D65" s="39"/>
      <c r="E65" s="39"/>
      <c r="F65" s="13">
        <v>3426220.0000000009</v>
      </c>
      <c r="G65" s="13">
        <v>2558701.0960000008</v>
      </c>
      <c r="H65" s="41" t="s">
        <v>38</v>
      </c>
      <c r="I65" s="41" t="s">
        <v>39</v>
      </c>
      <c r="J65" s="39" t="s">
        <v>40</v>
      </c>
      <c r="K65" s="39" t="s">
        <v>41</v>
      </c>
      <c r="L65" s="39" t="s">
        <v>159</v>
      </c>
      <c r="M65" s="11" t="s">
        <v>161</v>
      </c>
      <c r="N65" s="42" t="s">
        <v>72</v>
      </c>
      <c r="O65" s="43"/>
      <c r="P65" s="43"/>
      <c r="Q65" s="44"/>
    </row>
    <row r="66" spans="2:17" ht="11.5" x14ac:dyDescent="0.25">
      <c r="B66" s="39" t="s">
        <v>865</v>
      </c>
      <c r="C66" s="40" t="s">
        <v>37</v>
      </c>
      <c r="D66" s="39"/>
      <c r="E66" s="39"/>
      <c r="F66" s="13">
        <v>2656128.6675</v>
      </c>
      <c r="G66" s="13">
        <v>1983596.8888890001</v>
      </c>
      <c r="H66" s="41" t="s">
        <v>38</v>
      </c>
      <c r="I66" s="41" t="s">
        <v>39</v>
      </c>
      <c r="J66" s="39" t="s">
        <v>40</v>
      </c>
      <c r="K66" s="39" t="s">
        <v>41</v>
      </c>
      <c r="L66" s="39" t="s">
        <v>159</v>
      </c>
      <c r="M66" s="11" t="s">
        <v>43</v>
      </c>
      <c r="N66" s="42">
        <v>31182</v>
      </c>
      <c r="O66" s="43"/>
      <c r="P66" s="43"/>
      <c r="Q66" s="44"/>
    </row>
    <row r="67" spans="2:17" ht="11.5" x14ac:dyDescent="0.25">
      <c r="B67" s="39" t="s">
        <v>865</v>
      </c>
      <c r="C67" s="40" t="s">
        <v>162</v>
      </c>
      <c r="D67" s="39"/>
      <c r="E67" s="39"/>
      <c r="F67" s="13">
        <v>1851536.9472000008</v>
      </c>
      <c r="G67" s="13">
        <v>1382727.7921689607</v>
      </c>
      <c r="H67" s="41" t="s">
        <v>38</v>
      </c>
      <c r="I67" s="41" t="s">
        <v>39</v>
      </c>
      <c r="J67" s="39" t="s">
        <v>40</v>
      </c>
      <c r="K67" s="39" t="s">
        <v>41</v>
      </c>
      <c r="L67" s="39" t="s">
        <v>159</v>
      </c>
      <c r="M67" s="11" t="s">
        <v>74</v>
      </c>
      <c r="N67" s="42">
        <v>25010</v>
      </c>
      <c r="O67" s="43"/>
      <c r="P67" s="43"/>
      <c r="Q67" s="44"/>
    </row>
    <row r="68" spans="2:17" ht="11.5" x14ac:dyDescent="0.25">
      <c r="B68" s="39" t="s">
        <v>865</v>
      </c>
      <c r="C68" s="40" t="s">
        <v>163</v>
      </c>
      <c r="D68" s="39"/>
      <c r="E68" s="39"/>
      <c r="F68" s="13">
        <v>1068000</v>
      </c>
      <c r="G68" s="13">
        <v>797582.4</v>
      </c>
      <c r="H68" s="41" t="s">
        <v>38</v>
      </c>
      <c r="I68" s="41" t="s">
        <v>39</v>
      </c>
      <c r="J68" s="39" t="s">
        <v>40</v>
      </c>
      <c r="K68" s="39" t="s">
        <v>41</v>
      </c>
      <c r="L68" s="39" t="s">
        <v>159</v>
      </c>
      <c r="M68" s="11" t="s">
        <v>74</v>
      </c>
      <c r="N68" s="42">
        <v>25010</v>
      </c>
      <c r="O68" s="43"/>
      <c r="P68" s="43"/>
      <c r="Q68" s="44"/>
    </row>
    <row r="69" spans="2:17" ht="11.5" x14ac:dyDescent="0.25">
      <c r="B69" s="39" t="s">
        <v>865</v>
      </c>
      <c r="C69" s="40" t="s">
        <v>164</v>
      </c>
      <c r="D69" s="39"/>
      <c r="E69" s="39"/>
      <c r="F69" s="13">
        <v>700000</v>
      </c>
      <c r="G69" s="13">
        <v>522760</v>
      </c>
      <c r="H69" s="41" t="s">
        <v>38</v>
      </c>
      <c r="I69" s="41" t="s">
        <v>39</v>
      </c>
      <c r="J69" s="39" t="s">
        <v>40</v>
      </c>
      <c r="K69" s="39" t="s">
        <v>41</v>
      </c>
      <c r="L69" s="39" t="s">
        <v>159</v>
      </c>
      <c r="M69" s="11" t="s">
        <v>76</v>
      </c>
      <c r="N69" s="42">
        <v>41030</v>
      </c>
      <c r="O69" s="43"/>
      <c r="P69" s="43"/>
      <c r="Q69" s="44"/>
    </row>
    <row r="70" spans="2:17" ht="11.5" x14ac:dyDescent="0.25">
      <c r="B70" s="39" t="s">
        <v>865</v>
      </c>
      <c r="C70" s="40" t="s">
        <v>80</v>
      </c>
      <c r="D70" s="39"/>
      <c r="E70" s="39"/>
      <c r="F70" s="13">
        <v>250000</v>
      </c>
      <c r="G70" s="13">
        <v>186700</v>
      </c>
      <c r="H70" s="41" t="s">
        <v>38</v>
      </c>
      <c r="I70" s="41" t="s">
        <v>39</v>
      </c>
      <c r="J70" s="39" t="s">
        <v>40</v>
      </c>
      <c r="K70" s="39" t="s">
        <v>41</v>
      </c>
      <c r="L70" s="39" t="s">
        <v>159</v>
      </c>
      <c r="M70" s="11" t="s">
        <v>81</v>
      </c>
      <c r="N70" s="42">
        <v>23110</v>
      </c>
      <c r="O70" s="43" t="s">
        <v>68</v>
      </c>
      <c r="P70" s="43"/>
      <c r="Q70" s="44"/>
    </row>
    <row r="71" spans="2:17" ht="11.5" x14ac:dyDescent="0.25">
      <c r="B71" s="39" t="s">
        <v>865</v>
      </c>
      <c r="C71" s="40" t="s">
        <v>108</v>
      </c>
      <c r="D71" s="39"/>
      <c r="E71" s="39"/>
      <c r="F71" s="13">
        <v>148149</v>
      </c>
      <c r="G71" s="13">
        <v>110637.6732</v>
      </c>
      <c r="H71" s="41" t="s">
        <v>38</v>
      </c>
      <c r="I71" s="41" t="s">
        <v>39</v>
      </c>
      <c r="J71" s="39" t="s">
        <v>40</v>
      </c>
      <c r="K71" s="39" t="s">
        <v>41</v>
      </c>
      <c r="L71" s="39" t="s">
        <v>159</v>
      </c>
      <c r="M71" s="11" t="s">
        <v>74</v>
      </c>
      <c r="N71" s="42">
        <v>25010</v>
      </c>
      <c r="O71" s="43"/>
      <c r="P71" s="43"/>
      <c r="Q71" s="44"/>
    </row>
    <row r="72" spans="2:17" ht="195.5" x14ac:dyDescent="0.25">
      <c r="B72" s="39" t="s">
        <v>865</v>
      </c>
      <c r="C72" s="40" t="s">
        <v>101</v>
      </c>
      <c r="D72" s="39"/>
      <c r="E72" s="39"/>
      <c r="F72" s="13">
        <v>122566.1496494311</v>
      </c>
      <c r="G72" s="13">
        <v>91532.40055819515</v>
      </c>
      <c r="H72" s="41" t="s">
        <v>38</v>
      </c>
      <c r="I72" s="41" t="s">
        <v>39</v>
      </c>
      <c r="J72" s="39" t="s">
        <v>40</v>
      </c>
      <c r="K72" s="39" t="s">
        <v>41</v>
      </c>
      <c r="L72" s="39" t="s">
        <v>159</v>
      </c>
      <c r="M72" s="11" t="s">
        <v>165</v>
      </c>
      <c r="N72" s="42" t="s">
        <v>103</v>
      </c>
      <c r="O72" s="43"/>
      <c r="P72" s="43"/>
      <c r="Q72" s="44"/>
    </row>
    <row r="73" spans="2:17" ht="80.5" x14ac:dyDescent="0.25">
      <c r="B73" s="39" t="s">
        <v>865</v>
      </c>
      <c r="C73" s="40" t="s">
        <v>85</v>
      </c>
      <c r="D73" s="39"/>
      <c r="E73" s="39"/>
      <c r="F73" s="13">
        <v>98501.777999999991</v>
      </c>
      <c r="G73" s="13">
        <v>73561.127810399994</v>
      </c>
      <c r="H73" s="41" t="s">
        <v>38</v>
      </c>
      <c r="I73" s="41" t="s">
        <v>39</v>
      </c>
      <c r="J73" s="39" t="s">
        <v>40</v>
      </c>
      <c r="K73" s="39" t="s">
        <v>41</v>
      </c>
      <c r="L73" s="39" t="s">
        <v>159</v>
      </c>
      <c r="M73" s="11" t="s">
        <v>86</v>
      </c>
      <c r="N73" s="42" t="s">
        <v>166</v>
      </c>
      <c r="O73" s="43"/>
      <c r="P73" s="43"/>
      <c r="Q73" s="44"/>
    </row>
    <row r="74" spans="2:17" ht="11.5" x14ac:dyDescent="0.25">
      <c r="B74" s="39" t="s">
        <v>865</v>
      </c>
      <c r="C74" s="40" t="s">
        <v>120</v>
      </c>
      <c r="D74" s="39"/>
      <c r="E74" s="39"/>
      <c r="F74" s="13">
        <v>37057.383000000009</v>
      </c>
      <c r="G74" s="13">
        <v>27674.453624400008</v>
      </c>
      <c r="H74" s="41" t="s">
        <v>38</v>
      </c>
      <c r="I74" s="41" t="s">
        <v>39</v>
      </c>
      <c r="J74" s="39" t="s">
        <v>40</v>
      </c>
      <c r="K74" s="39" t="s">
        <v>41</v>
      </c>
      <c r="L74" s="39" t="s">
        <v>159</v>
      </c>
      <c r="M74" s="11" t="s">
        <v>167</v>
      </c>
      <c r="N74" s="42">
        <v>43081</v>
      </c>
      <c r="O74" s="43"/>
      <c r="P74" s="43"/>
      <c r="Q74" s="44"/>
    </row>
    <row r="75" spans="2:17" ht="23" x14ac:dyDescent="0.25">
      <c r="B75" s="39" t="s">
        <v>865</v>
      </c>
      <c r="C75" s="40" t="s">
        <v>77</v>
      </c>
      <c r="D75" s="39"/>
      <c r="E75" s="39"/>
      <c r="F75" s="13">
        <v>24807.714</v>
      </c>
      <c r="G75" s="13">
        <v>18526.400815199999</v>
      </c>
      <c r="H75" s="41" t="s">
        <v>38</v>
      </c>
      <c r="I75" s="41" t="s">
        <v>39</v>
      </c>
      <c r="J75" s="39" t="s">
        <v>40</v>
      </c>
      <c r="K75" s="39" t="s">
        <v>41</v>
      </c>
      <c r="L75" s="39" t="s">
        <v>159</v>
      </c>
      <c r="M75" s="11" t="s">
        <v>78</v>
      </c>
      <c r="N75" s="42" t="s">
        <v>79</v>
      </c>
      <c r="O75" s="43"/>
      <c r="P75" s="43"/>
      <c r="Q75" s="44"/>
    </row>
    <row r="76" spans="2:17" ht="11.5" x14ac:dyDescent="0.25">
      <c r="B76" s="39" t="s">
        <v>865</v>
      </c>
      <c r="C76" s="40" t="s">
        <v>144</v>
      </c>
      <c r="D76" s="39"/>
      <c r="E76" s="39"/>
      <c r="F76" s="13">
        <v>20508.612000000005</v>
      </c>
      <c r="G76" s="13">
        <v>15315.831441600003</v>
      </c>
      <c r="H76" s="41" t="s">
        <v>38</v>
      </c>
      <c r="I76" s="41" t="s">
        <v>39</v>
      </c>
      <c r="J76" s="39" t="s">
        <v>40</v>
      </c>
      <c r="K76" s="39" t="s">
        <v>41</v>
      </c>
      <c r="L76" s="39" t="s">
        <v>159</v>
      </c>
      <c r="M76" s="11" t="s">
        <v>92</v>
      </c>
      <c r="N76" s="42">
        <v>43081</v>
      </c>
      <c r="O76" s="43"/>
      <c r="P76" s="43"/>
      <c r="Q76" s="44"/>
    </row>
    <row r="77" spans="2:17" ht="57.5" x14ac:dyDescent="0.25">
      <c r="B77" s="39" t="s">
        <v>865</v>
      </c>
      <c r="C77" s="40" t="s">
        <v>112</v>
      </c>
      <c r="D77" s="39"/>
      <c r="E77" s="39"/>
      <c r="F77" s="13">
        <v>17093.879000000001</v>
      </c>
      <c r="G77" s="13">
        <v>12765.708837200002</v>
      </c>
      <c r="H77" s="41" t="s">
        <v>38</v>
      </c>
      <c r="I77" s="41" t="s">
        <v>39</v>
      </c>
      <c r="J77" s="39" t="s">
        <v>40</v>
      </c>
      <c r="K77" s="39" t="s">
        <v>41</v>
      </c>
      <c r="L77" s="39" t="s">
        <v>159</v>
      </c>
      <c r="M77" s="11" t="s">
        <v>168</v>
      </c>
      <c r="N77" s="42" t="s">
        <v>169</v>
      </c>
      <c r="O77" s="43"/>
      <c r="P77" s="43"/>
      <c r="Q77" s="44"/>
    </row>
    <row r="78" spans="2:17" ht="23" x14ac:dyDescent="0.25">
      <c r="B78" s="39" t="s">
        <v>865</v>
      </c>
      <c r="C78" s="40" t="s">
        <v>142</v>
      </c>
      <c r="D78" s="39"/>
      <c r="E78" s="39"/>
      <c r="F78" s="13">
        <v>15000.000000000002</v>
      </c>
      <c r="G78" s="13">
        <v>11202.000000000002</v>
      </c>
      <c r="H78" s="41" t="s">
        <v>38</v>
      </c>
      <c r="I78" s="41" t="s">
        <v>39</v>
      </c>
      <c r="J78" s="39" t="s">
        <v>40</v>
      </c>
      <c r="K78" s="39" t="s">
        <v>41</v>
      </c>
      <c r="L78" s="39" t="s">
        <v>159</v>
      </c>
      <c r="M78" s="11" t="s">
        <v>170</v>
      </c>
      <c r="N78" s="42" t="s">
        <v>143</v>
      </c>
      <c r="O78" s="43"/>
      <c r="P78" s="43"/>
      <c r="Q78" s="44"/>
    </row>
    <row r="79" spans="2:17" ht="92" x14ac:dyDescent="0.25">
      <c r="B79" s="39" t="s">
        <v>865</v>
      </c>
      <c r="C79" s="40" t="s">
        <v>109</v>
      </c>
      <c r="D79" s="39"/>
      <c r="E79" s="39"/>
      <c r="F79" s="13">
        <v>11773.338100000003</v>
      </c>
      <c r="G79" s="13">
        <v>8792.3288930800027</v>
      </c>
      <c r="H79" s="41" t="s">
        <v>38</v>
      </c>
      <c r="I79" s="41" t="s">
        <v>39</v>
      </c>
      <c r="J79" s="39" t="s">
        <v>40</v>
      </c>
      <c r="K79" s="39" t="s">
        <v>41</v>
      </c>
      <c r="L79" s="39" t="s">
        <v>159</v>
      </c>
      <c r="M79" s="11" t="s">
        <v>171</v>
      </c>
      <c r="N79" s="42" t="s">
        <v>111</v>
      </c>
      <c r="O79" s="43"/>
      <c r="P79" s="43"/>
      <c r="Q79" s="44"/>
    </row>
    <row r="80" spans="2:17" ht="126.5" x14ac:dyDescent="0.25">
      <c r="B80" s="39" t="s">
        <v>865</v>
      </c>
      <c r="C80" s="40" t="s">
        <v>82</v>
      </c>
      <c r="D80" s="39"/>
      <c r="E80" s="39"/>
      <c r="F80" s="13">
        <v>10523.870000000003</v>
      </c>
      <c r="G80" s="13">
        <v>7859.2261160000025</v>
      </c>
      <c r="H80" s="41" t="s">
        <v>38</v>
      </c>
      <c r="I80" s="41" t="s">
        <v>39</v>
      </c>
      <c r="J80" s="39" t="s">
        <v>40</v>
      </c>
      <c r="K80" s="39" t="s">
        <v>41</v>
      </c>
      <c r="L80" s="39" t="s">
        <v>159</v>
      </c>
      <c r="M80" s="11" t="s">
        <v>172</v>
      </c>
      <c r="N80" s="42" t="s">
        <v>173</v>
      </c>
      <c r="O80" s="43"/>
      <c r="P80" s="43"/>
      <c r="Q80" s="44"/>
    </row>
    <row r="81" spans="1:17" ht="23" x14ac:dyDescent="0.25">
      <c r="B81" s="39" t="s">
        <v>865</v>
      </c>
      <c r="C81" s="40" t="s">
        <v>147</v>
      </c>
      <c r="D81" s="39"/>
      <c r="E81" s="39"/>
      <c r="F81" s="13">
        <v>10000</v>
      </c>
      <c r="G81" s="13">
        <v>7468</v>
      </c>
      <c r="H81" s="41" t="s">
        <v>38</v>
      </c>
      <c r="I81" s="41" t="s">
        <v>39</v>
      </c>
      <c r="J81" s="39" t="s">
        <v>40</v>
      </c>
      <c r="K81" s="39" t="s">
        <v>41</v>
      </c>
      <c r="L81" s="39" t="s">
        <v>159</v>
      </c>
      <c r="M81" s="11" t="s">
        <v>148</v>
      </c>
      <c r="N81" s="42" t="s">
        <v>149</v>
      </c>
      <c r="O81" s="43"/>
      <c r="P81" s="43"/>
      <c r="Q81" s="44"/>
    </row>
    <row r="82" spans="1:17" ht="11.5" x14ac:dyDescent="0.25">
      <c r="B82" s="39" t="s">
        <v>865</v>
      </c>
      <c r="C82" s="40" t="s">
        <v>91</v>
      </c>
      <c r="D82" s="39"/>
      <c r="E82" s="39"/>
      <c r="F82" s="13">
        <v>9829.2748999999967</v>
      </c>
      <c r="G82" s="13">
        <v>7340.5024953199982</v>
      </c>
      <c r="H82" s="41" t="s">
        <v>38</v>
      </c>
      <c r="I82" s="41" t="s">
        <v>39</v>
      </c>
      <c r="J82" s="39" t="s">
        <v>40</v>
      </c>
      <c r="K82" s="39" t="s">
        <v>41</v>
      </c>
      <c r="L82" s="39" t="s">
        <v>159</v>
      </c>
      <c r="M82" s="11" t="s">
        <v>92</v>
      </c>
      <c r="N82" s="42">
        <v>43081</v>
      </c>
      <c r="O82" s="43"/>
      <c r="P82" s="43"/>
      <c r="Q82" s="44"/>
    </row>
    <row r="83" spans="1:17" ht="57.5" x14ac:dyDescent="0.25">
      <c r="B83" s="39" t="s">
        <v>865</v>
      </c>
      <c r="C83" s="40" t="s">
        <v>136</v>
      </c>
      <c r="D83" s="39"/>
      <c r="E83" s="39"/>
      <c r="F83" s="13">
        <v>4911.8999999999996</v>
      </c>
      <c r="G83" s="13">
        <v>3668.2069199999996</v>
      </c>
      <c r="H83" s="41" t="s">
        <v>38</v>
      </c>
      <c r="I83" s="41" t="s">
        <v>39</v>
      </c>
      <c r="J83" s="39" t="s">
        <v>40</v>
      </c>
      <c r="K83" s="39" t="s">
        <v>41</v>
      </c>
      <c r="L83" s="39" t="s">
        <v>159</v>
      </c>
      <c r="M83" s="11" t="s">
        <v>137</v>
      </c>
      <c r="N83" s="42" t="s">
        <v>174</v>
      </c>
      <c r="O83" s="43"/>
      <c r="P83" s="43"/>
      <c r="Q83" s="44"/>
    </row>
    <row r="84" spans="1:17" ht="34.5" x14ac:dyDescent="0.25">
      <c r="B84" s="39" t="s">
        <v>865</v>
      </c>
      <c r="C84" s="40" t="s">
        <v>61</v>
      </c>
      <c r="D84" s="39"/>
      <c r="E84" s="39"/>
      <c r="F84" s="13">
        <v>2500.0000000000005</v>
      </c>
      <c r="G84" s="13">
        <v>1867.0000000000005</v>
      </c>
      <c r="H84" s="41" t="s">
        <v>38</v>
      </c>
      <c r="I84" s="41" t="s">
        <v>39</v>
      </c>
      <c r="J84" s="39" t="s">
        <v>40</v>
      </c>
      <c r="K84" s="39" t="s">
        <v>41</v>
      </c>
      <c r="L84" s="39" t="s">
        <v>159</v>
      </c>
      <c r="M84" s="11" t="s">
        <v>175</v>
      </c>
      <c r="N84" s="42" t="s">
        <v>176</v>
      </c>
      <c r="O84" s="43"/>
      <c r="P84" s="43"/>
      <c r="Q84" s="44"/>
    </row>
    <row r="85" spans="1:17" ht="46" x14ac:dyDescent="0.25">
      <c r="B85" s="39" t="s">
        <v>865</v>
      </c>
      <c r="C85" s="40" t="s">
        <v>134</v>
      </c>
      <c r="D85" s="39"/>
      <c r="E85" s="39"/>
      <c r="F85" s="13">
        <v>2274.0200000000004</v>
      </c>
      <c r="G85" s="13">
        <v>1698.2381360000004</v>
      </c>
      <c r="H85" s="41" t="s">
        <v>38</v>
      </c>
      <c r="I85" s="41" t="s">
        <v>39</v>
      </c>
      <c r="J85" s="39" t="s">
        <v>40</v>
      </c>
      <c r="K85" s="39" t="s">
        <v>41</v>
      </c>
      <c r="L85" s="39" t="s">
        <v>159</v>
      </c>
      <c r="M85" s="11" t="s">
        <v>43</v>
      </c>
      <c r="N85" s="42" t="s">
        <v>177</v>
      </c>
      <c r="O85" s="43"/>
      <c r="P85" s="43"/>
      <c r="Q85" s="44"/>
    </row>
    <row r="86" spans="1:17" ht="11.5" x14ac:dyDescent="0.25">
      <c r="B86" s="39" t="s">
        <v>865</v>
      </c>
      <c r="C86" s="40" t="s">
        <v>156</v>
      </c>
      <c r="D86" s="39"/>
      <c r="E86" s="39"/>
      <c r="F86" s="13">
        <v>750</v>
      </c>
      <c r="G86" s="13">
        <v>560.1</v>
      </c>
      <c r="H86" s="41" t="s">
        <v>38</v>
      </c>
      <c r="I86" s="41" t="s">
        <v>39</v>
      </c>
      <c r="J86" s="39" t="s">
        <v>40</v>
      </c>
      <c r="K86" s="39" t="s">
        <v>41</v>
      </c>
      <c r="L86" s="39" t="s">
        <v>159</v>
      </c>
      <c r="M86" s="11" t="s">
        <v>92</v>
      </c>
      <c r="N86" s="42">
        <v>43040</v>
      </c>
      <c r="O86" s="43"/>
      <c r="P86" s="43"/>
      <c r="Q86" s="44"/>
    </row>
    <row r="87" spans="1:17" ht="11.5" x14ac:dyDescent="0.25">
      <c r="B87" s="39" t="s">
        <v>865</v>
      </c>
      <c r="C87" s="40" t="s">
        <v>178</v>
      </c>
      <c r="D87" s="39"/>
      <c r="E87" s="39"/>
      <c r="F87" s="13">
        <v>20000000</v>
      </c>
      <c r="G87" s="13">
        <v>14936000</v>
      </c>
      <c r="H87" s="41" t="s">
        <v>38</v>
      </c>
      <c r="I87" s="41" t="s">
        <v>39</v>
      </c>
      <c r="J87" s="39" t="s">
        <v>40</v>
      </c>
      <c r="K87" s="39" t="s">
        <v>41</v>
      </c>
      <c r="L87" s="39" t="s">
        <v>130</v>
      </c>
      <c r="M87" s="11" t="s">
        <v>76</v>
      </c>
      <c r="N87" s="42">
        <v>41010</v>
      </c>
      <c r="O87" s="43"/>
      <c r="P87" s="43"/>
      <c r="Q87" s="44"/>
    </row>
    <row r="88" spans="1:17" ht="253" x14ac:dyDescent="0.25">
      <c r="B88" s="39" t="s">
        <v>865</v>
      </c>
      <c r="C88" s="40" t="s">
        <v>117</v>
      </c>
      <c r="D88" s="39"/>
      <c r="E88" s="39"/>
      <c r="F88" s="13">
        <v>1226792.2399999998</v>
      </c>
      <c r="G88" s="13">
        <v>916168.44483199983</v>
      </c>
      <c r="H88" s="41" t="s">
        <v>38</v>
      </c>
      <c r="I88" s="41" t="s">
        <v>39</v>
      </c>
      <c r="J88" s="39" t="s">
        <v>40</v>
      </c>
      <c r="K88" s="39" t="s">
        <v>41</v>
      </c>
      <c r="L88" s="39" t="s">
        <v>130</v>
      </c>
      <c r="M88" s="11" t="s">
        <v>179</v>
      </c>
      <c r="N88" s="42" t="s">
        <v>180</v>
      </c>
      <c r="O88" s="43"/>
      <c r="P88" s="43"/>
      <c r="Q88" s="44"/>
    </row>
    <row r="89" spans="1:17" ht="69" x14ac:dyDescent="0.25">
      <c r="B89" s="39" t="s">
        <v>865</v>
      </c>
      <c r="C89" s="40" t="s">
        <v>70</v>
      </c>
      <c r="D89" s="39"/>
      <c r="E89" s="39"/>
      <c r="F89" s="13">
        <v>532728.00000000012</v>
      </c>
      <c r="G89" s="13">
        <v>397841.2704000001</v>
      </c>
      <c r="H89" s="41" t="s">
        <v>38</v>
      </c>
      <c r="I89" s="41" t="s">
        <v>39</v>
      </c>
      <c r="J89" s="39" t="s">
        <v>40</v>
      </c>
      <c r="K89" s="39" t="s">
        <v>41</v>
      </c>
      <c r="L89" s="39" t="s">
        <v>130</v>
      </c>
      <c r="M89" s="11" t="s">
        <v>181</v>
      </c>
      <c r="N89" s="42" t="s">
        <v>72</v>
      </c>
      <c r="O89" s="43"/>
      <c r="P89" s="43"/>
      <c r="Q89" s="44"/>
    </row>
    <row r="90" spans="1:17" ht="11.5" x14ac:dyDescent="0.25">
      <c r="B90" s="39" t="s">
        <v>865</v>
      </c>
      <c r="C90" s="40" t="s">
        <v>120</v>
      </c>
      <c r="D90" s="39"/>
      <c r="E90" s="39"/>
      <c r="F90" s="13">
        <v>446482.98</v>
      </c>
      <c r="G90" s="13">
        <v>333433.48946399998</v>
      </c>
      <c r="H90" s="41" t="s">
        <v>38</v>
      </c>
      <c r="I90" s="41" t="s">
        <v>39</v>
      </c>
      <c r="J90" s="39" t="s">
        <v>40</v>
      </c>
      <c r="K90" s="39" t="s">
        <v>41</v>
      </c>
      <c r="L90" s="39" t="s">
        <v>130</v>
      </c>
      <c r="M90" s="11" t="s">
        <v>130</v>
      </c>
      <c r="N90" s="42">
        <v>43081</v>
      </c>
      <c r="O90" s="43"/>
      <c r="P90" s="43"/>
      <c r="Q90" s="44"/>
    </row>
    <row r="91" spans="1:17" ht="11.5" x14ac:dyDescent="0.25">
      <c r="B91" s="39" t="s">
        <v>865</v>
      </c>
      <c r="C91" s="40" t="s">
        <v>129</v>
      </c>
      <c r="D91" s="39"/>
      <c r="E91" s="39"/>
      <c r="F91" s="13">
        <v>266145.06700000004</v>
      </c>
      <c r="G91" s="13">
        <v>198757.13603560004</v>
      </c>
      <c r="H91" s="41" t="s">
        <v>38</v>
      </c>
      <c r="I91" s="41" t="s">
        <v>39</v>
      </c>
      <c r="J91" s="39" t="s">
        <v>40</v>
      </c>
      <c r="K91" s="39" t="s">
        <v>41</v>
      </c>
      <c r="L91" s="39" t="s">
        <v>130</v>
      </c>
      <c r="M91" s="11" t="s">
        <v>130</v>
      </c>
      <c r="N91" s="42">
        <v>43081</v>
      </c>
      <c r="O91" s="43"/>
      <c r="P91" s="43"/>
      <c r="Q91" s="44"/>
    </row>
    <row r="92" spans="1:17" ht="11.5" x14ac:dyDescent="0.25">
      <c r="B92" s="39" t="s">
        <v>865</v>
      </c>
      <c r="C92" s="40" t="s">
        <v>163</v>
      </c>
      <c r="D92" s="39"/>
      <c r="E92" s="39"/>
      <c r="F92" s="13">
        <v>249500</v>
      </c>
      <c r="G92" s="13">
        <v>186326.6</v>
      </c>
      <c r="H92" s="41" t="s">
        <v>38</v>
      </c>
      <c r="I92" s="41" t="s">
        <v>39</v>
      </c>
      <c r="J92" s="39" t="s">
        <v>40</v>
      </c>
      <c r="K92" s="39" t="s">
        <v>41</v>
      </c>
      <c r="L92" s="39" t="s">
        <v>130</v>
      </c>
      <c r="M92" s="11" t="s">
        <v>74</v>
      </c>
      <c r="N92" s="42">
        <v>25010</v>
      </c>
      <c r="O92" s="43"/>
      <c r="P92" s="43"/>
      <c r="Q92" s="44"/>
    </row>
    <row r="93" spans="1:17" ht="69" x14ac:dyDescent="0.25">
      <c r="B93" s="39" t="s">
        <v>865</v>
      </c>
      <c r="C93" s="40" t="s">
        <v>109</v>
      </c>
      <c r="D93" s="39"/>
      <c r="E93" s="39"/>
      <c r="F93" s="13">
        <v>247099.12050000005</v>
      </c>
      <c r="G93" s="13">
        <v>184533.62318940004</v>
      </c>
      <c r="H93" s="41" t="s">
        <v>38</v>
      </c>
      <c r="I93" s="41" t="s">
        <v>39</v>
      </c>
      <c r="J93" s="39" t="s">
        <v>40</v>
      </c>
      <c r="K93" s="39" t="s">
        <v>41</v>
      </c>
      <c r="L93" s="39" t="s">
        <v>130</v>
      </c>
      <c r="M93" s="11" t="s">
        <v>182</v>
      </c>
      <c r="N93" s="42" t="s">
        <v>183</v>
      </c>
      <c r="O93" s="43"/>
      <c r="P93" s="43"/>
      <c r="Q93" s="44"/>
    </row>
    <row r="94" spans="1:17" ht="69" x14ac:dyDescent="0.25">
      <c r="A94" s="45"/>
      <c r="B94" s="39" t="s">
        <v>865</v>
      </c>
      <c r="C94" s="40" t="s">
        <v>82</v>
      </c>
      <c r="D94" s="39"/>
      <c r="E94" s="39"/>
      <c r="F94" s="13">
        <v>222981</v>
      </c>
      <c r="G94" s="13">
        <v>166522.2108</v>
      </c>
      <c r="H94" s="41" t="s">
        <v>38</v>
      </c>
      <c r="I94" s="41" t="s">
        <v>39</v>
      </c>
      <c r="J94" s="39" t="s">
        <v>40</v>
      </c>
      <c r="K94" s="39" t="s">
        <v>41</v>
      </c>
      <c r="L94" s="39" t="s">
        <v>130</v>
      </c>
      <c r="M94" s="11" t="s">
        <v>184</v>
      </c>
      <c r="N94" s="42" t="s">
        <v>185</v>
      </c>
      <c r="O94" s="43"/>
      <c r="P94" s="43"/>
      <c r="Q94" s="44"/>
    </row>
    <row r="95" spans="1:17" ht="184" x14ac:dyDescent="0.25">
      <c r="A95" s="46"/>
      <c r="B95" s="39" t="s">
        <v>865</v>
      </c>
      <c r="C95" s="40" t="s">
        <v>101</v>
      </c>
      <c r="D95" s="39"/>
      <c r="E95" s="39"/>
      <c r="F95" s="13">
        <v>80729.89820084555</v>
      </c>
      <c r="G95" s="13">
        <v>60289.087976391456</v>
      </c>
      <c r="H95" s="41" t="s">
        <v>38</v>
      </c>
      <c r="I95" s="41" t="s">
        <v>39</v>
      </c>
      <c r="J95" s="39" t="s">
        <v>40</v>
      </c>
      <c r="K95" s="39" t="s">
        <v>41</v>
      </c>
      <c r="L95" s="39" t="s">
        <v>130</v>
      </c>
      <c r="M95" s="11" t="s">
        <v>186</v>
      </c>
      <c r="N95" s="42" t="s">
        <v>187</v>
      </c>
      <c r="O95" s="43"/>
      <c r="P95" s="43"/>
      <c r="Q95" s="44"/>
    </row>
    <row r="96" spans="1:17" ht="69" x14ac:dyDescent="0.25">
      <c r="A96" s="47"/>
      <c r="B96" s="39" t="s">
        <v>865</v>
      </c>
      <c r="C96" s="40" t="s">
        <v>112</v>
      </c>
      <c r="D96" s="39"/>
      <c r="E96" s="39"/>
      <c r="F96" s="13">
        <v>66089.581999999995</v>
      </c>
      <c r="G96" s="13">
        <v>49355.699837599997</v>
      </c>
      <c r="H96" s="41" t="s">
        <v>38</v>
      </c>
      <c r="I96" s="41" t="s">
        <v>39</v>
      </c>
      <c r="J96" s="39" t="s">
        <v>40</v>
      </c>
      <c r="K96" s="39" t="s">
        <v>41</v>
      </c>
      <c r="L96" s="39" t="s">
        <v>130</v>
      </c>
      <c r="M96" s="11" t="s">
        <v>188</v>
      </c>
      <c r="N96" s="42" t="s">
        <v>189</v>
      </c>
      <c r="O96" s="43"/>
      <c r="P96" s="43"/>
      <c r="Q96" s="44"/>
    </row>
    <row r="97" spans="1:17" ht="14" x14ac:dyDescent="0.25">
      <c r="A97" s="47"/>
      <c r="B97" s="39" t="s">
        <v>865</v>
      </c>
      <c r="C97" s="40" t="s">
        <v>144</v>
      </c>
      <c r="D97" s="39"/>
      <c r="E97" s="39"/>
      <c r="F97" s="13">
        <v>57633.140000000014</v>
      </c>
      <c r="G97" s="13">
        <v>43040.428952000009</v>
      </c>
      <c r="H97" s="41" t="s">
        <v>38</v>
      </c>
      <c r="I97" s="41" t="s">
        <v>39</v>
      </c>
      <c r="J97" s="39" t="s">
        <v>40</v>
      </c>
      <c r="K97" s="39" t="s">
        <v>41</v>
      </c>
      <c r="L97" s="39" t="s">
        <v>130</v>
      </c>
      <c r="M97" s="11" t="s">
        <v>130</v>
      </c>
      <c r="N97" s="42">
        <v>43081</v>
      </c>
      <c r="O97" s="43"/>
      <c r="P97" s="43"/>
      <c r="Q97" s="44"/>
    </row>
    <row r="98" spans="1:17" ht="14" x14ac:dyDescent="0.25">
      <c r="A98" s="47"/>
      <c r="B98" s="39" t="s">
        <v>865</v>
      </c>
      <c r="C98" s="40" t="s">
        <v>190</v>
      </c>
      <c r="D98" s="39"/>
      <c r="E98" s="39"/>
      <c r="F98" s="13">
        <v>44999.999999999993</v>
      </c>
      <c r="G98" s="13">
        <v>33605.999999999993</v>
      </c>
      <c r="H98" s="41" t="s">
        <v>38</v>
      </c>
      <c r="I98" s="41" t="s">
        <v>39</v>
      </c>
      <c r="J98" s="39" t="s">
        <v>40</v>
      </c>
      <c r="K98" s="39" t="s">
        <v>41</v>
      </c>
      <c r="L98" s="39" t="s">
        <v>130</v>
      </c>
      <c r="M98" s="11" t="s">
        <v>130</v>
      </c>
      <c r="N98" s="42">
        <v>43082</v>
      </c>
      <c r="O98" s="43"/>
      <c r="P98" s="43"/>
      <c r="Q98" s="44"/>
    </row>
    <row r="99" spans="1:17" ht="34.5" x14ac:dyDescent="0.25">
      <c r="A99" s="47"/>
      <c r="B99" s="39" t="s">
        <v>865</v>
      </c>
      <c r="C99" s="40" t="s">
        <v>61</v>
      </c>
      <c r="D99" s="39"/>
      <c r="E99" s="39"/>
      <c r="F99" s="13">
        <v>43988.5</v>
      </c>
      <c r="G99" s="13">
        <v>32850.611799999999</v>
      </c>
      <c r="H99" s="41" t="s">
        <v>38</v>
      </c>
      <c r="I99" s="41" t="s">
        <v>39</v>
      </c>
      <c r="J99" s="39" t="s">
        <v>40</v>
      </c>
      <c r="K99" s="39" t="s">
        <v>41</v>
      </c>
      <c r="L99" s="39" t="s">
        <v>130</v>
      </c>
      <c r="M99" s="11" t="s">
        <v>140</v>
      </c>
      <c r="N99" s="42" t="s">
        <v>191</v>
      </c>
      <c r="O99" s="43"/>
      <c r="P99" s="43"/>
      <c r="Q99" s="44"/>
    </row>
    <row r="100" spans="1:17" ht="23" x14ac:dyDescent="0.25">
      <c r="A100" s="47"/>
      <c r="B100" s="39" t="s">
        <v>865</v>
      </c>
      <c r="C100" s="40" t="s">
        <v>131</v>
      </c>
      <c r="D100" s="39"/>
      <c r="E100" s="39"/>
      <c r="F100" s="13">
        <v>26112.800000000003</v>
      </c>
      <c r="G100" s="13">
        <v>19501.039040000003</v>
      </c>
      <c r="H100" s="41" t="s">
        <v>38</v>
      </c>
      <c r="I100" s="41" t="s">
        <v>39</v>
      </c>
      <c r="J100" s="39" t="s">
        <v>40</v>
      </c>
      <c r="K100" s="39" t="s">
        <v>41</v>
      </c>
      <c r="L100" s="39" t="s">
        <v>130</v>
      </c>
      <c r="M100" s="11" t="s">
        <v>132</v>
      </c>
      <c r="N100" s="42" t="s">
        <v>133</v>
      </c>
      <c r="O100" s="43"/>
      <c r="P100" s="43"/>
      <c r="Q100" s="44"/>
    </row>
    <row r="101" spans="1:17" ht="34.5" x14ac:dyDescent="0.25">
      <c r="A101" s="47"/>
      <c r="B101" s="39" t="s">
        <v>865</v>
      </c>
      <c r="C101" s="40" t="s">
        <v>88</v>
      </c>
      <c r="D101" s="39"/>
      <c r="E101" s="39"/>
      <c r="F101" s="13">
        <v>12645</v>
      </c>
      <c r="G101" s="13">
        <v>9443.2860000000001</v>
      </c>
      <c r="H101" s="41" t="s">
        <v>38</v>
      </c>
      <c r="I101" s="41" t="s">
        <v>39</v>
      </c>
      <c r="J101" s="39" t="s">
        <v>40</v>
      </c>
      <c r="K101" s="39" t="s">
        <v>41</v>
      </c>
      <c r="L101" s="39" t="s">
        <v>130</v>
      </c>
      <c r="M101" s="11" t="s">
        <v>192</v>
      </c>
      <c r="N101" s="42" t="s">
        <v>193</v>
      </c>
      <c r="O101" s="43"/>
      <c r="P101" s="43"/>
      <c r="Q101" s="44"/>
    </row>
    <row r="102" spans="1:17" ht="14" x14ac:dyDescent="0.25">
      <c r="A102" s="47"/>
      <c r="B102" s="39" t="s">
        <v>865</v>
      </c>
      <c r="C102" s="40" t="s">
        <v>194</v>
      </c>
      <c r="D102" s="39"/>
      <c r="E102" s="39"/>
      <c r="F102" s="13">
        <v>10793.64</v>
      </c>
      <c r="G102" s="13">
        <v>8060.6903519999996</v>
      </c>
      <c r="H102" s="41" t="s">
        <v>38</v>
      </c>
      <c r="I102" s="41" t="s">
        <v>39</v>
      </c>
      <c r="J102" s="39" t="s">
        <v>40</v>
      </c>
      <c r="K102" s="39" t="s">
        <v>41</v>
      </c>
      <c r="L102" s="39" t="s">
        <v>130</v>
      </c>
      <c r="M102" s="11" t="s">
        <v>43</v>
      </c>
      <c r="N102" s="42">
        <v>31181</v>
      </c>
      <c r="O102" s="43"/>
      <c r="P102" s="43"/>
      <c r="Q102" s="44"/>
    </row>
    <row r="103" spans="1:17" ht="23" x14ac:dyDescent="0.25">
      <c r="A103" s="47"/>
      <c r="B103" s="39" t="s">
        <v>865</v>
      </c>
      <c r="C103" s="40" t="s">
        <v>142</v>
      </c>
      <c r="D103" s="39"/>
      <c r="E103" s="39"/>
      <c r="F103" s="13">
        <v>10000.000000000002</v>
      </c>
      <c r="G103" s="13">
        <v>7468.0000000000018</v>
      </c>
      <c r="H103" s="41" t="s">
        <v>38</v>
      </c>
      <c r="I103" s="41" t="s">
        <v>39</v>
      </c>
      <c r="J103" s="39" t="s">
        <v>40</v>
      </c>
      <c r="K103" s="39" t="s">
        <v>41</v>
      </c>
      <c r="L103" s="39" t="s">
        <v>130</v>
      </c>
      <c r="M103" s="11" t="s">
        <v>195</v>
      </c>
      <c r="N103" s="42" t="s">
        <v>143</v>
      </c>
      <c r="O103" s="43"/>
      <c r="P103" s="43"/>
      <c r="Q103" s="44"/>
    </row>
    <row r="104" spans="1:17" ht="11.5" x14ac:dyDescent="0.25">
      <c r="A104" s="48"/>
      <c r="B104" s="39" t="s">
        <v>865</v>
      </c>
      <c r="C104" s="40" t="s">
        <v>91</v>
      </c>
      <c r="D104" s="39"/>
      <c r="E104" s="39"/>
      <c r="F104" s="13">
        <v>9829.2748999999967</v>
      </c>
      <c r="G104" s="13">
        <v>7340.5024953199982</v>
      </c>
      <c r="H104" s="41" t="s">
        <v>38</v>
      </c>
      <c r="I104" s="41" t="s">
        <v>39</v>
      </c>
      <c r="J104" s="39" t="s">
        <v>40</v>
      </c>
      <c r="K104" s="39" t="s">
        <v>41</v>
      </c>
      <c r="L104" s="39" t="s">
        <v>130</v>
      </c>
      <c r="M104" s="11" t="s">
        <v>130</v>
      </c>
      <c r="N104" s="42">
        <v>43081</v>
      </c>
      <c r="O104" s="43"/>
      <c r="P104" s="43"/>
      <c r="Q104" s="44"/>
    </row>
    <row r="105" spans="1:17" x14ac:dyDescent="0.25">
      <c r="A105" s="49"/>
      <c r="B105" s="39" t="s">
        <v>865</v>
      </c>
      <c r="C105" s="40" t="s">
        <v>196</v>
      </c>
      <c r="D105" s="39"/>
      <c r="E105" s="39"/>
      <c r="F105" s="13">
        <v>1059321</v>
      </c>
      <c r="G105" s="13">
        <v>791100.92280000006</v>
      </c>
      <c r="H105" s="41" t="s">
        <v>38</v>
      </c>
      <c r="I105" s="41" t="s">
        <v>197</v>
      </c>
      <c r="J105" s="39" t="s">
        <v>198</v>
      </c>
      <c r="K105" s="39" t="s">
        <v>41</v>
      </c>
      <c r="L105" s="39" t="s">
        <v>130</v>
      </c>
      <c r="M105" s="11" t="s">
        <v>130</v>
      </c>
      <c r="N105" s="42"/>
      <c r="O105" s="43"/>
      <c r="P105" s="43"/>
      <c r="Q105" s="44"/>
    </row>
    <row r="106" spans="1:17" ht="11.5" x14ac:dyDescent="0.25">
      <c r="A106" s="48"/>
      <c r="B106" s="39" t="s">
        <v>866</v>
      </c>
      <c r="C106" s="40" t="s">
        <v>199</v>
      </c>
      <c r="D106" s="39" t="s">
        <v>200</v>
      </c>
      <c r="E106" s="39" t="s">
        <v>200</v>
      </c>
      <c r="F106" s="13">
        <v>19774965.053999998</v>
      </c>
      <c r="G106" s="13">
        <v>14767943.902327199</v>
      </c>
      <c r="H106" s="41" t="s">
        <v>38</v>
      </c>
      <c r="I106" s="41" t="s">
        <v>39</v>
      </c>
      <c r="J106" s="39" t="s">
        <v>40</v>
      </c>
      <c r="K106" s="39" t="s">
        <v>41</v>
      </c>
      <c r="L106" s="39" t="s">
        <v>42</v>
      </c>
      <c r="M106" s="11" t="s">
        <v>76</v>
      </c>
      <c r="N106" s="42">
        <v>41010</v>
      </c>
      <c r="O106" s="43" t="s">
        <v>68</v>
      </c>
      <c r="P106" s="43"/>
      <c r="Q106" s="44"/>
    </row>
    <row r="107" spans="1:17" ht="11.5" x14ac:dyDescent="0.25">
      <c r="A107" s="48"/>
      <c r="B107" s="39" t="s">
        <v>866</v>
      </c>
      <c r="C107" s="40" t="s">
        <v>201</v>
      </c>
      <c r="D107" s="39" t="s">
        <v>200</v>
      </c>
      <c r="E107" s="39" t="s">
        <v>200</v>
      </c>
      <c r="F107" s="13">
        <v>2800000</v>
      </c>
      <c r="G107" s="13">
        <v>2091040</v>
      </c>
      <c r="H107" s="41" t="s">
        <v>38</v>
      </c>
      <c r="I107" s="41" t="s">
        <v>39</v>
      </c>
      <c r="J107" s="39" t="s">
        <v>40</v>
      </c>
      <c r="K107" s="39" t="s">
        <v>41</v>
      </c>
      <c r="L107" s="39" t="s">
        <v>42</v>
      </c>
      <c r="M107" s="11" t="s">
        <v>57</v>
      </c>
      <c r="N107" s="42">
        <v>74020</v>
      </c>
      <c r="O107" s="43"/>
      <c r="P107" s="43"/>
      <c r="Q107" s="44"/>
    </row>
    <row r="108" spans="1:17" ht="23" x14ac:dyDescent="0.25">
      <c r="B108" s="39" t="s">
        <v>866</v>
      </c>
      <c r="C108" s="40" t="s">
        <v>202</v>
      </c>
      <c r="D108" s="39" t="s">
        <v>200</v>
      </c>
      <c r="E108" s="39" t="s">
        <v>200</v>
      </c>
      <c r="F108" s="13">
        <v>2760000</v>
      </c>
      <c r="G108" s="13">
        <v>2061168</v>
      </c>
      <c r="H108" s="41" t="s">
        <v>38</v>
      </c>
      <c r="I108" s="41" t="s">
        <v>39</v>
      </c>
      <c r="J108" s="39" t="s">
        <v>40</v>
      </c>
      <c r="K108" s="39" t="s">
        <v>41</v>
      </c>
      <c r="L108" s="39" t="s">
        <v>42</v>
      </c>
      <c r="M108" s="11" t="s">
        <v>203</v>
      </c>
      <c r="N108" s="42" t="s">
        <v>204</v>
      </c>
      <c r="O108" s="43" t="s">
        <v>68</v>
      </c>
      <c r="P108" s="43"/>
      <c r="Q108" s="44"/>
    </row>
    <row r="109" spans="1:17" ht="46" x14ac:dyDescent="0.25">
      <c r="B109" s="39" t="s">
        <v>866</v>
      </c>
      <c r="C109" s="40" t="s">
        <v>205</v>
      </c>
      <c r="D109" s="39" t="s">
        <v>200</v>
      </c>
      <c r="E109" s="39" t="s">
        <v>200</v>
      </c>
      <c r="F109" s="13">
        <v>2600000</v>
      </c>
      <c r="G109" s="13">
        <v>1941680</v>
      </c>
      <c r="H109" s="41" t="s">
        <v>38</v>
      </c>
      <c r="I109" s="41" t="s">
        <v>39</v>
      </c>
      <c r="J109" s="39" t="s">
        <v>40</v>
      </c>
      <c r="K109" s="39" t="s">
        <v>41</v>
      </c>
      <c r="L109" s="39" t="s">
        <v>42</v>
      </c>
      <c r="M109" s="11" t="s">
        <v>206</v>
      </c>
      <c r="N109" s="42" t="s">
        <v>207</v>
      </c>
      <c r="O109" s="43"/>
      <c r="P109" s="43" t="s">
        <v>68</v>
      </c>
      <c r="Q109" s="44"/>
    </row>
    <row r="110" spans="1:17" ht="115" x14ac:dyDescent="0.25">
      <c r="B110" s="39" t="s">
        <v>866</v>
      </c>
      <c r="C110" s="40" t="s">
        <v>208</v>
      </c>
      <c r="D110" s="39" t="s">
        <v>200</v>
      </c>
      <c r="E110" s="39" t="s">
        <v>200</v>
      </c>
      <c r="F110" s="13">
        <v>2511340.1880000001</v>
      </c>
      <c r="G110" s="13">
        <v>1875468.8523984002</v>
      </c>
      <c r="H110" s="41" t="s">
        <v>38</v>
      </c>
      <c r="I110" s="41" t="s">
        <v>39</v>
      </c>
      <c r="J110" s="39" t="s">
        <v>40</v>
      </c>
      <c r="K110" s="39" t="s">
        <v>41</v>
      </c>
      <c r="L110" s="39" t="s">
        <v>42</v>
      </c>
      <c r="M110" s="11" t="s">
        <v>209</v>
      </c>
      <c r="N110" s="42" t="s">
        <v>210</v>
      </c>
      <c r="O110" s="43"/>
      <c r="P110" s="43"/>
      <c r="Q110" s="44"/>
    </row>
    <row r="111" spans="1:17" ht="11.5" x14ac:dyDescent="0.25">
      <c r="B111" s="39" t="s">
        <v>866</v>
      </c>
      <c r="C111" s="40" t="s">
        <v>211</v>
      </c>
      <c r="D111" s="39" t="s">
        <v>200</v>
      </c>
      <c r="E111" s="39" t="s">
        <v>200</v>
      </c>
      <c r="F111" s="13">
        <v>1924716.3149999997</v>
      </c>
      <c r="G111" s="13">
        <v>1437378.1440419997</v>
      </c>
      <c r="H111" s="41" t="s">
        <v>38</v>
      </c>
      <c r="I111" s="41" t="s">
        <v>39</v>
      </c>
      <c r="J111" s="39" t="s">
        <v>40</v>
      </c>
      <c r="K111" s="39" t="s">
        <v>41</v>
      </c>
      <c r="L111" s="39" t="s">
        <v>42</v>
      </c>
      <c r="M111" s="11" t="s">
        <v>43</v>
      </c>
      <c r="N111" s="42">
        <v>31110</v>
      </c>
      <c r="O111" s="43" t="s">
        <v>68</v>
      </c>
      <c r="P111" s="43"/>
      <c r="Q111" s="44"/>
    </row>
    <row r="112" spans="1:17" ht="23" x14ac:dyDescent="0.25">
      <c r="B112" s="39" t="s">
        <v>866</v>
      </c>
      <c r="C112" s="40" t="s">
        <v>212</v>
      </c>
      <c r="D112" s="39" t="s">
        <v>200</v>
      </c>
      <c r="E112" s="39" t="s">
        <v>200</v>
      </c>
      <c r="F112" s="13">
        <v>1478917.2050000001</v>
      </c>
      <c r="G112" s="13">
        <v>1104455.3686940002</v>
      </c>
      <c r="H112" s="41" t="s">
        <v>38</v>
      </c>
      <c r="I112" s="41" t="s">
        <v>39</v>
      </c>
      <c r="J112" s="39" t="s">
        <v>40</v>
      </c>
      <c r="K112" s="39" t="s">
        <v>41</v>
      </c>
      <c r="L112" s="39" t="s">
        <v>42</v>
      </c>
      <c r="M112" s="11" t="s">
        <v>43</v>
      </c>
      <c r="N112" s="42" t="s">
        <v>213</v>
      </c>
      <c r="O112" s="43" t="s">
        <v>68</v>
      </c>
      <c r="P112" s="43" t="s">
        <v>68</v>
      </c>
      <c r="Q112" s="44"/>
    </row>
    <row r="113" spans="2:17" ht="23" x14ac:dyDescent="0.25">
      <c r="B113" s="39" t="s">
        <v>866</v>
      </c>
      <c r="C113" s="40" t="s">
        <v>214</v>
      </c>
      <c r="D113" s="39" t="s">
        <v>200</v>
      </c>
      <c r="E113" s="39" t="s">
        <v>200</v>
      </c>
      <c r="F113" s="13">
        <v>1399999.9999999995</v>
      </c>
      <c r="G113" s="13">
        <v>1045519.9999999997</v>
      </c>
      <c r="H113" s="41" t="s">
        <v>38</v>
      </c>
      <c r="I113" s="41" t="s">
        <v>39</v>
      </c>
      <c r="J113" s="39" t="s">
        <v>40</v>
      </c>
      <c r="K113" s="39" t="s">
        <v>41</v>
      </c>
      <c r="L113" s="39" t="s">
        <v>42</v>
      </c>
      <c r="M113" s="11" t="s">
        <v>78</v>
      </c>
      <c r="N113" s="42" t="s">
        <v>215</v>
      </c>
      <c r="O113" s="43"/>
      <c r="P113" s="43"/>
      <c r="Q113" s="44"/>
    </row>
    <row r="114" spans="2:17" ht="11.5" x14ac:dyDescent="0.25">
      <c r="B114" s="39" t="s">
        <v>866</v>
      </c>
      <c r="C114" s="40" t="s">
        <v>216</v>
      </c>
      <c r="D114" s="39" t="s">
        <v>200</v>
      </c>
      <c r="E114" s="39" t="s">
        <v>200</v>
      </c>
      <c r="F114" s="13">
        <v>570000</v>
      </c>
      <c r="G114" s="13">
        <v>425676</v>
      </c>
      <c r="H114" s="41" t="s">
        <v>38</v>
      </c>
      <c r="I114" s="41" t="s">
        <v>39</v>
      </c>
      <c r="J114" s="39" t="s">
        <v>40</v>
      </c>
      <c r="K114" s="39" t="s">
        <v>41</v>
      </c>
      <c r="L114" s="39" t="s">
        <v>42</v>
      </c>
      <c r="M114" s="11" t="s">
        <v>217</v>
      </c>
      <c r="N114" s="42">
        <v>15220</v>
      </c>
      <c r="O114" s="43"/>
      <c r="P114" s="43"/>
      <c r="Q114" s="44"/>
    </row>
    <row r="115" spans="2:17" ht="11.5" x14ac:dyDescent="0.25">
      <c r="B115" s="39" t="s">
        <v>866</v>
      </c>
      <c r="C115" s="40" t="s">
        <v>218</v>
      </c>
      <c r="D115" s="39" t="s">
        <v>200</v>
      </c>
      <c r="E115" s="39" t="s">
        <v>200</v>
      </c>
      <c r="F115" s="13">
        <v>265102.8</v>
      </c>
      <c r="G115" s="13">
        <v>197978.77103999999</v>
      </c>
      <c r="H115" s="41" t="s">
        <v>38</v>
      </c>
      <c r="I115" s="41" t="s">
        <v>39</v>
      </c>
      <c r="J115" s="39" t="s">
        <v>40</v>
      </c>
      <c r="K115" s="39" t="s">
        <v>41</v>
      </c>
      <c r="L115" s="39" t="s">
        <v>42</v>
      </c>
      <c r="M115" s="11" t="s">
        <v>217</v>
      </c>
      <c r="N115" s="42">
        <v>15110</v>
      </c>
      <c r="O115" s="43"/>
      <c r="P115" s="43"/>
      <c r="Q115" s="44"/>
    </row>
    <row r="116" spans="2:17" ht="11.5" x14ac:dyDescent="0.25">
      <c r="B116" s="39" t="s">
        <v>866</v>
      </c>
      <c r="C116" s="40" t="s">
        <v>219</v>
      </c>
      <c r="D116" s="39" t="s">
        <v>200</v>
      </c>
      <c r="E116" s="39" t="s">
        <v>200</v>
      </c>
      <c r="F116" s="13">
        <v>200000</v>
      </c>
      <c r="G116" s="13">
        <v>149360</v>
      </c>
      <c r="H116" s="41" t="s">
        <v>38</v>
      </c>
      <c r="I116" s="41" t="s">
        <v>39</v>
      </c>
      <c r="J116" s="39" t="s">
        <v>40</v>
      </c>
      <c r="K116" s="39" t="s">
        <v>41</v>
      </c>
      <c r="L116" s="39" t="s">
        <v>42</v>
      </c>
      <c r="M116" s="11" t="s">
        <v>76</v>
      </c>
      <c r="N116" s="42">
        <v>41030</v>
      </c>
      <c r="O116" s="43" t="s">
        <v>68</v>
      </c>
      <c r="P116" s="43" t="s">
        <v>68</v>
      </c>
      <c r="Q116" s="44"/>
    </row>
    <row r="117" spans="2:17" ht="11.5" x14ac:dyDescent="0.25">
      <c r="B117" s="39" t="s">
        <v>866</v>
      </c>
      <c r="C117" s="40" t="s">
        <v>220</v>
      </c>
      <c r="D117" s="39" t="s">
        <v>200</v>
      </c>
      <c r="E117" s="39" t="s">
        <v>200</v>
      </c>
      <c r="F117" s="13">
        <v>158591.76000000004</v>
      </c>
      <c r="G117" s="13">
        <v>118436.32636800004</v>
      </c>
      <c r="H117" s="41" t="s">
        <v>38</v>
      </c>
      <c r="I117" s="41" t="s">
        <v>39</v>
      </c>
      <c r="J117" s="39" t="s">
        <v>40</v>
      </c>
      <c r="K117" s="39" t="s">
        <v>41</v>
      </c>
      <c r="L117" s="39" t="s">
        <v>42</v>
      </c>
      <c r="M117" s="11" t="s">
        <v>130</v>
      </c>
      <c r="N117" s="42">
        <v>43010</v>
      </c>
      <c r="O117" s="43"/>
      <c r="P117" s="43"/>
      <c r="Q117" s="44"/>
    </row>
    <row r="118" spans="2:17" ht="11.5" x14ac:dyDescent="0.25">
      <c r="B118" s="39" t="s">
        <v>866</v>
      </c>
      <c r="C118" s="40" t="s">
        <v>221</v>
      </c>
      <c r="D118" s="39" t="s">
        <v>200</v>
      </c>
      <c r="E118" s="39" t="s">
        <v>200</v>
      </c>
      <c r="F118" s="13">
        <v>75000</v>
      </c>
      <c r="G118" s="13">
        <v>56010</v>
      </c>
      <c r="H118" s="41" t="s">
        <v>38</v>
      </c>
      <c r="I118" s="41" t="s">
        <v>39</v>
      </c>
      <c r="J118" s="39" t="s">
        <v>40</v>
      </c>
      <c r="K118" s="39" t="s">
        <v>41</v>
      </c>
      <c r="L118" s="39" t="s">
        <v>42</v>
      </c>
      <c r="M118" s="11" t="s">
        <v>130</v>
      </c>
      <c r="N118" s="42">
        <v>43010</v>
      </c>
      <c r="O118" s="43" t="s">
        <v>68</v>
      </c>
      <c r="P118" s="43"/>
      <c r="Q118" s="44"/>
    </row>
    <row r="119" spans="2:17" ht="11.5" x14ac:dyDescent="0.25">
      <c r="B119" s="39" t="s">
        <v>866</v>
      </c>
      <c r="C119" s="40" t="s">
        <v>222</v>
      </c>
      <c r="D119" s="39" t="s">
        <v>200</v>
      </c>
      <c r="E119" s="39" t="s">
        <v>200</v>
      </c>
      <c r="F119" s="13">
        <v>72428.570759999973</v>
      </c>
      <c r="G119" s="13">
        <v>54089.656643567978</v>
      </c>
      <c r="H119" s="41" t="s">
        <v>38</v>
      </c>
      <c r="I119" s="41" t="s">
        <v>39</v>
      </c>
      <c r="J119" s="39" t="s">
        <v>40</v>
      </c>
      <c r="K119" s="39" t="s">
        <v>41</v>
      </c>
      <c r="L119" s="39" t="s">
        <v>42</v>
      </c>
      <c r="M119" s="11" t="s">
        <v>76</v>
      </c>
      <c r="N119" s="42">
        <v>41020</v>
      </c>
      <c r="O119" s="43" t="s">
        <v>68</v>
      </c>
      <c r="P119" s="43"/>
      <c r="Q119" s="44"/>
    </row>
    <row r="120" spans="2:17" ht="11.5" x14ac:dyDescent="0.25">
      <c r="B120" s="39" t="s">
        <v>866</v>
      </c>
      <c r="C120" s="40" t="s">
        <v>223</v>
      </c>
      <c r="D120" s="39" t="s">
        <v>200</v>
      </c>
      <c r="E120" s="39" t="s">
        <v>200</v>
      </c>
      <c r="F120" s="13">
        <v>72266.759999999995</v>
      </c>
      <c r="G120" s="13">
        <v>53968.816368</v>
      </c>
      <c r="H120" s="41" t="s">
        <v>38</v>
      </c>
      <c r="I120" s="41" t="s">
        <v>39</v>
      </c>
      <c r="J120" s="39" t="s">
        <v>40</v>
      </c>
      <c r="K120" s="39" t="s">
        <v>41</v>
      </c>
      <c r="L120" s="39" t="s">
        <v>42</v>
      </c>
      <c r="M120" s="11" t="s">
        <v>217</v>
      </c>
      <c r="N120" s="42">
        <v>15160</v>
      </c>
      <c r="O120" s="43"/>
      <c r="P120" s="43"/>
      <c r="Q120" s="44"/>
    </row>
    <row r="121" spans="2:17" ht="11.5" x14ac:dyDescent="0.25">
      <c r="B121" s="39" t="s">
        <v>866</v>
      </c>
      <c r="C121" s="40" t="s">
        <v>224</v>
      </c>
      <c r="D121" s="39" t="s">
        <v>200</v>
      </c>
      <c r="E121" s="39" t="s">
        <v>200</v>
      </c>
      <c r="F121" s="13">
        <v>33736.800000000003</v>
      </c>
      <c r="G121" s="13">
        <v>25194.642240000001</v>
      </c>
      <c r="H121" s="41" t="s">
        <v>38</v>
      </c>
      <c r="I121" s="41" t="s">
        <v>39</v>
      </c>
      <c r="J121" s="39" t="s">
        <v>40</v>
      </c>
      <c r="K121" s="39" t="s">
        <v>41</v>
      </c>
      <c r="L121" s="39" t="s">
        <v>42</v>
      </c>
      <c r="M121" s="11" t="s">
        <v>225</v>
      </c>
      <c r="N121" s="42">
        <v>11182</v>
      </c>
      <c r="O121" s="43"/>
      <c r="P121" s="43"/>
      <c r="Q121" s="44"/>
    </row>
    <row r="122" spans="2:17" ht="57.5" x14ac:dyDescent="0.25">
      <c r="B122" s="39" t="s">
        <v>866</v>
      </c>
      <c r="C122" s="40" t="s">
        <v>226</v>
      </c>
      <c r="D122" s="39" t="s">
        <v>200</v>
      </c>
      <c r="E122" s="39" t="s">
        <v>200</v>
      </c>
      <c r="F122" s="13">
        <v>29999.432800000002</v>
      </c>
      <c r="G122" s="13">
        <v>22403.576415040003</v>
      </c>
      <c r="H122" s="41" t="s">
        <v>38</v>
      </c>
      <c r="I122" s="41" t="s">
        <v>39</v>
      </c>
      <c r="J122" s="39" t="s">
        <v>40</v>
      </c>
      <c r="K122" s="39" t="s">
        <v>41</v>
      </c>
      <c r="L122" s="39" t="s">
        <v>42</v>
      </c>
      <c r="M122" s="11" t="s">
        <v>227</v>
      </c>
      <c r="N122" s="42" t="s">
        <v>228</v>
      </c>
      <c r="O122" s="43"/>
      <c r="P122" s="43"/>
      <c r="Q122" s="44"/>
    </row>
    <row r="123" spans="2:17" ht="69" x14ac:dyDescent="0.25">
      <c r="B123" s="39" t="s">
        <v>866</v>
      </c>
      <c r="C123" s="40" t="s">
        <v>229</v>
      </c>
      <c r="D123" s="39" t="s">
        <v>200</v>
      </c>
      <c r="E123" s="39" t="s">
        <v>200</v>
      </c>
      <c r="F123" s="13">
        <v>15248.812999999998</v>
      </c>
      <c r="G123" s="13">
        <v>11387.813548399999</v>
      </c>
      <c r="H123" s="41" t="s">
        <v>38</v>
      </c>
      <c r="I123" s="41" t="s">
        <v>39</v>
      </c>
      <c r="J123" s="39" t="s">
        <v>40</v>
      </c>
      <c r="K123" s="39" t="s">
        <v>41</v>
      </c>
      <c r="L123" s="39" t="s">
        <v>42</v>
      </c>
      <c r="M123" s="11" t="s">
        <v>230</v>
      </c>
      <c r="N123" s="42" t="s">
        <v>231</v>
      </c>
      <c r="O123" s="43"/>
      <c r="P123" s="43"/>
      <c r="Q123" s="44"/>
    </row>
    <row r="124" spans="2:17" ht="11.5" x14ac:dyDescent="0.25">
      <c r="B124" s="39" t="s">
        <v>866</v>
      </c>
      <c r="C124" s="40" t="s">
        <v>199</v>
      </c>
      <c r="D124" s="39" t="s">
        <v>200</v>
      </c>
      <c r="E124" s="39" t="s">
        <v>200</v>
      </c>
      <c r="F124" s="13">
        <v>1163885.01</v>
      </c>
      <c r="G124" s="13">
        <v>869189.32546800002</v>
      </c>
      <c r="H124" s="41" t="s">
        <v>38</v>
      </c>
      <c r="I124" s="41" t="s">
        <v>39</v>
      </c>
      <c r="J124" s="39" t="s">
        <v>40</v>
      </c>
      <c r="K124" s="39" t="s">
        <v>41</v>
      </c>
      <c r="L124" s="39" t="s">
        <v>159</v>
      </c>
      <c r="M124" s="11" t="s">
        <v>76</v>
      </c>
      <c r="N124" s="42">
        <v>41010</v>
      </c>
      <c r="O124" s="43" t="s">
        <v>68</v>
      </c>
      <c r="P124" s="43"/>
      <c r="Q124" s="44"/>
    </row>
    <row r="125" spans="2:17" ht="34.5" x14ac:dyDescent="0.25">
      <c r="B125" s="39" t="s">
        <v>866</v>
      </c>
      <c r="C125" s="40" t="s">
        <v>232</v>
      </c>
      <c r="D125" s="39" t="s">
        <v>200</v>
      </c>
      <c r="E125" s="39" t="s">
        <v>200</v>
      </c>
      <c r="F125" s="13">
        <v>272727.27</v>
      </c>
      <c r="G125" s="13">
        <v>203672.72523600003</v>
      </c>
      <c r="H125" s="41" t="s">
        <v>38</v>
      </c>
      <c r="I125" s="41" t="s">
        <v>39</v>
      </c>
      <c r="J125" s="39" t="s">
        <v>40</v>
      </c>
      <c r="K125" s="39" t="s">
        <v>41</v>
      </c>
      <c r="L125" s="39" t="s">
        <v>159</v>
      </c>
      <c r="M125" s="11" t="s">
        <v>137</v>
      </c>
      <c r="N125" s="42" t="s">
        <v>233</v>
      </c>
      <c r="O125" s="43" t="s">
        <v>68</v>
      </c>
      <c r="P125" s="43"/>
      <c r="Q125" s="44"/>
    </row>
    <row r="126" spans="2:17" ht="34.5" x14ac:dyDescent="0.25">
      <c r="B126" s="39" t="s">
        <v>866</v>
      </c>
      <c r="C126" s="40" t="s">
        <v>234</v>
      </c>
      <c r="D126" s="39" t="s">
        <v>200</v>
      </c>
      <c r="E126" s="39" t="s">
        <v>200</v>
      </c>
      <c r="F126" s="13">
        <v>1794982</v>
      </c>
      <c r="G126" s="13">
        <v>1340492.5575999999</v>
      </c>
      <c r="H126" s="41" t="s">
        <v>38</v>
      </c>
      <c r="I126" s="41" t="s">
        <v>39</v>
      </c>
      <c r="J126" s="39" t="s">
        <v>40</v>
      </c>
      <c r="K126" s="39" t="s">
        <v>41</v>
      </c>
      <c r="L126" s="39" t="s">
        <v>130</v>
      </c>
      <c r="M126" s="11" t="s">
        <v>76</v>
      </c>
      <c r="N126" s="42" t="s">
        <v>235</v>
      </c>
      <c r="O126" s="43" t="s">
        <v>68</v>
      </c>
      <c r="P126" s="43" t="s">
        <v>68</v>
      </c>
      <c r="Q126" s="44"/>
    </row>
    <row r="127" spans="2:17" ht="11.5" x14ac:dyDescent="0.25">
      <c r="B127" s="39" t="s">
        <v>866</v>
      </c>
      <c r="C127" s="40" t="s">
        <v>236</v>
      </c>
      <c r="D127" s="39" t="s">
        <v>200</v>
      </c>
      <c r="E127" s="39" t="s">
        <v>200</v>
      </c>
      <c r="F127" s="13">
        <v>115000</v>
      </c>
      <c r="G127" s="13">
        <v>85882</v>
      </c>
      <c r="H127" s="41" t="s">
        <v>38</v>
      </c>
      <c r="I127" s="41" t="s">
        <v>39</v>
      </c>
      <c r="J127" s="39" t="s">
        <v>40</v>
      </c>
      <c r="K127" s="39" t="s">
        <v>41</v>
      </c>
      <c r="L127" s="39" t="s">
        <v>130</v>
      </c>
      <c r="M127" s="11" t="s">
        <v>76</v>
      </c>
      <c r="N127" s="42">
        <v>41081</v>
      </c>
      <c r="O127" s="43" t="s">
        <v>68</v>
      </c>
      <c r="P127" s="43"/>
      <c r="Q127" s="44"/>
    </row>
    <row r="128" spans="2:17" ht="11.5" x14ac:dyDescent="0.25">
      <c r="B128" s="39" t="s">
        <v>866</v>
      </c>
      <c r="C128" s="40" t="s">
        <v>237</v>
      </c>
      <c r="D128" s="39" t="s">
        <v>200</v>
      </c>
      <c r="E128" s="39" t="s">
        <v>200</v>
      </c>
      <c r="F128" s="13">
        <v>12313.199999999999</v>
      </c>
      <c r="G128" s="13">
        <v>9195.4977600000002</v>
      </c>
      <c r="H128" s="41" t="s">
        <v>38</v>
      </c>
      <c r="I128" s="41" t="s">
        <v>39</v>
      </c>
      <c r="J128" s="39" t="s">
        <v>40</v>
      </c>
      <c r="K128" s="39" t="s">
        <v>41</v>
      </c>
      <c r="L128" s="39" t="s">
        <v>130</v>
      </c>
      <c r="M128" s="11" t="s">
        <v>130</v>
      </c>
      <c r="N128" s="42">
        <v>43082</v>
      </c>
      <c r="O128" s="43"/>
      <c r="P128" s="43"/>
      <c r="Q128" s="44"/>
    </row>
    <row r="129" spans="2:17" ht="69" x14ac:dyDescent="0.25">
      <c r="B129" s="39" t="s">
        <v>238</v>
      </c>
      <c r="C129" s="40" t="s">
        <v>239</v>
      </c>
      <c r="D129" s="39" t="s">
        <v>200</v>
      </c>
      <c r="E129" s="39" t="s">
        <v>200</v>
      </c>
      <c r="F129" s="13">
        <v>4836075.05</v>
      </c>
      <c r="G129" s="13">
        <v>3611580.8473399999</v>
      </c>
      <c r="H129" s="41" t="s">
        <v>38</v>
      </c>
      <c r="I129" s="41" t="s">
        <v>240</v>
      </c>
      <c r="J129" s="39" t="s">
        <v>40</v>
      </c>
      <c r="K129" s="39" t="s">
        <v>41</v>
      </c>
      <c r="L129" s="39" t="s">
        <v>42</v>
      </c>
      <c r="M129" s="11" t="s">
        <v>241</v>
      </c>
      <c r="N129" s="42" t="s">
        <v>242</v>
      </c>
      <c r="O129" s="43"/>
      <c r="P129" s="43"/>
      <c r="Q129" s="44"/>
    </row>
    <row r="130" spans="2:17" ht="11.5" x14ac:dyDescent="0.25">
      <c r="B130" s="39" t="s">
        <v>238</v>
      </c>
      <c r="C130" s="40" t="s">
        <v>243</v>
      </c>
      <c r="D130" s="39" t="s">
        <v>200</v>
      </c>
      <c r="E130" s="39" t="s">
        <v>200</v>
      </c>
      <c r="F130" s="13">
        <v>3750000</v>
      </c>
      <c r="G130" s="13">
        <v>2800500</v>
      </c>
      <c r="H130" s="41" t="s">
        <v>38</v>
      </c>
      <c r="I130" s="41" t="s">
        <v>244</v>
      </c>
      <c r="J130" s="39" t="s">
        <v>40</v>
      </c>
      <c r="K130" s="39" t="s">
        <v>41</v>
      </c>
      <c r="L130" s="39" t="s">
        <v>42</v>
      </c>
      <c r="M130" s="11" t="s">
        <v>65</v>
      </c>
      <c r="N130" s="42">
        <v>73010</v>
      </c>
      <c r="O130" s="43"/>
      <c r="P130" s="43"/>
      <c r="Q130" s="44"/>
    </row>
    <row r="131" spans="2:17" ht="11.5" x14ac:dyDescent="0.25">
      <c r="B131" s="39" t="s">
        <v>238</v>
      </c>
      <c r="C131" s="40" t="s">
        <v>245</v>
      </c>
      <c r="D131" s="39" t="s">
        <v>200</v>
      </c>
      <c r="E131" s="39" t="s">
        <v>200</v>
      </c>
      <c r="F131" s="13">
        <v>771413.10600000003</v>
      </c>
      <c r="G131" s="13">
        <v>576091.30756079999</v>
      </c>
      <c r="H131" s="41" t="s">
        <v>38</v>
      </c>
      <c r="I131" s="41" t="s">
        <v>244</v>
      </c>
      <c r="J131" s="39" t="s">
        <v>40</v>
      </c>
      <c r="K131" s="39" t="s">
        <v>41</v>
      </c>
      <c r="L131" s="39" t="s">
        <v>42</v>
      </c>
      <c r="M131" s="11" t="s">
        <v>246</v>
      </c>
      <c r="N131" s="42">
        <v>32130</v>
      </c>
      <c r="O131" s="43"/>
      <c r="P131" s="43"/>
      <c r="Q131" s="44"/>
    </row>
    <row r="132" spans="2:17" ht="11.5" x14ac:dyDescent="0.25">
      <c r="B132" s="39" t="s">
        <v>238</v>
      </c>
      <c r="C132" s="40" t="s">
        <v>247</v>
      </c>
      <c r="D132" s="39" t="s">
        <v>200</v>
      </c>
      <c r="E132" s="39" t="s">
        <v>200</v>
      </c>
      <c r="F132" s="13">
        <v>714600</v>
      </c>
      <c r="G132" s="13">
        <v>533663.28</v>
      </c>
      <c r="H132" s="41" t="s">
        <v>38</v>
      </c>
      <c r="I132" s="41" t="s">
        <v>244</v>
      </c>
      <c r="J132" s="39" t="s">
        <v>40</v>
      </c>
      <c r="K132" s="39" t="s">
        <v>41</v>
      </c>
      <c r="L132" s="39" t="s">
        <v>42</v>
      </c>
      <c r="M132" s="11" t="s">
        <v>74</v>
      </c>
      <c r="N132" s="42">
        <v>25010</v>
      </c>
      <c r="O132" s="43"/>
      <c r="P132" s="43"/>
      <c r="Q132" s="44"/>
    </row>
    <row r="133" spans="2:17" ht="11.5" x14ac:dyDescent="0.25">
      <c r="B133" s="39" t="s">
        <v>238</v>
      </c>
      <c r="C133" s="40" t="s">
        <v>248</v>
      </c>
      <c r="D133" s="39" t="s">
        <v>200</v>
      </c>
      <c r="E133" s="39" t="s">
        <v>200</v>
      </c>
      <c r="F133" s="13">
        <v>648060</v>
      </c>
      <c r="G133" s="13">
        <v>483971.20799999998</v>
      </c>
      <c r="H133" s="41" t="s">
        <v>38</v>
      </c>
      <c r="I133" s="41" t="s">
        <v>244</v>
      </c>
      <c r="J133" s="39" t="s">
        <v>40</v>
      </c>
      <c r="K133" s="39" t="s">
        <v>41</v>
      </c>
      <c r="L133" s="39" t="s">
        <v>42</v>
      </c>
      <c r="M133" s="11" t="s">
        <v>74</v>
      </c>
      <c r="N133" s="42">
        <v>25030</v>
      </c>
      <c r="O133" s="43"/>
      <c r="P133" s="43"/>
      <c r="Q133" s="44"/>
    </row>
    <row r="134" spans="2:17" ht="11.5" x14ac:dyDescent="0.25">
      <c r="B134" s="39" t="s">
        <v>238</v>
      </c>
      <c r="C134" s="40" t="s">
        <v>249</v>
      </c>
      <c r="D134" s="39" t="s">
        <v>200</v>
      </c>
      <c r="E134" s="39" t="s">
        <v>200</v>
      </c>
      <c r="F134" s="13">
        <v>104177.928</v>
      </c>
      <c r="G134" s="13">
        <v>77800.076630399999</v>
      </c>
      <c r="H134" s="41" t="s">
        <v>38</v>
      </c>
      <c r="I134" s="41" t="s">
        <v>244</v>
      </c>
      <c r="J134" s="39" t="s">
        <v>40</v>
      </c>
      <c r="K134" s="39" t="s">
        <v>41</v>
      </c>
      <c r="L134" s="39" t="s">
        <v>42</v>
      </c>
      <c r="M134" s="11" t="s">
        <v>225</v>
      </c>
      <c r="N134" s="42">
        <v>11120</v>
      </c>
      <c r="O134" s="43"/>
      <c r="P134" s="43"/>
      <c r="Q134" s="44"/>
    </row>
    <row r="135" spans="2:17" ht="11.5" x14ac:dyDescent="0.25">
      <c r="B135" s="39" t="s">
        <v>238</v>
      </c>
      <c r="C135" s="40" t="s">
        <v>250</v>
      </c>
      <c r="D135" s="39" t="s">
        <v>200</v>
      </c>
      <c r="E135" s="39" t="s">
        <v>200</v>
      </c>
      <c r="F135" s="13">
        <v>32910.438000000002</v>
      </c>
      <c r="G135" s="13">
        <v>24577.515098400003</v>
      </c>
      <c r="H135" s="41" t="s">
        <v>38</v>
      </c>
      <c r="I135" s="41" t="s">
        <v>244</v>
      </c>
      <c r="J135" s="39" t="s">
        <v>40</v>
      </c>
      <c r="K135" s="39" t="s">
        <v>41</v>
      </c>
      <c r="L135" s="39" t="s">
        <v>42</v>
      </c>
      <c r="M135" s="11" t="s">
        <v>57</v>
      </c>
      <c r="N135" s="42">
        <v>43060</v>
      </c>
      <c r="O135" s="43"/>
      <c r="P135" s="43" t="s">
        <v>68</v>
      </c>
      <c r="Q135" s="44"/>
    </row>
    <row r="136" spans="2:17" ht="11.5" x14ac:dyDescent="0.25">
      <c r="B136" s="39" t="s">
        <v>251</v>
      </c>
      <c r="C136" s="40" t="s">
        <v>252</v>
      </c>
      <c r="D136" s="39" t="s">
        <v>200</v>
      </c>
      <c r="E136" s="39" t="s">
        <v>200</v>
      </c>
      <c r="F136" s="13">
        <v>1497047.4269999999</v>
      </c>
      <c r="G136" s="13">
        <v>1117995.0184835999</v>
      </c>
      <c r="H136" s="41" t="s">
        <v>38</v>
      </c>
      <c r="I136" s="41" t="s">
        <v>244</v>
      </c>
      <c r="J136" s="39" t="s">
        <v>40</v>
      </c>
      <c r="K136" s="39" t="s">
        <v>41</v>
      </c>
      <c r="L136" s="39" t="s">
        <v>42</v>
      </c>
      <c r="M136" s="11" t="s">
        <v>94</v>
      </c>
      <c r="N136" s="42">
        <v>16020</v>
      </c>
      <c r="O136" s="43"/>
      <c r="P136" s="43"/>
      <c r="Q136" s="44"/>
    </row>
    <row r="137" spans="2:17" ht="11.5" x14ac:dyDescent="0.25">
      <c r="B137" s="39" t="s">
        <v>251</v>
      </c>
      <c r="C137" s="40" t="s">
        <v>253</v>
      </c>
      <c r="D137" s="39" t="s">
        <v>200</v>
      </c>
      <c r="E137" s="39" t="s">
        <v>200</v>
      </c>
      <c r="F137" s="13">
        <v>383399.69400000008</v>
      </c>
      <c r="G137" s="13">
        <v>286322.89147920004</v>
      </c>
      <c r="H137" s="41" t="s">
        <v>38</v>
      </c>
      <c r="I137" s="41" t="s">
        <v>244</v>
      </c>
      <c r="J137" s="39" t="s">
        <v>40</v>
      </c>
      <c r="K137" s="39" t="s">
        <v>41</v>
      </c>
      <c r="L137" s="39" t="s">
        <v>42</v>
      </c>
      <c r="M137" s="11" t="s">
        <v>225</v>
      </c>
      <c r="N137" s="42">
        <v>11110</v>
      </c>
      <c r="O137" s="43"/>
      <c r="P137" s="43"/>
      <c r="Q137" s="44"/>
    </row>
    <row r="138" spans="2:17" ht="11.5" x14ac:dyDescent="0.25">
      <c r="B138" s="39" t="s">
        <v>251</v>
      </c>
      <c r="C138" s="40" t="s">
        <v>254</v>
      </c>
      <c r="D138" s="39" t="s">
        <v>200</v>
      </c>
      <c r="E138" s="39" t="s">
        <v>200</v>
      </c>
      <c r="F138" s="13">
        <v>175034.07249999998</v>
      </c>
      <c r="G138" s="13">
        <v>130715.44534299998</v>
      </c>
      <c r="H138" s="41" t="s">
        <v>38</v>
      </c>
      <c r="I138" s="41" t="s">
        <v>244</v>
      </c>
      <c r="J138" s="39" t="s">
        <v>40</v>
      </c>
      <c r="K138" s="39" t="s">
        <v>41</v>
      </c>
      <c r="L138" s="39" t="s">
        <v>42</v>
      </c>
      <c r="M138" s="11" t="s">
        <v>246</v>
      </c>
      <c r="N138" s="42">
        <v>32171</v>
      </c>
      <c r="O138" s="43"/>
      <c r="P138" s="43"/>
      <c r="Q138" s="44"/>
    </row>
    <row r="139" spans="2:17" ht="46" x14ac:dyDescent="0.25">
      <c r="B139" s="39" t="s">
        <v>251</v>
      </c>
      <c r="C139" s="40" t="s">
        <v>255</v>
      </c>
      <c r="D139" s="39" t="s">
        <v>200</v>
      </c>
      <c r="E139" s="39" t="s">
        <v>200</v>
      </c>
      <c r="F139" s="13">
        <v>25494.317999999996</v>
      </c>
      <c r="G139" s="13">
        <v>19039.156682399996</v>
      </c>
      <c r="H139" s="41" t="s">
        <v>38</v>
      </c>
      <c r="I139" s="41" t="s">
        <v>244</v>
      </c>
      <c r="J139" s="39" t="s">
        <v>40</v>
      </c>
      <c r="K139" s="39" t="s">
        <v>41</v>
      </c>
      <c r="L139" s="39" t="s">
        <v>42</v>
      </c>
      <c r="M139" s="11" t="s">
        <v>256</v>
      </c>
      <c r="N139" s="42" t="s">
        <v>257</v>
      </c>
      <c r="O139" s="43"/>
      <c r="P139" s="43"/>
      <c r="Q139" s="44"/>
    </row>
    <row r="140" spans="2:17" ht="11.5" x14ac:dyDescent="0.25">
      <c r="B140" s="39" t="s">
        <v>258</v>
      </c>
      <c r="C140" s="40" t="s">
        <v>259</v>
      </c>
      <c r="D140" s="39" t="s">
        <v>200</v>
      </c>
      <c r="E140" s="39" t="s">
        <v>200</v>
      </c>
      <c r="F140" s="13">
        <v>28760</v>
      </c>
      <c r="G140" s="13">
        <v>21477.968000000001</v>
      </c>
      <c r="H140" s="41" t="s">
        <v>38</v>
      </c>
      <c r="I140" s="41" t="s">
        <v>244</v>
      </c>
      <c r="J140" s="39" t="s">
        <v>40</v>
      </c>
      <c r="K140" s="39" t="s">
        <v>41</v>
      </c>
      <c r="L140" s="39" t="s">
        <v>42</v>
      </c>
      <c r="M140" s="11" t="s">
        <v>225</v>
      </c>
      <c r="N140" s="42">
        <v>11110</v>
      </c>
      <c r="O140" s="43" t="s">
        <v>68</v>
      </c>
      <c r="P140" s="43" t="s">
        <v>68</v>
      </c>
      <c r="Q140" s="44"/>
    </row>
    <row r="141" spans="2:17" ht="11.5" x14ac:dyDescent="0.25">
      <c r="B141" s="39" t="s">
        <v>260</v>
      </c>
      <c r="C141" s="40" t="s">
        <v>261</v>
      </c>
      <c r="D141" s="39" t="s">
        <v>200</v>
      </c>
      <c r="E141" s="39" t="s">
        <v>200</v>
      </c>
      <c r="F141" s="13">
        <v>19767</v>
      </c>
      <c r="G141" s="13">
        <v>14761.9956</v>
      </c>
      <c r="H141" s="41" t="s">
        <v>38</v>
      </c>
      <c r="I141" s="41" t="s">
        <v>244</v>
      </c>
      <c r="J141" s="39" t="s">
        <v>40</v>
      </c>
      <c r="K141" s="39" t="s">
        <v>41</v>
      </c>
      <c r="L141" s="39" t="s">
        <v>42</v>
      </c>
      <c r="M141" s="11" t="s">
        <v>262</v>
      </c>
      <c r="N141" s="42">
        <v>21050</v>
      </c>
      <c r="O141" s="43"/>
      <c r="P141" s="43"/>
      <c r="Q141" s="44"/>
    </row>
    <row r="142" spans="2:17" ht="34.5" x14ac:dyDescent="0.25">
      <c r="B142" s="39" t="s">
        <v>260</v>
      </c>
      <c r="C142" s="40" t="s">
        <v>263</v>
      </c>
      <c r="D142" s="39" t="s">
        <v>200</v>
      </c>
      <c r="E142" s="39" t="s">
        <v>200</v>
      </c>
      <c r="F142" s="13">
        <v>65780</v>
      </c>
      <c r="G142" s="13">
        <v>49124.504000000001</v>
      </c>
      <c r="H142" s="41" t="s">
        <v>38</v>
      </c>
      <c r="I142" s="41" t="s">
        <v>244</v>
      </c>
      <c r="J142" s="39" t="s">
        <v>40</v>
      </c>
      <c r="K142" s="39" t="s">
        <v>41</v>
      </c>
      <c r="L142" s="39" t="s">
        <v>159</v>
      </c>
      <c r="M142" s="11" t="s">
        <v>264</v>
      </c>
      <c r="N142" s="42" t="s">
        <v>265</v>
      </c>
      <c r="O142" s="43"/>
      <c r="P142" s="43" t="s">
        <v>68</v>
      </c>
      <c r="Q142" s="44"/>
    </row>
    <row r="143" spans="2:17" ht="11.5" x14ac:dyDescent="0.25">
      <c r="B143" s="39" t="s">
        <v>266</v>
      </c>
      <c r="C143" s="40" t="s">
        <v>267</v>
      </c>
      <c r="D143" s="39" t="s">
        <v>200</v>
      </c>
      <c r="E143" s="39" t="s">
        <v>200</v>
      </c>
      <c r="F143" s="13">
        <v>17985677.739</v>
      </c>
      <c r="G143" s="13">
        <v>13431704.1354852</v>
      </c>
      <c r="H143" s="41" t="s">
        <v>38</v>
      </c>
      <c r="I143" s="41" t="s">
        <v>244</v>
      </c>
      <c r="J143" s="39" t="s">
        <v>40</v>
      </c>
      <c r="K143" s="39" t="s">
        <v>41</v>
      </c>
      <c r="L143" s="39" t="s">
        <v>42</v>
      </c>
      <c r="M143" s="11" t="s">
        <v>262</v>
      </c>
      <c r="N143" s="42">
        <v>21011</v>
      </c>
      <c r="O143" s="43" t="s">
        <v>68</v>
      </c>
      <c r="P143" s="43"/>
      <c r="Q143" s="44"/>
    </row>
    <row r="144" spans="2:17" ht="46" x14ac:dyDescent="0.25">
      <c r="B144" s="39" t="s">
        <v>266</v>
      </c>
      <c r="C144" s="40" t="s">
        <v>268</v>
      </c>
      <c r="D144" s="39" t="s">
        <v>200</v>
      </c>
      <c r="E144" s="39" t="s">
        <v>200</v>
      </c>
      <c r="F144" s="13">
        <v>6612678.8489999995</v>
      </c>
      <c r="G144" s="13">
        <v>4938348.5644331994</v>
      </c>
      <c r="H144" s="41" t="s">
        <v>38</v>
      </c>
      <c r="I144" s="41" t="s">
        <v>244</v>
      </c>
      <c r="J144" s="39" t="s">
        <v>40</v>
      </c>
      <c r="K144" s="39" t="s">
        <v>41</v>
      </c>
      <c r="L144" s="39" t="s">
        <v>42</v>
      </c>
      <c r="M144" s="11" t="s">
        <v>269</v>
      </c>
      <c r="N144" s="42" t="s">
        <v>270</v>
      </c>
      <c r="O144" s="43" t="s">
        <v>68</v>
      </c>
      <c r="P144" s="43"/>
      <c r="Q144" s="44"/>
    </row>
    <row r="145" spans="2:17" ht="11.5" x14ac:dyDescent="0.25">
      <c r="B145" s="39" t="s">
        <v>266</v>
      </c>
      <c r="C145" s="40" t="s">
        <v>271</v>
      </c>
      <c r="D145" s="39" t="s">
        <v>200</v>
      </c>
      <c r="E145" s="39" t="s">
        <v>200</v>
      </c>
      <c r="F145" s="13">
        <v>6331237.7159999991</v>
      </c>
      <c r="G145" s="13">
        <v>4728168.326308799</v>
      </c>
      <c r="H145" s="41" t="s">
        <v>38</v>
      </c>
      <c r="I145" s="41" t="s">
        <v>244</v>
      </c>
      <c r="J145" s="39" t="s">
        <v>40</v>
      </c>
      <c r="K145" s="39" t="s">
        <v>41</v>
      </c>
      <c r="L145" s="39" t="s">
        <v>42</v>
      </c>
      <c r="M145" s="11" t="s">
        <v>272</v>
      </c>
      <c r="N145" s="42">
        <v>12110</v>
      </c>
      <c r="O145" s="43"/>
      <c r="P145" s="43"/>
      <c r="Q145" s="44"/>
    </row>
    <row r="146" spans="2:17" ht="34.5" x14ac:dyDescent="0.25">
      <c r="B146" s="39" t="s">
        <v>266</v>
      </c>
      <c r="C146" s="40" t="s">
        <v>273</v>
      </c>
      <c r="D146" s="39" t="s">
        <v>200</v>
      </c>
      <c r="E146" s="39" t="s">
        <v>200</v>
      </c>
      <c r="F146" s="13">
        <v>4794789.8794999998</v>
      </c>
      <c r="G146" s="13">
        <v>3580749.0820105998</v>
      </c>
      <c r="H146" s="41" t="s">
        <v>38</v>
      </c>
      <c r="I146" s="41" t="s">
        <v>244</v>
      </c>
      <c r="J146" s="39" t="s">
        <v>40</v>
      </c>
      <c r="K146" s="39" t="s">
        <v>41</v>
      </c>
      <c r="L146" s="39" t="s">
        <v>42</v>
      </c>
      <c r="M146" s="11" t="s">
        <v>274</v>
      </c>
      <c r="N146" s="42" t="s">
        <v>275</v>
      </c>
      <c r="O146" s="43"/>
      <c r="P146" s="43"/>
      <c r="Q146" s="44"/>
    </row>
    <row r="147" spans="2:17" ht="80.5" x14ac:dyDescent="0.25">
      <c r="B147" s="39" t="s">
        <v>266</v>
      </c>
      <c r="C147" s="40" t="s">
        <v>276</v>
      </c>
      <c r="D147" s="39" t="s">
        <v>200</v>
      </c>
      <c r="E147" s="39" t="s">
        <v>200</v>
      </c>
      <c r="F147" s="13">
        <v>2882099.1509999991</v>
      </c>
      <c r="G147" s="13">
        <v>2152351.6459667995</v>
      </c>
      <c r="H147" s="41" t="s">
        <v>38</v>
      </c>
      <c r="I147" s="41" t="s">
        <v>244</v>
      </c>
      <c r="J147" s="39" t="s">
        <v>40</v>
      </c>
      <c r="K147" s="39" t="s">
        <v>41</v>
      </c>
      <c r="L147" s="39" t="s">
        <v>42</v>
      </c>
      <c r="M147" s="11" t="s">
        <v>277</v>
      </c>
      <c r="N147" s="42" t="s">
        <v>278</v>
      </c>
      <c r="O147" s="43"/>
      <c r="P147" s="43"/>
      <c r="Q147" s="44"/>
    </row>
    <row r="148" spans="2:17" ht="11.5" x14ac:dyDescent="0.25">
      <c r="B148" s="39" t="s">
        <v>266</v>
      </c>
      <c r="C148" s="40" t="s">
        <v>279</v>
      </c>
      <c r="D148" s="39" t="s">
        <v>200</v>
      </c>
      <c r="E148" s="39" t="s">
        <v>200</v>
      </c>
      <c r="F148" s="13">
        <v>2105377.6</v>
      </c>
      <c r="G148" s="13">
        <v>1572295.9916800002</v>
      </c>
      <c r="H148" s="41" t="s">
        <v>38</v>
      </c>
      <c r="I148" s="41" t="s">
        <v>244</v>
      </c>
      <c r="J148" s="39" t="s">
        <v>40</v>
      </c>
      <c r="K148" s="39" t="s">
        <v>41</v>
      </c>
      <c r="L148" s="39" t="s">
        <v>42</v>
      </c>
      <c r="M148" s="11" t="s">
        <v>76</v>
      </c>
      <c r="N148" s="42">
        <v>41010</v>
      </c>
      <c r="O148" s="43" t="s">
        <v>68</v>
      </c>
      <c r="P148" s="43"/>
      <c r="Q148" s="44"/>
    </row>
    <row r="149" spans="2:17" ht="11.5" x14ac:dyDescent="0.25">
      <c r="B149" s="39" t="s">
        <v>266</v>
      </c>
      <c r="C149" s="40" t="s">
        <v>280</v>
      </c>
      <c r="D149" s="39" t="s">
        <v>200</v>
      </c>
      <c r="E149" s="39" t="s">
        <v>200</v>
      </c>
      <c r="F149" s="13">
        <v>1806424.6950000001</v>
      </c>
      <c r="G149" s="13">
        <v>1349037.9622260001</v>
      </c>
      <c r="H149" s="41" t="s">
        <v>38</v>
      </c>
      <c r="I149" s="41" t="s">
        <v>244</v>
      </c>
      <c r="J149" s="39" t="s">
        <v>40</v>
      </c>
      <c r="K149" s="39" t="s">
        <v>41</v>
      </c>
      <c r="L149" s="39" t="s">
        <v>42</v>
      </c>
      <c r="M149" s="11" t="s">
        <v>262</v>
      </c>
      <c r="N149" s="42">
        <v>21020</v>
      </c>
      <c r="O149" s="43"/>
      <c r="P149" s="43"/>
      <c r="Q149" s="44"/>
    </row>
    <row r="150" spans="2:17" ht="11.5" x14ac:dyDescent="0.25">
      <c r="B150" s="39" t="s">
        <v>266</v>
      </c>
      <c r="C150" s="40" t="s">
        <v>281</v>
      </c>
      <c r="D150" s="39" t="s">
        <v>200</v>
      </c>
      <c r="E150" s="39" t="s">
        <v>200</v>
      </c>
      <c r="F150" s="13">
        <v>1381404.5929999999</v>
      </c>
      <c r="G150" s="13">
        <v>1031632.9500523999</v>
      </c>
      <c r="H150" s="41" t="s">
        <v>38</v>
      </c>
      <c r="I150" s="41" t="s">
        <v>244</v>
      </c>
      <c r="J150" s="39" t="s">
        <v>40</v>
      </c>
      <c r="K150" s="39" t="s">
        <v>41</v>
      </c>
      <c r="L150" s="39" t="s">
        <v>42</v>
      </c>
      <c r="M150" s="11" t="s">
        <v>217</v>
      </c>
      <c r="N150" s="42">
        <v>15131</v>
      </c>
      <c r="O150" s="43"/>
      <c r="P150" s="43"/>
      <c r="Q150" s="44"/>
    </row>
    <row r="151" spans="2:17" ht="57.5" x14ac:dyDescent="0.25">
      <c r="B151" s="39" t="s">
        <v>266</v>
      </c>
      <c r="C151" s="40" t="s">
        <v>282</v>
      </c>
      <c r="D151" s="39" t="s">
        <v>200</v>
      </c>
      <c r="E151" s="39" t="s">
        <v>200</v>
      </c>
      <c r="F151" s="13">
        <v>1127870.9449999996</v>
      </c>
      <c r="G151" s="13">
        <v>842294.02172599977</v>
      </c>
      <c r="H151" s="41" t="s">
        <v>38</v>
      </c>
      <c r="I151" s="41" t="s">
        <v>244</v>
      </c>
      <c r="J151" s="39" t="s">
        <v>40</v>
      </c>
      <c r="K151" s="39" t="s">
        <v>41</v>
      </c>
      <c r="L151" s="39" t="s">
        <v>42</v>
      </c>
      <c r="M151" s="11" t="s">
        <v>283</v>
      </c>
      <c r="N151" s="42" t="s">
        <v>284</v>
      </c>
      <c r="O151" s="43"/>
      <c r="P151" s="43"/>
      <c r="Q151" s="44"/>
    </row>
    <row r="152" spans="2:17" ht="11.5" x14ac:dyDescent="0.25">
      <c r="B152" s="39" t="s">
        <v>266</v>
      </c>
      <c r="C152" s="40" t="s">
        <v>285</v>
      </c>
      <c r="D152" s="39" t="s">
        <v>200</v>
      </c>
      <c r="E152" s="39" t="s">
        <v>200</v>
      </c>
      <c r="F152" s="13">
        <v>959263.59700000007</v>
      </c>
      <c r="G152" s="13">
        <v>716378.05423960008</v>
      </c>
      <c r="H152" s="41" t="s">
        <v>38</v>
      </c>
      <c r="I152" s="41" t="s">
        <v>244</v>
      </c>
      <c r="J152" s="39" t="s">
        <v>40</v>
      </c>
      <c r="K152" s="39" t="s">
        <v>41</v>
      </c>
      <c r="L152" s="39" t="s">
        <v>42</v>
      </c>
      <c r="M152" s="11" t="s">
        <v>217</v>
      </c>
      <c r="N152" s="42">
        <v>15110</v>
      </c>
      <c r="O152" s="43"/>
      <c r="P152" s="43"/>
      <c r="Q152" s="44"/>
    </row>
    <row r="153" spans="2:17" ht="11.5" x14ac:dyDescent="0.25">
      <c r="B153" s="39" t="s">
        <v>266</v>
      </c>
      <c r="C153" s="40" t="s">
        <v>286</v>
      </c>
      <c r="D153" s="39" t="s">
        <v>200</v>
      </c>
      <c r="E153" s="39" t="s">
        <v>200</v>
      </c>
      <c r="F153" s="13">
        <v>600000</v>
      </c>
      <c r="G153" s="13">
        <v>448080</v>
      </c>
      <c r="H153" s="41" t="s">
        <v>38</v>
      </c>
      <c r="I153" s="41" t="s">
        <v>244</v>
      </c>
      <c r="J153" s="39" t="s">
        <v>40</v>
      </c>
      <c r="K153" s="39" t="s">
        <v>41</v>
      </c>
      <c r="L153" s="39" t="s">
        <v>42</v>
      </c>
      <c r="M153" s="11" t="s">
        <v>57</v>
      </c>
      <c r="N153" s="42">
        <v>74010</v>
      </c>
      <c r="O153" s="43"/>
      <c r="P153" s="43"/>
      <c r="Q153" s="44"/>
    </row>
    <row r="154" spans="2:17" ht="11.5" x14ac:dyDescent="0.25">
      <c r="B154" s="39" t="s">
        <v>266</v>
      </c>
      <c r="C154" s="40" t="s">
        <v>287</v>
      </c>
      <c r="D154" s="39" t="s">
        <v>200</v>
      </c>
      <c r="E154" s="39" t="s">
        <v>200</v>
      </c>
      <c r="F154" s="13">
        <v>267000</v>
      </c>
      <c r="G154" s="13">
        <v>199395.6</v>
      </c>
      <c r="H154" s="41" t="s">
        <v>38</v>
      </c>
      <c r="I154" s="41" t="s">
        <v>244</v>
      </c>
      <c r="J154" s="39" t="s">
        <v>40</v>
      </c>
      <c r="K154" s="39" t="s">
        <v>41</v>
      </c>
      <c r="L154" s="39" t="s">
        <v>42</v>
      </c>
      <c r="M154" s="11" t="s">
        <v>262</v>
      </c>
      <c r="N154" s="42">
        <v>21040</v>
      </c>
      <c r="O154" s="43"/>
      <c r="P154" s="43"/>
      <c r="Q154" s="44"/>
    </row>
    <row r="155" spans="2:17" ht="23" x14ac:dyDescent="0.25">
      <c r="B155" s="39" t="s">
        <v>266</v>
      </c>
      <c r="C155" s="40" t="s">
        <v>288</v>
      </c>
      <c r="D155" s="39" t="s">
        <v>200</v>
      </c>
      <c r="E155" s="39" t="s">
        <v>200</v>
      </c>
      <c r="F155" s="13">
        <v>96535.98</v>
      </c>
      <c r="G155" s="13">
        <v>72093.069864000005</v>
      </c>
      <c r="H155" s="41" t="s">
        <v>38</v>
      </c>
      <c r="I155" s="41" t="s">
        <v>244</v>
      </c>
      <c r="J155" s="39" t="s">
        <v>40</v>
      </c>
      <c r="K155" s="39" t="s">
        <v>41</v>
      </c>
      <c r="L155" s="39" t="s">
        <v>42</v>
      </c>
      <c r="M155" s="11" t="s">
        <v>289</v>
      </c>
      <c r="N155" s="42" t="s">
        <v>290</v>
      </c>
      <c r="O155" s="43" t="s">
        <v>68</v>
      </c>
      <c r="P155" s="43"/>
      <c r="Q155" s="44"/>
    </row>
    <row r="156" spans="2:17" ht="11.5" x14ac:dyDescent="0.25">
      <c r="B156" s="39" t="s">
        <v>266</v>
      </c>
      <c r="C156" s="40" t="s">
        <v>291</v>
      </c>
      <c r="D156" s="39" t="s">
        <v>200</v>
      </c>
      <c r="E156" s="39" t="s">
        <v>200</v>
      </c>
      <c r="F156" s="13">
        <v>549065</v>
      </c>
      <c r="G156" s="13">
        <v>410041.74200000003</v>
      </c>
      <c r="H156" s="41" t="s">
        <v>38</v>
      </c>
      <c r="I156" s="41" t="s">
        <v>244</v>
      </c>
      <c r="J156" s="39" t="s">
        <v>40</v>
      </c>
      <c r="K156" s="39" t="s">
        <v>41</v>
      </c>
      <c r="L156" s="39" t="s">
        <v>159</v>
      </c>
      <c r="M156" s="11" t="s">
        <v>81</v>
      </c>
      <c r="N156" s="42">
        <v>23110</v>
      </c>
      <c r="O156" s="43"/>
      <c r="P156" s="43" t="s">
        <v>68</v>
      </c>
      <c r="Q156" s="44"/>
    </row>
    <row r="157" spans="2:17" ht="34.5" x14ac:dyDescent="0.25">
      <c r="B157" s="39" t="s">
        <v>266</v>
      </c>
      <c r="C157" s="40" t="s">
        <v>273</v>
      </c>
      <c r="D157" s="39" t="s">
        <v>200</v>
      </c>
      <c r="E157" s="39" t="s">
        <v>200</v>
      </c>
      <c r="F157" s="13">
        <v>54866</v>
      </c>
      <c r="G157" s="13">
        <v>40973.928800000002</v>
      </c>
      <c r="H157" s="41" t="s">
        <v>38</v>
      </c>
      <c r="I157" s="41" t="s">
        <v>244</v>
      </c>
      <c r="J157" s="39" t="s">
        <v>40</v>
      </c>
      <c r="K157" s="39" t="s">
        <v>41</v>
      </c>
      <c r="L157" s="39" t="s">
        <v>130</v>
      </c>
      <c r="M157" s="11" t="s">
        <v>274</v>
      </c>
      <c r="N157" s="42" t="s">
        <v>275</v>
      </c>
      <c r="O157" s="43"/>
      <c r="P157" s="43"/>
      <c r="Q157" s="44"/>
    </row>
    <row r="158" spans="2:17" ht="11.5" x14ac:dyDescent="0.25">
      <c r="B158" s="39" t="s">
        <v>292</v>
      </c>
      <c r="C158" s="40" t="s">
        <v>293</v>
      </c>
      <c r="D158" s="39" t="s">
        <v>200</v>
      </c>
      <c r="E158" s="39" t="s">
        <v>200</v>
      </c>
      <c r="F158" s="13">
        <v>1200000</v>
      </c>
      <c r="G158" s="13">
        <v>896160</v>
      </c>
      <c r="H158" s="41" t="s">
        <v>38</v>
      </c>
      <c r="I158" s="41" t="s">
        <v>244</v>
      </c>
      <c r="J158" s="39" t="s">
        <v>40</v>
      </c>
      <c r="K158" s="39" t="s">
        <v>41</v>
      </c>
      <c r="L158" s="39" t="s">
        <v>42</v>
      </c>
      <c r="M158" s="11" t="s">
        <v>217</v>
      </c>
      <c r="N158" s="42">
        <v>15117</v>
      </c>
      <c r="O158" s="43"/>
      <c r="P158" s="43"/>
      <c r="Q158" s="44"/>
    </row>
    <row r="159" spans="2:17" ht="11.5" x14ac:dyDescent="0.25">
      <c r="B159" s="39" t="s">
        <v>292</v>
      </c>
      <c r="C159" s="40" t="s">
        <v>294</v>
      </c>
      <c r="D159" s="39" t="s">
        <v>200</v>
      </c>
      <c r="E159" s="39" t="s">
        <v>200</v>
      </c>
      <c r="F159" s="13">
        <v>795000</v>
      </c>
      <c r="G159" s="13">
        <v>593706</v>
      </c>
      <c r="H159" s="41" t="s">
        <v>38</v>
      </c>
      <c r="I159" s="41" t="s">
        <v>244</v>
      </c>
      <c r="J159" s="39" t="s">
        <v>40</v>
      </c>
      <c r="K159" s="39" t="s">
        <v>41</v>
      </c>
      <c r="L159" s="39" t="s">
        <v>42</v>
      </c>
      <c r="M159" s="11" t="s">
        <v>217</v>
      </c>
      <c r="N159" s="42">
        <v>15170</v>
      </c>
      <c r="O159" s="43"/>
      <c r="P159" s="43"/>
      <c r="Q159" s="44"/>
    </row>
    <row r="160" spans="2:17" ht="46" x14ac:dyDescent="0.25">
      <c r="B160" s="39" t="s">
        <v>292</v>
      </c>
      <c r="C160" s="40" t="s">
        <v>295</v>
      </c>
      <c r="D160" s="39" t="s">
        <v>200</v>
      </c>
      <c r="E160" s="39" t="s">
        <v>200</v>
      </c>
      <c r="F160" s="13">
        <v>254796.97530000002</v>
      </c>
      <c r="G160" s="13">
        <v>190282.38115404002</v>
      </c>
      <c r="H160" s="41" t="s">
        <v>38</v>
      </c>
      <c r="I160" s="41" t="s">
        <v>244</v>
      </c>
      <c r="J160" s="39" t="s">
        <v>40</v>
      </c>
      <c r="K160" s="39" t="s">
        <v>41</v>
      </c>
      <c r="L160" s="39" t="s">
        <v>42</v>
      </c>
      <c r="M160" s="11" t="s">
        <v>225</v>
      </c>
      <c r="N160" s="42" t="s">
        <v>296</v>
      </c>
      <c r="O160" s="43"/>
      <c r="P160" s="43"/>
      <c r="Q160" s="44"/>
    </row>
    <row r="161" spans="2:17" ht="11.5" x14ac:dyDescent="0.25">
      <c r="B161" s="39" t="s">
        <v>292</v>
      </c>
      <c r="C161" s="40" t="s">
        <v>297</v>
      </c>
      <c r="D161" s="39" t="s">
        <v>200</v>
      </c>
      <c r="E161" s="39" t="s">
        <v>200</v>
      </c>
      <c r="F161" s="13">
        <v>151007.72999999998</v>
      </c>
      <c r="G161" s="13">
        <v>112772.57276399998</v>
      </c>
      <c r="H161" s="41" t="s">
        <v>38</v>
      </c>
      <c r="I161" s="41" t="s">
        <v>244</v>
      </c>
      <c r="J161" s="39" t="s">
        <v>40</v>
      </c>
      <c r="K161" s="39" t="s">
        <v>41</v>
      </c>
      <c r="L161" s="39" t="s">
        <v>42</v>
      </c>
      <c r="M161" s="11" t="s">
        <v>217</v>
      </c>
      <c r="N161" s="42">
        <v>15154</v>
      </c>
      <c r="O161" s="43"/>
      <c r="P161" s="43"/>
      <c r="Q161" s="44"/>
    </row>
    <row r="162" spans="2:17" ht="46" x14ac:dyDescent="0.25">
      <c r="B162" s="39" t="s">
        <v>298</v>
      </c>
      <c r="C162" s="40" t="s">
        <v>299</v>
      </c>
      <c r="D162" s="39" t="s">
        <v>200</v>
      </c>
      <c r="E162" s="39" t="s">
        <v>200</v>
      </c>
      <c r="F162" s="13">
        <v>3000000</v>
      </c>
      <c r="G162" s="13">
        <v>2240400</v>
      </c>
      <c r="H162" s="41" t="s">
        <v>38</v>
      </c>
      <c r="I162" s="41" t="s">
        <v>244</v>
      </c>
      <c r="J162" s="39" t="s">
        <v>40</v>
      </c>
      <c r="K162" s="39" t="s">
        <v>41</v>
      </c>
      <c r="L162" s="39" t="s">
        <v>42</v>
      </c>
      <c r="M162" s="11" t="s">
        <v>300</v>
      </c>
      <c r="N162" s="42" t="s">
        <v>301</v>
      </c>
      <c r="O162" s="43"/>
      <c r="P162" s="43"/>
      <c r="Q162" s="44"/>
    </row>
    <row r="163" spans="2:17" ht="11.5" x14ac:dyDescent="0.25">
      <c r="B163" s="39" t="s">
        <v>298</v>
      </c>
      <c r="C163" s="40" t="s">
        <v>302</v>
      </c>
      <c r="D163" s="39" t="s">
        <v>200</v>
      </c>
      <c r="E163" s="39" t="s">
        <v>200</v>
      </c>
      <c r="F163" s="13">
        <v>2787939.804</v>
      </c>
      <c r="G163" s="13">
        <v>2082033.4456272</v>
      </c>
      <c r="H163" s="41" t="s">
        <v>38</v>
      </c>
      <c r="I163" s="41" t="s">
        <v>244</v>
      </c>
      <c r="J163" s="39" t="s">
        <v>40</v>
      </c>
      <c r="K163" s="39" t="s">
        <v>41</v>
      </c>
      <c r="L163" s="39" t="s">
        <v>42</v>
      </c>
      <c r="M163" s="11" t="s">
        <v>225</v>
      </c>
      <c r="N163" s="42">
        <v>11220</v>
      </c>
      <c r="O163" s="43"/>
      <c r="P163" s="43"/>
      <c r="Q163" s="44"/>
    </row>
    <row r="164" spans="2:17" ht="23" x14ac:dyDescent="0.25">
      <c r="B164" s="39" t="s">
        <v>298</v>
      </c>
      <c r="C164" s="40" t="s">
        <v>303</v>
      </c>
      <c r="D164" s="39" t="s">
        <v>200</v>
      </c>
      <c r="E164" s="39" t="s">
        <v>200</v>
      </c>
      <c r="F164" s="13">
        <v>383572</v>
      </c>
      <c r="G164" s="13">
        <v>286451.56959999999</v>
      </c>
      <c r="H164" s="41" t="s">
        <v>38</v>
      </c>
      <c r="I164" s="41" t="s">
        <v>244</v>
      </c>
      <c r="J164" s="39" t="s">
        <v>40</v>
      </c>
      <c r="K164" s="39" t="s">
        <v>41</v>
      </c>
      <c r="L164" s="39" t="s">
        <v>42</v>
      </c>
      <c r="M164" s="11" t="s">
        <v>78</v>
      </c>
      <c r="N164" s="42" t="s">
        <v>304</v>
      </c>
      <c r="O164" s="43" t="s">
        <v>68</v>
      </c>
      <c r="P164" s="43"/>
      <c r="Q164" s="44"/>
    </row>
    <row r="165" spans="2:17" ht="46" x14ac:dyDescent="0.25">
      <c r="B165" s="39" t="s">
        <v>298</v>
      </c>
      <c r="C165" s="40" t="s">
        <v>305</v>
      </c>
      <c r="D165" s="39" t="s">
        <v>200</v>
      </c>
      <c r="E165" s="39" t="s">
        <v>200</v>
      </c>
      <c r="F165" s="13">
        <v>9201</v>
      </c>
      <c r="G165" s="13">
        <v>6871.3068000000003</v>
      </c>
      <c r="H165" s="41" t="s">
        <v>38</v>
      </c>
      <c r="I165" s="41" t="s">
        <v>244</v>
      </c>
      <c r="J165" s="39" t="s">
        <v>40</v>
      </c>
      <c r="K165" s="39" t="s">
        <v>41</v>
      </c>
      <c r="L165" s="39" t="s">
        <v>42</v>
      </c>
      <c r="M165" s="11" t="s">
        <v>306</v>
      </c>
      <c r="N165" s="42" t="s">
        <v>307</v>
      </c>
      <c r="O165" s="43"/>
      <c r="P165" s="43"/>
      <c r="Q165" s="44"/>
    </row>
    <row r="166" spans="2:17" ht="23" x14ac:dyDescent="0.25">
      <c r="B166" s="39" t="s">
        <v>298</v>
      </c>
      <c r="C166" s="40" t="s">
        <v>308</v>
      </c>
      <c r="D166" s="39" t="s">
        <v>200</v>
      </c>
      <c r="E166" s="39" t="s">
        <v>200</v>
      </c>
      <c r="F166" s="13">
        <v>-7747</v>
      </c>
      <c r="G166" s="13">
        <v>-5785.4596000000001</v>
      </c>
      <c r="H166" s="41" t="s">
        <v>38</v>
      </c>
      <c r="I166" s="41" t="s">
        <v>244</v>
      </c>
      <c r="J166" s="39" t="s">
        <v>40</v>
      </c>
      <c r="K166" s="39" t="s">
        <v>41</v>
      </c>
      <c r="L166" s="39" t="s">
        <v>42</v>
      </c>
      <c r="M166" s="11" t="s">
        <v>78</v>
      </c>
      <c r="N166" s="42" t="s">
        <v>309</v>
      </c>
      <c r="O166" s="43"/>
      <c r="P166" s="43"/>
      <c r="Q166" s="44"/>
    </row>
    <row r="167" spans="2:17" ht="46" x14ac:dyDescent="0.25">
      <c r="B167" s="39" t="s">
        <v>298</v>
      </c>
      <c r="C167" s="40" t="s">
        <v>310</v>
      </c>
      <c r="D167" s="39" t="s">
        <v>200</v>
      </c>
      <c r="E167" s="39" t="s">
        <v>200</v>
      </c>
      <c r="F167" s="13">
        <v>-670</v>
      </c>
      <c r="G167" s="13">
        <v>-500.35599999999999</v>
      </c>
      <c r="H167" s="41" t="s">
        <v>38</v>
      </c>
      <c r="I167" s="41" t="s">
        <v>244</v>
      </c>
      <c r="J167" s="39" t="s">
        <v>40</v>
      </c>
      <c r="K167" s="39" t="s">
        <v>41</v>
      </c>
      <c r="L167" s="39" t="s">
        <v>42</v>
      </c>
      <c r="M167" s="11" t="s">
        <v>311</v>
      </c>
      <c r="N167" s="42" t="s">
        <v>312</v>
      </c>
      <c r="O167" s="43"/>
      <c r="P167" s="43"/>
      <c r="Q167" s="44"/>
    </row>
    <row r="168" spans="2:17" ht="46" x14ac:dyDescent="0.25">
      <c r="B168" s="39" t="s">
        <v>298</v>
      </c>
      <c r="C168" s="40" t="s">
        <v>313</v>
      </c>
      <c r="D168" s="39" t="s">
        <v>200</v>
      </c>
      <c r="E168" s="39" t="s">
        <v>200</v>
      </c>
      <c r="F168" s="13">
        <v>9201</v>
      </c>
      <c r="G168" s="13">
        <v>6871.3068000000003</v>
      </c>
      <c r="H168" s="41" t="s">
        <v>38</v>
      </c>
      <c r="I168" s="41" t="s">
        <v>244</v>
      </c>
      <c r="J168" s="39" t="s">
        <v>40</v>
      </c>
      <c r="K168" s="39" t="s">
        <v>41</v>
      </c>
      <c r="L168" s="39" t="s">
        <v>159</v>
      </c>
      <c r="M168" s="11" t="s">
        <v>306</v>
      </c>
      <c r="N168" s="42" t="s">
        <v>307</v>
      </c>
      <c r="O168" s="43"/>
      <c r="P168" s="43"/>
      <c r="Q168" s="44"/>
    </row>
    <row r="169" spans="2:17" ht="46" x14ac:dyDescent="0.25">
      <c r="B169" s="39" t="s">
        <v>298</v>
      </c>
      <c r="C169" s="40" t="s">
        <v>310</v>
      </c>
      <c r="D169" s="39" t="s">
        <v>200</v>
      </c>
      <c r="E169" s="39" t="s">
        <v>200</v>
      </c>
      <c r="F169" s="13">
        <v>-670</v>
      </c>
      <c r="G169" s="13">
        <v>-500.35599999999999</v>
      </c>
      <c r="H169" s="41" t="s">
        <v>38</v>
      </c>
      <c r="I169" s="41" t="s">
        <v>244</v>
      </c>
      <c r="J169" s="39" t="s">
        <v>40</v>
      </c>
      <c r="K169" s="39" t="s">
        <v>41</v>
      </c>
      <c r="L169" s="39" t="s">
        <v>159</v>
      </c>
      <c r="M169" s="11" t="s">
        <v>311</v>
      </c>
      <c r="N169" s="42" t="s">
        <v>312</v>
      </c>
      <c r="O169" s="43"/>
      <c r="P169" s="43"/>
      <c r="Q169" s="44"/>
    </row>
    <row r="170" spans="2:17" ht="11.5" x14ac:dyDescent="0.25">
      <c r="B170" s="39" t="s">
        <v>314</v>
      </c>
      <c r="C170" s="40" t="s">
        <v>315</v>
      </c>
      <c r="D170" s="39" t="s">
        <v>200</v>
      </c>
      <c r="E170" s="39" t="s">
        <v>200</v>
      </c>
      <c r="F170" s="13">
        <v>3000000</v>
      </c>
      <c r="G170" s="13">
        <v>2240400</v>
      </c>
      <c r="H170" s="41" t="s">
        <v>38</v>
      </c>
      <c r="I170" s="41" t="s">
        <v>244</v>
      </c>
      <c r="J170" s="39" t="s">
        <v>40</v>
      </c>
      <c r="K170" s="39" t="s">
        <v>41</v>
      </c>
      <c r="L170" s="39" t="s">
        <v>42</v>
      </c>
      <c r="M170" s="11" t="s">
        <v>81</v>
      </c>
      <c r="N170" s="42">
        <v>23210</v>
      </c>
      <c r="O170" s="43"/>
      <c r="P170" s="43" t="s">
        <v>68</v>
      </c>
      <c r="Q170" s="44"/>
    </row>
    <row r="171" spans="2:17" ht="69" x14ac:dyDescent="0.25">
      <c r="B171" s="39" t="s">
        <v>314</v>
      </c>
      <c r="C171" s="40" t="s">
        <v>316</v>
      </c>
      <c r="D171" s="39" t="s">
        <v>200</v>
      </c>
      <c r="E171" s="39" t="s">
        <v>200</v>
      </c>
      <c r="F171" s="13">
        <v>1650000</v>
      </c>
      <c r="G171" s="13">
        <v>1232220</v>
      </c>
      <c r="H171" s="41" t="s">
        <v>38</v>
      </c>
      <c r="I171" s="41" t="s">
        <v>244</v>
      </c>
      <c r="J171" s="39" t="s">
        <v>40</v>
      </c>
      <c r="K171" s="39" t="s">
        <v>41</v>
      </c>
      <c r="L171" s="39" t="s">
        <v>42</v>
      </c>
      <c r="M171" s="11" t="s">
        <v>217</v>
      </c>
      <c r="N171" s="42" t="s">
        <v>317</v>
      </c>
      <c r="O171" s="43"/>
      <c r="P171" s="43"/>
      <c r="Q171" s="44"/>
    </row>
    <row r="172" spans="2:17" ht="11.5" x14ac:dyDescent="0.25">
      <c r="B172" s="39" t="s">
        <v>314</v>
      </c>
      <c r="C172" s="40" t="s">
        <v>318</v>
      </c>
      <c r="D172" s="39" t="s">
        <v>200</v>
      </c>
      <c r="E172" s="39" t="s">
        <v>200</v>
      </c>
      <c r="F172" s="13">
        <v>355161.68400000001</v>
      </c>
      <c r="G172" s="13">
        <v>265234.74561119999</v>
      </c>
      <c r="H172" s="41" t="s">
        <v>38</v>
      </c>
      <c r="I172" s="41" t="s">
        <v>244</v>
      </c>
      <c r="J172" s="39" t="s">
        <v>40</v>
      </c>
      <c r="K172" s="39" t="s">
        <v>41</v>
      </c>
      <c r="L172" s="39" t="s">
        <v>42</v>
      </c>
      <c r="M172" s="11" t="s">
        <v>225</v>
      </c>
      <c r="N172" s="42">
        <v>11330</v>
      </c>
      <c r="O172" s="43"/>
      <c r="P172" s="43"/>
      <c r="Q172" s="44"/>
    </row>
    <row r="173" spans="2:17" ht="11.5" x14ac:dyDescent="0.25">
      <c r="B173" s="39" t="s">
        <v>314</v>
      </c>
      <c r="C173" s="40" t="s">
        <v>319</v>
      </c>
      <c r="D173" s="39" t="s">
        <v>200</v>
      </c>
      <c r="E173" s="39" t="s">
        <v>200</v>
      </c>
      <c r="F173" s="13">
        <v>165358.5</v>
      </c>
      <c r="G173" s="13">
        <v>123489.72780000001</v>
      </c>
      <c r="H173" s="41" t="s">
        <v>38</v>
      </c>
      <c r="I173" s="41" t="s">
        <v>244</v>
      </c>
      <c r="J173" s="39" t="s">
        <v>40</v>
      </c>
      <c r="K173" s="39" t="s">
        <v>41</v>
      </c>
      <c r="L173" s="39" t="s">
        <v>42</v>
      </c>
      <c r="M173" s="11" t="s">
        <v>217</v>
      </c>
      <c r="N173" s="42">
        <v>15154</v>
      </c>
      <c r="O173" s="43"/>
      <c r="P173" s="43"/>
      <c r="Q173" s="44"/>
    </row>
    <row r="174" spans="2:17" ht="11.5" x14ac:dyDescent="0.25">
      <c r="B174" s="39" t="s">
        <v>314</v>
      </c>
      <c r="C174" s="40" t="s">
        <v>320</v>
      </c>
      <c r="D174" s="39" t="s">
        <v>200</v>
      </c>
      <c r="E174" s="39" t="s">
        <v>200</v>
      </c>
      <c r="F174" s="13">
        <v>18369.849000000006</v>
      </c>
      <c r="G174" s="13">
        <v>13718.603233200005</v>
      </c>
      <c r="H174" s="41" t="s">
        <v>38</v>
      </c>
      <c r="I174" s="41" t="s">
        <v>244</v>
      </c>
      <c r="J174" s="39" t="s">
        <v>40</v>
      </c>
      <c r="K174" s="39" t="s">
        <v>41</v>
      </c>
      <c r="L174" s="39" t="s">
        <v>42</v>
      </c>
      <c r="M174" s="11" t="s">
        <v>57</v>
      </c>
      <c r="N174" s="42">
        <v>74010</v>
      </c>
      <c r="O174" s="43" t="s">
        <v>68</v>
      </c>
      <c r="P174" s="43" t="s">
        <v>68</v>
      </c>
      <c r="Q174" s="44"/>
    </row>
    <row r="175" spans="2:17" ht="11.5" x14ac:dyDescent="0.25">
      <c r="B175" s="39" t="s">
        <v>314</v>
      </c>
      <c r="C175" s="40" t="s">
        <v>321</v>
      </c>
      <c r="D175" s="39" t="s">
        <v>200</v>
      </c>
      <c r="E175" s="39" t="s">
        <v>200</v>
      </c>
      <c r="F175" s="13">
        <v>6966.9599999999991</v>
      </c>
      <c r="G175" s="13">
        <v>5202.9257279999993</v>
      </c>
      <c r="H175" s="41" t="s">
        <v>38</v>
      </c>
      <c r="I175" s="41" t="s">
        <v>244</v>
      </c>
      <c r="J175" s="39" t="s">
        <v>40</v>
      </c>
      <c r="K175" s="39" t="s">
        <v>41</v>
      </c>
      <c r="L175" s="39" t="s">
        <v>42</v>
      </c>
      <c r="M175" s="11" t="s">
        <v>74</v>
      </c>
      <c r="N175" s="42">
        <v>25010</v>
      </c>
      <c r="O175" s="43"/>
      <c r="P175" s="43"/>
      <c r="Q175" s="44"/>
    </row>
    <row r="176" spans="2:17" ht="23" x14ac:dyDescent="0.25">
      <c r="B176" s="39" t="s">
        <v>322</v>
      </c>
      <c r="C176" s="40" t="s">
        <v>323</v>
      </c>
      <c r="D176" s="39" t="s">
        <v>200</v>
      </c>
      <c r="E176" s="39" t="s">
        <v>200</v>
      </c>
      <c r="F176" s="13">
        <v>443669</v>
      </c>
      <c r="G176" s="13">
        <v>331332.00920000003</v>
      </c>
      <c r="H176" s="41" t="s">
        <v>38</v>
      </c>
      <c r="I176" s="41" t="s">
        <v>244</v>
      </c>
      <c r="J176" s="39" t="s">
        <v>40</v>
      </c>
      <c r="K176" s="39" t="s">
        <v>41</v>
      </c>
      <c r="L176" s="39" t="s">
        <v>42</v>
      </c>
      <c r="M176" s="11" t="s">
        <v>324</v>
      </c>
      <c r="N176" s="42" t="s">
        <v>325</v>
      </c>
      <c r="O176" s="43"/>
      <c r="P176" s="43"/>
      <c r="Q176" s="44"/>
    </row>
    <row r="177" spans="2:17" ht="23" x14ac:dyDescent="0.25">
      <c r="B177" s="39" t="s">
        <v>322</v>
      </c>
      <c r="C177" s="40" t="s">
        <v>326</v>
      </c>
      <c r="D177" s="39" t="s">
        <v>200</v>
      </c>
      <c r="E177" s="39" t="s">
        <v>200</v>
      </c>
      <c r="F177" s="13">
        <v>90000</v>
      </c>
      <c r="G177" s="13">
        <v>67212</v>
      </c>
      <c r="H177" s="41" t="s">
        <v>38</v>
      </c>
      <c r="I177" s="41" t="s">
        <v>244</v>
      </c>
      <c r="J177" s="39" t="s">
        <v>40</v>
      </c>
      <c r="K177" s="39" t="s">
        <v>41</v>
      </c>
      <c r="L177" s="39" t="s">
        <v>42</v>
      </c>
      <c r="M177" s="11" t="s">
        <v>225</v>
      </c>
      <c r="N177" s="42" t="s">
        <v>325</v>
      </c>
      <c r="O177" s="43"/>
      <c r="P177" s="43"/>
      <c r="Q177" s="44"/>
    </row>
    <row r="178" spans="2:17" ht="11.5" x14ac:dyDescent="0.25">
      <c r="B178" s="39" t="s">
        <v>327</v>
      </c>
      <c r="C178" s="40" t="s">
        <v>328</v>
      </c>
      <c r="D178" s="39" t="s">
        <v>200</v>
      </c>
      <c r="E178" s="39" t="s">
        <v>200</v>
      </c>
      <c r="F178" s="13">
        <v>9350000</v>
      </c>
      <c r="G178" s="13">
        <v>6982580</v>
      </c>
      <c r="H178" s="41" t="s">
        <v>38</v>
      </c>
      <c r="I178" s="41" t="s">
        <v>244</v>
      </c>
      <c r="J178" s="39" t="s">
        <v>40</v>
      </c>
      <c r="K178" s="39" t="s">
        <v>41</v>
      </c>
      <c r="L178" s="39" t="s">
        <v>42</v>
      </c>
      <c r="M178" s="11" t="s">
        <v>65</v>
      </c>
      <c r="N178" s="42">
        <v>72010</v>
      </c>
      <c r="O178" s="43"/>
      <c r="P178" s="43"/>
      <c r="Q178" s="44"/>
    </row>
    <row r="179" spans="2:17" ht="11.5" x14ac:dyDescent="0.25">
      <c r="B179" s="39" t="s">
        <v>327</v>
      </c>
      <c r="C179" s="40" t="s">
        <v>329</v>
      </c>
      <c r="D179" s="39" t="s">
        <v>200</v>
      </c>
      <c r="E179" s="39" t="s">
        <v>200</v>
      </c>
      <c r="F179" s="13">
        <v>3490762.8480000012</v>
      </c>
      <c r="G179" s="13">
        <v>2606901.6948864008</v>
      </c>
      <c r="H179" s="41" t="s">
        <v>38</v>
      </c>
      <c r="I179" s="41" t="s">
        <v>244</v>
      </c>
      <c r="J179" s="39" t="s">
        <v>40</v>
      </c>
      <c r="K179" s="39" t="s">
        <v>41</v>
      </c>
      <c r="L179" s="39" t="s">
        <v>42</v>
      </c>
      <c r="M179" s="11" t="s">
        <v>225</v>
      </c>
      <c r="N179" s="42">
        <v>11110</v>
      </c>
      <c r="O179" s="43"/>
      <c r="P179" s="43"/>
      <c r="Q179" s="44"/>
    </row>
    <row r="180" spans="2:17" ht="11.5" x14ac:dyDescent="0.25">
      <c r="B180" s="39" t="s">
        <v>327</v>
      </c>
      <c r="C180" s="40" t="s">
        <v>330</v>
      </c>
      <c r="D180" s="39" t="s">
        <v>200</v>
      </c>
      <c r="E180" s="39" t="s">
        <v>200</v>
      </c>
      <c r="F180" s="13">
        <v>1500000</v>
      </c>
      <c r="G180" s="13">
        <v>1120200</v>
      </c>
      <c r="H180" s="41" t="s">
        <v>38</v>
      </c>
      <c r="I180" s="41" t="s">
        <v>244</v>
      </c>
      <c r="J180" s="39" t="s">
        <v>40</v>
      </c>
      <c r="K180" s="39" t="s">
        <v>41</v>
      </c>
      <c r="L180" s="39" t="s">
        <v>42</v>
      </c>
      <c r="M180" s="11" t="s">
        <v>262</v>
      </c>
      <c r="N180" s="42">
        <v>21020</v>
      </c>
      <c r="O180" s="43"/>
      <c r="P180" s="43"/>
      <c r="Q180" s="44"/>
    </row>
    <row r="181" spans="2:17" ht="11.5" x14ac:dyDescent="0.25">
      <c r="B181" s="39" t="s">
        <v>327</v>
      </c>
      <c r="C181" s="40" t="s">
        <v>331</v>
      </c>
      <c r="D181" s="39" t="s">
        <v>200</v>
      </c>
      <c r="E181" s="39" t="s">
        <v>200</v>
      </c>
      <c r="F181" s="13">
        <v>1170976.7999999998</v>
      </c>
      <c r="G181" s="13">
        <v>874485.47423999989</v>
      </c>
      <c r="H181" s="41" t="s">
        <v>38</v>
      </c>
      <c r="I181" s="41" t="s">
        <v>244</v>
      </c>
      <c r="J181" s="39" t="s">
        <v>40</v>
      </c>
      <c r="K181" s="39" t="s">
        <v>41</v>
      </c>
      <c r="L181" s="39" t="s">
        <v>42</v>
      </c>
      <c r="M181" s="11" t="s">
        <v>225</v>
      </c>
      <c r="N181" s="42">
        <v>11330</v>
      </c>
      <c r="O181" s="43"/>
      <c r="P181" s="43"/>
      <c r="Q181" s="44"/>
    </row>
    <row r="182" spans="2:17" ht="11.5" x14ac:dyDescent="0.25">
      <c r="B182" s="39" t="s">
        <v>327</v>
      </c>
      <c r="C182" s="40" t="s">
        <v>332</v>
      </c>
      <c r="D182" s="39" t="s">
        <v>200</v>
      </c>
      <c r="E182" s="39" t="s">
        <v>200</v>
      </c>
      <c r="F182" s="13">
        <v>553500</v>
      </c>
      <c r="G182" s="13">
        <v>413353.8</v>
      </c>
      <c r="H182" s="41" t="s">
        <v>38</v>
      </c>
      <c r="I182" s="41" t="s">
        <v>244</v>
      </c>
      <c r="J182" s="39" t="s">
        <v>40</v>
      </c>
      <c r="K182" s="39" t="s">
        <v>41</v>
      </c>
      <c r="L182" s="39" t="s">
        <v>42</v>
      </c>
      <c r="M182" s="11" t="s">
        <v>94</v>
      </c>
      <c r="N182" s="42">
        <v>16064</v>
      </c>
      <c r="O182" s="43"/>
      <c r="P182" s="43"/>
      <c r="Q182" s="44"/>
    </row>
    <row r="183" spans="2:17" ht="11.5" x14ac:dyDescent="0.25">
      <c r="B183" s="39" t="s">
        <v>327</v>
      </c>
      <c r="C183" s="40" t="s">
        <v>333</v>
      </c>
      <c r="D183" s="39" t="s">
        <v>200</v>
      </c>
      <c r="E183" s="39" t="s">
        <v>200</v>
      </c>
      <c r="F183" s="13">
        <v>520000</v>
      </c>
      <c r="G183" s="13">
        <v>388336</v>
      </c>
      <c r="H183" s="41" t="s">
        <v>38</v>
      </c>
      <c r="I183" s="41" t="s">
        <v>244</v>
      </c>
      <c r="J183" s="39" t="s">
        <v>40</v>
      </c>
      <c r="K183" s="39" t="s">
        <v>41</v>
      </c>
      <c r="L183" s="39" t="s">
        <v>42</v>
      </c>
      <c r="M183" s="11" t="s">
        <v>272</v>
      </c>
      <c r="N183" s="42">
        <v>12220</v>
      </c>
      <c r="O183" s="43"/>
      <c r="P183" s="43"/>
      <c r="Q183" s="44"/>
    </row>
    <row r="184" spans="2:17" ht="69" x14ac:dyDescent="0.25">
      <c r="B184" s="39" t="s">
        <v>327</v>
      </c>
      <c r="C184" s="40" t="s">
        <v>334</v>
      </c>
      <c r="D184" s="39" t="s">
        <v>200</v>
      </c>
      <c r="E184" s="39" t="s">
        <v>200</v>
      </c>
      <c r="F184" s="13">
        <v>428426</v>
      </c>
      <c r="G184" s="13">
        <v>319948.5368</v>
      </c>
      <c r="H184" s="41" t="s">
        <v>38</v>
      </c>
      <c r="I184" s="41" t="s">
        <v>244</v>
      </c>
      <c r="J184" s="39" t="s">
        <v>40</v>
      </c>
      <c r="K184" s="39" t="s">
        <v>41</v>
      </c>
      <c r="L184" s="39" t="s">
        <v>42</v>
      </c>
      <c r="M184" s="11" t="s">
        <v>335</v>
      </c>
      <c r="N184" s="42" t="s">
        <v>336</v>
      </c>
      <c r="O184" s="43"/>
      <c r="P184" s="43"/>
      <c r="Q184" s="44"/>
    </row>
    <row r="185" spans="2:17" ht="11.5" x14ac:dyDescent="0.25">
      <c r="B185" s="39" t="s">
        <v>327</v>
      </c>
      <c r="C185" s="40" t="s">
        <v>337</v>
      </c>
      <c r="D185" s="39" t="s">
        <v>200</v>
      </c>
      <c r="E185" s="39" t="s">
        <v>200</v>
      </c>
      <c r="F185" s="13">
        <v>159528.74699999997</v>
      </c>
      <c r="G185" s="13">
        <v>119136.06825959998</v>
      </c>
      <c r="H185" s="41" t="s">
        <v>38</v>
      </c>
      <c r="I185" s="41" t="s">
        <v>244</v>
      </c>
      <c r="J185" s="39" t="s">
        <v>40</v>
      </c>
      <c r="K185" s="39" t="s">
        <v>41</v>
      </c>
      <c r="L185" s="39" t="s">
        <v>42</v>
      </c>
      <c r="M185" s="11" t="s">
        <v>65</v>
      </c>
      <c r="N185" s="42">
        <v>72010</v>
      </c>
      <c r="O185" s="43"/>
      <c r="P185" s="43"/>
      <c r="Q185" s="44"/>
    </row>
    <row r="186" spans="2:17" ht="11.5" x14ac:dyDescent="0.25">
      <c r="B186" s="39" t="s">
        <v>327</v>
      </c>
      <c r="C186" s="40" t="s">
        <v>338</v>
      </c>
      <c r="D186" s="39" t="s">
        <v>200</v>
      </c>
      <c r="E186" s="39" t="s">
        <v>200</v>
      </c>
      <c r="F186" s="13">
        <v>30414.609</v>
      </c>
      <c r="G186" s="13">
        <v>22713.630001199999</v>
      </c>
      <c r="H186" s="41" t="s">
        <v>38</v>
      </c>
      <c r="I186" s="41" t="s">
        <v>244</v>
      </c>
      <c r="J186" s="39" t="s">
        <v>40</v>
      </c>
      <c r="K186" s="39" t="s">
        <v>41</v>
      </c>
      <c r="L186" s="39" t="s">
        <v>42</v>
      </c>
      <c r="M186" s="11" t="s">
        <v>65</v>
      </c>
      <c r="N186" s="42">
        <v>72050</v>
      </c>
      <c r="O186" s="43"/>
      <c r="P186" s="43"/>
      <c r="Q186" s="44"/>
    </row>
    <row r="187" spans="2:17" ht="11.5" x14ac:dyDescent="0.25">
      <c r="B187" s="39" t="s">
        <v>867</v>
      </c>
      <c r="C187" s="40" t="s">
        <v>339</v>
      </c>
      <c r="D187" s="39" t="s">
        <v>200</v>
      </c>
      <c r="E187" s="39" t="s">
        <v>200</v>
      </c>
      <c r="F187" s="13">
        <v>2552080</v>
      </c>
      <c r="G187" s="13">
        <v>1905893.344</v>
      </c>
      <c r="H187" s="41" t="s">
        <v>38</v>
      </c>
      <c r="I187" s="41" t="s">
        <v>39</v>
      </c>
      <c r="J187" s="39" t="s">
        <v>40</v>
      </c>
      <c r="K187" s="39" t="s">
        <v>41</v>
      </c>
      <c r="L187" s="39" t="s">
        <v>42</v>
      </c>
      <c r="M187" s="11" t="s">
        <v>125</v>
      </c>
      <c r="N187" s="42">
        <v>14015</v>
      </c>
      <c r="O187" s="43"/>
      <c r="P187" s="43"/>
      <c r="Q187" s="44"/>
    </row>
    <row r="188" spans="2:17" ht="11.5" x14ac:dyDescent="0.25">
      <c r="B188" s="39" t="s">
        <v>867</v>
      </c>
      <c r="C188" s="40" t="s">
        <v>340</v>
      </c>
      <c r="D188" s="39" t="s">
        <v>200</v>
      </c>
      <c r="E188" s="39" t="s">
        <v>200</v>
      </c>
      <c r="F188" s="13">
        <v>-5264</v>
      </c>
      <c r="G188" s="13">
        <v>-3931.1552000000001</v>
      </c>
      <c r="H188" s="41" t="s">
        <v>38</v>
      </c>
      <c r="I188" s="41" t="s">
        <v>39</v>
      </c>
      <c r="J188" s="39" t="s">
        <v>40</v>
      </c>
      <c r="K188" s="39" t="s">
        <v>41</v>
      </c>
      <c r="L188" s="39" t="s">
        <v>130</v>
      </c>
      <c r="M188" s="11" t="s">
        <v>217</v>
      </c>
      <c r="N188" s="42">
        <v>15127</v>
      </c>
      <c r="O188" s="43" t="s">
        <v>68</v>
      </c>
      <c r="P188" s="43"/>
      <c r="Q188" s="44"/>
    </row>
    <row r="189" spans="2:17" ht="11.5" x14ac:dyDescent="0.25">
      <c r="B189" s="39" t="s">
        <v>341</v>
      </c>
      <c r="C189" s="40" t="s">
        <v>560</v>
      </c>
      <c r="D189" s="39" t="s">
        <v>200</v>
      </c>
      <c r="E189" s="39" t="s">
        <v>200</v>
      </c>
      <c r="F189" s="13">
        <v>403143</v>
      </c>
      <c r="G189" s="13">
        <v>301067.1924</v>
      </c>
      <c r="H189" s="41" t="s">
        <v>38</v>
      </c>
      <c r="I189" s="41" t="s">
        <v>244</v>
      </c>
      <c r="J189" s="39" t="s">
        <v>40</v>
      </c>
      <c r="K189" s="39" t="s">
        <v>41</v>
      </c>
      <c r="L189" s="39" t="s">
        <v>42</v>
      </c>
      <c r="M189" s="11" t="s">
        <v>342</v>
      </c>
      <c r="N189" s="42">
        <v>43040</v>
      </c>
      <c r="O189" s="43"/>
      <c r="P189" s="43"/>
      <c r="Q189" s="44"/>
    </row>
    <row r="190" spans="2:17" ht="11.5" x14ac:dyDescent="0.25">
      <c r="B190" s="39" t="s">
        <v>341</v>
      </c>
      <c r="C190" s="40" t="s">
        <v>560</v>
      </c>
      <c r="D190" s="39" t="s">
        <v>200</v>
      </c>
      <c r="E190" s="39" t="s">
        <v>200</v>
      </c>
      <c r="F190" s="13">
        <v>11041</v>
      </c>
      <c r="G190" s="13">
        <v>8245.4187999999995</v>
      </c>
      <c r="H190" s="41" t="s">
        <v>38</v>
      </c>
      <c r="I190" s="41" t="s">
        <v>244</v>
      </c>
      <c r="J190" s="39" t="s">
        <v>40</v>
      </c>
      <c r="K190" s="39" t="s">
        <v>41</v>
      </c>
      <c r="L190" s="39" t="s">
        <v>42</v>
      </c>
      <c r="M190" s="11" t="s">
        <v>343</v>
      </c>
      <c r="N190" s="42">
        <v>31120</v>
      </c>
      <c r="O190" s="43"/>
      <c r="P190" s="43"/>
      <c r="Q190" s="44"/>
    </row>
    <row r="191" spans="2:17" ht="11.5" x14ac:dyDescent="0.25">
      <c r="B191" s="39" t="s">
        <v>344</v>
      </c>
      <c r="C191" s="40" t="s">
        <v>345</v>
      </c>
      <c r="D191" s="39" t="s">
        <v>200</v>
      </c>
      <c r="E191" s="39" t="s">
        <v>200</v>
      </c>
      <c r="F191" s="13">
        <v>115600</v>
      </c>
      <c r="G191" s="13">
        <v>86330.08</v>
      </c>
      <c r="H191" s="41" t="s">
        <v>38</v>
      </c>
      <c r="I191" s="41" t="s">
        <v>244</v>
      </c>
      <c r="J191" s="39" t="s">
        <v>40</v>
      </c>
      <c r="K191" s="39" t="s">
        <v>41</v>
      </c>
      <c r="L191" s="39" t="s">
        <v>42</v>
      </c>
      <c r="M191" s="11" t="s">
        <v>65</v>
      </c>
      <c r="N191" s="42">
        <v>72010</v>
      </c>
      <c r="O191" s="43"/>
      <c r="P191" s="43"/>
      <c r="Q191" s="44"/>
    </row>
    <row r="192" spans="2:17" ht="11.5" x14ac:dyDescent="0.25">
      <c r="B192" s="39" t="s">
        <v>346</v>
      </c>
      <c r="C192" s="40" t="s">
        <v>347</v>
      </c>
      <c r="D192" s="39" t="s">
        <v>200</v>
      </c>
      <c r="E192" s="39" t="s">
        <v>200</v>
      </c>
      <c r="F192" s="13">
        <v>1737500</v>
      </c>
      <c r="G192" s="13">
        <v>1297565</v>
      </c>
      <c r="H192" s="41" t="s">
        <v>38</v>
      </c>
      <c r="I192" s="41" t="s">
        <v>244</v>
      </c>
      <c r="J192" s="39" t="s">
        <v>40</v>
      </c>
      <c r="K192" s="39" t="s">
        <v>41</v>
      </c>
      <c r="L192" s="39" t="s">
        <v>42</v>
      </c>
      <c r="M192" s="11" t="s">
        <v>272</v>
      </c>
      <c r="N192" s="42">
        <v>12264</v>
      </c>
      <c r="O192" s="43"/>
      <c r="P192" s="43"/>
      <c r="Q192" s="44"/>
    </row>
    <row r="193" spans="2:17" ht="57.5" x14ac:dyDescent="0.25">
      <c r="B193" s="39" t="s">
        <v>868</v>
      </c>
      <c r="C193" s="40" t="s">
        <v>348</v>
      </c>
      <c r="D193" s="39" t="s">
        <v>200</v>
      </c>
      <c r="E193" s="39" t="s">
        <v>200</v>
      </c>
      <c r="F193" s="13">
        <v>1000000</v>
      </c>
      <c r="G193" s="13">
        <v>746800</v>
      </c>
      <c r="H193" s="41" t="s">
        <v>38</v>
      </c>
      <c r="I193" s="41" t="s">
        <v>39</v>
      </c>
      <c r="J193" s="39" t="s">
        <v>40</v>
      </c>
      <c r="K193" s="39" t="s">
        <v>41</v>
      </c>
      <c r="L193" s="39" t="s">
        <v>42</v>
      </c>
      <c r="M193" s="11" t="s">
        <v>349</v>
      </c>
      <c r="N193" s="42" t="s">
        <v>350</v>
      </c>
      <c r="O193" s="43"/>
      <c r="P193" s="43"/>
      <c r="Q193" s="44"/>
    </row>
    <row r="194" spans="2:17" ht="80.5" x14ac:dyDescent="0.25">
      <c r="B194" s="39" t="s">
        <v>868</v>
      </c>
      <c r="C194" s="40" t="s">
        <v>351</v>
      </c>
      <c r="D194" s="39" t="s">
        <v>200</v>
      </c>
      <c r="E194" s="39" t="s">
        <v>200</v>
      </c>
      <c r="F194" s="13">
        <v>503100</v>
      </c>
      <c r="G194" s="13">
        <v>375715.08</v>
      </c>
      <c r="H194" s="41" t="s">
        <v>38</v>
      </c>
      <c r="I194" s="41" t="s">
        <v>39</v>
      </c>
      <c r="J194" s="39" t="s">
        <v>40</v>
      </c>
      <c r="K194" s="39" t="s">
        <v>41</v>
      </c>
      <c r="L194" s="39" t="s">
        <v>42</v>
      </c>
      <c r="M194" s="11" t="s">
        <v>352</v>
      </c>
      <c r="N194" s="42" t="s">
        <v>353</v>
      </c>
      <c r="O194" s="43"/>
      <c r="P194" s="43"/>
      <c r="Q194" s="44"/>
    </row>
    <row r="195" spans="2:17" ht="57.5" x14ac:dyDescent="0.25">
      <c r="B195" s="39" t="s">
        <v>868</v>
      </c>
      <c r="C195" s="40" t="s">
        <v>354</v>
      </c>
      <c r="D195" s="39" t="s">
        <v>200</v>
      </c>
      <c r="E195" s="39" t="s">
        <v>200</v>
      </c>
      <c r="F195" s="13">
        <v>373200</v>
      </c>
      <c r="G195" s="13">
        <v>278705.76</v>
      </c>
      <c r="H195" s="41" t="s">
        <v>38</v>
      </c>
      <c r="I195" s="41" t="s">
        <v>39</v>
      </c>
      <c r="J195" s="39" t="s">
        <v>40</v>
      </c>
      <c r="K195" s="39" t="s">
        <v>41</v>
      </c>
      <c r="L195" s="39" t="s">
        <v>42</v>
      </c>
      <c r="M195" s="11" t="s">
        <v>355</v>
      </c>
      <c r="N195" s="42" t="s">
        <v>356</v>
      </c>
      <c r="O195" s="43"/>
      <c r="P195" s="43"/>
      <c r="Q195" s="44"/>
    </row>
    <row r="196" spans="2:17" ht="23" x14ac:dyDescent="0.25">
      <c r="B196" s="39" t="s">
        <v>868</v>
      </c>
      <c r="C196" s="40" t="s">
        <v>208</v>
      </c>
      <c r="D196" s="39" t="s">
        <v>200</v>
      </c>
      <c r="E196" s="39" t="s">
        <v>200</v>
      </c>
      <c r="F196" s="13">
        <v>288659.81</v>
      </c>
      <c r="G196" s="13">
        <v>215571.14610800002</v>
      </c>
      <c r="H196" s="41" t="s">
        <v>38</v>
      </c>
      <c r="I196" s="41" t="s">
        <v>39</v>
      </c>
      <c r="J196" s="39" t="s">
        <v>40</v>
      </c>
      <c r="K196" s="39" t="s">
        <v>41</v>
      </c>
      <c r="L196" s="39" t="s">
        <v>42</v>
      </c>
      <c r="M196" s="11" t="s">
        <v>94</v>
      </c>
      <c r="N196" s="42" t="s">
        <v>357</v>
      </c>
      <c r="O196" s="43"/>
      <c r="P196" s="43"/>
      <c r="Q196" s="44"/>
    </row>
    <row r="197" spans="2:17" ht="11.5" x14ac:dyDescent="0.25">
      <c r="B197" s="39" t="s">
        <v>868</v>
      </c>
      <c r="C197" s="40" t="s">
        <v>358</v>
      </c>
      <c r="D197" s="39" t="s">
        <v>200</v>
      </c>
      <c r="E197" s="39" t="s">
        <v>200</v>
      </c>
      <c r="F197" s="13">
        <v>170642.95</v>
      </c>
      <c r="G197" s="13">
        <v>127436.15506000002</v>
      </c>
      <c r="H197" s="41" t="s">
        <v>38</v>
      </c>
      <c r="I197" s="41" t="s">
        <v>39</v>
      </c>
      <c r="J197" s="39" t="s">
        <v>40</v>
      </c>
      <c r="K197" s="39" t="s">
        <v>41</v>
      </c>
      <c r="L197" s="39" t="s">
        <v>42</v>
      </c>
      <c r="M197" s="11" t="s">
        <v>359</v>
      </c>
      <c r="N197" s="42">
        <v>43030</v>
      </c>
      <c r="O197" s="43" t="s">
        <v>68</v>
      </c>
      <c r="P197" s="43"/>
      <c r="Q197" s="44"/>
    </row>
    <row r="198" spans="2:17" ht="23" x14ac:dyDescent="0.25">
      <c r="B198" s="39" t="s">
        <v>868</v>
      </c>
      <c r="C198" s="40" t="s">
        <v>360</v>
      </c>
      <c r="D198" s="39" t="s">
        <v>200</v>
      </c>
      <c r="E198" s="39" t="s">
        <v>200</v>
      </c>
      <c r="F198" s="13">
        <v>60000</v>
      </c>
      <c r="G198" s="13">
        <v>44808</v>
      </c>
      <c r="H198" s="41" t="s">
        <v>38</v>
      </c>
      <c r="I198" s="41" t="s">
        <v>39</v>
      </c>
      <c r="J198" s="39" t="s">
        <v>40</v>
      </c>
      <c r="K198" s="39" t="s">
        <v>41</v>
      </c>
      <c r="L198" s="39" t="s">
        <v>42</v>
      </c>
      <c r="M198" s="11" t="s">
        <v>361</v>
      </c>
      <c r="N198" s="42" t="s">
        <v>362</v>
      </c>
      <c r="O198" s="43" t="s">
        <v>68</v>
      </c>
      <c r="P198" s="43"/>
      <c r="Q198" s="44"/>
    </row>
    <row r="199" spans="2:17" ht="11.5" x14ac:dyDescent="0.25">
      <c r="B199" s="39" t="s">
        <v>868</v>
      </c>
      <c r="C199" s="40" t="s">
        <v>363</v>
      </c>
      <c r="D199" s="39" t="s">
        <v>200</v>
      </c>
      <c r="E199" s="39" t="s">
        <v>200</v>
      </c>
      <c r="F199" s="13">
        <v>40044.050000000003</v>
      </c>
      <c r="G199" s="13">
        <v>29904.896540000002</v>
      </c>
      <c r="H199" s="41" t="s">
        <v>38</v>
      </c>
      <c r="I199" s="41" t="s">
        <v>39</v>
      </c>
      <c r="J199" s="39" t="s">
        <v>40</v>
      </c>
      <c r="K199" s="39" t="s">
        <v>41</v>
      </c>
      <c r="L199" s="39" t="s">
        <v>42</v>
      </c>
      <c r="M199" s="11" t="s">
        <v>364</v>
      </c>
      <c r="N199" s="42">
        <v>99810</v>
      </c>
      <c r="O199" s="43"/>
      <c r="P199" s="43"/>
      <c r="Q199" s="44"/>
    </row>
    <row r="200" spans="2:17" ht="23" x14ac:dyDescent="0.25">
      <c r="B200" s="39" t="s">
        <v>868</v>
      </c>
      <c r="C200" s="40" t="s">
        <v>365</v>
      </c>
      <c r="D200" s="39" t="s">
        <v>200</v>
      </c>
      <c r="E200" s="39" t="s">
        <v>200</v>
      </c>
      <c r="F200" s="13">
        <v>242806</v>
      </c>
      <c r="G200" s="13">
        <v>181327.5208</v>
      </c>
      <c r="H200" s="41" t="s">
        <v>38</v>
      </c>
      <c r="I200" s="41" t="s">
        <v>39</v>
      </c>
      <c r="J200" s="39" t="s">
        <v>40</v>
      </c>
      <c r="K200" s="39" t="s">
        <v>41</v>
      </c>
      <c r="L200" s="39" t="s">
        <v>130</v>
      </c>
      <c r="M200" s="11" t="s">
        <v>366</v>
      </c>
      <c r="N200" s="42" t="s">
        <v>367</v>
      </c>
      <c r="O200" s="43"/>
      <c r="P200" s="43"/>
      <c r="Q200" s="44"/>
    </row>
    <row r="201" spans="2:17" ht="11.5" x14ac:dyDescent="0.25">
      <c r="B201" s="39" t="s">
        <v>868</v>
      </c>
      <c r="C201" s="40" t="s">
        <v>363</v>
      </c>
      <c r="D201" s="39" t="s">
        <v>200</v>
      </c>
      <c r="E201" s="39" t="s">
        <v>200</v>
      </c>
      <c r="F201" s="13">
        <v>16000</v>
      </c>
      <c r="G201" s="13">
        <v>11948.800000000001</v>
      </c>
      <c r="H201" s="41" t="s">
        <v>38</v>
      </c>
      <c r="I201" s="41" t="s">
        <v>39</v>
      </c>
      <c r="J201" s="39" t="s">
        <v>40</v>
      </c>
      <c r="K201" s="39" t="s">
        <v>41</v>
      </c>
      <c r="L201" s="39" t="s">
        <v>130</v>
      </c>
      <c r="M201" s="11" t="s">
        <v>364</v>
      </c>
      <c r="N201" s="42">
        <v>99810</v>
      </c>
      <c r="O201" s="43"/>
      <c r="P201" s="43"/>
      <c r="Q201" s="44"/>
    </row>
    <row r="202" spans="2:17" ht="11.5" x14ac:dyDescent="0.25">
      <c r="B202" s="39" t="s">
        <v>368</v>
      </c>
      <c r="C202" s="40" t="s">
        <v>369</v>
      </c>
      <c r="D202" s="39" t="s">
        <v>200</v>
      </c>
      <c r="E202" s="39" t="s">
        <v>200</v>
      </c>
      <c r="F202" s="13">
        <v>3207797</v>
      </c>
      <c r="G202" s="13">
        <v>2395582.7996</v>
      </c>
      <c r="H202" s="41" t="s">
        <v>38</v>
      </c>
      <c r="I202" s="41" t="s">
        <v>244</v>
      </c>
      <c r="J202" s="39" t="s">
        <v>40</v>
      </c>
      <c r="K202" s="39" t="s">
        <v>41</v>
      </c>
      <c r="L202" s="39" t="s">
        <v>42</v>
      </c>
      <c r="M202" s="11" t="s">
        <v>343</v>
      </c>
      <c r="N202" s="42">
        <v>31120</v>
      </c>
      <c r="O202" s="43"/>
      <c r="P202" s="43"/>
      <c r="Q202" s="44"/>
    </row>
    <row r="203" spans="2:17" ht="23" x14ac:dyDescent="0.25">
      <c r="B203" s="39" t="s">
        <v>368</v>
      </c>
      <c r="C203" s="40" t="s">
        <v>370</v>
      </c>
      <c r="D203" s="39" t="s">
        <v>200</v>
      </c>
      <c r="E203" s="39" t="s">
        <v>200</v>
      </c>
      <c r="F203" s="13">
        <v>1838268</v>
      </c>
      <c r="G203" s="13">
        <v>1372818.5424000002</v>
      </c>
      <c r="H203" s="41" t="s">
        <v>38</v>
      </c>
      <c r="I203" s="41" t="s">
        <v>244</v>
      </c>
      <c r="J203" s="39" t="s">
        <v>40</v>
      </c>
      <c r="K203" s="39" t="s">
        <v>41</v>
      </c>
      <c r="L203" s="39" t="s">
        <v>42</v>
      </c>
      <c r="M203" s="11" t="s">
        <v>371</v>
      </c>
      <c r="N203" s="42" t="s">
        <v>372</v>
      </c>
      <c r="O203" s="43"/>
      <c r="P203" s="43"/>
      <c r="Q203" s="44"/>
    </row>
    <row r="204" spans="2:17" ht="23" x14ac:dyDescent="0.25">
      <c r="B204" s="39" t="s">
        <v>368</v>
      </c>
      <c r="C204" s="40" t="s">
        <v>370</v>
      </c>
      <c r="D204" s="39" t="s">
        <v>200</v>
      </c>
      <c r="E204" s="39" t="s">
        <v>200</v>
      </c>
      <c r="F204" s="13">
        <v>96750.95</v>
      </c>
      <c r="G204" s="13">
        <v>72253.609460000007</v>
      </c>
      <c r="H204" s="41" t="s">
        <v>38</v>
      </c>
      <c r="I204" s="41" t="s">
        <v>244</v>
      </c>
      <c r="J204" s="39" t="s">
        <v>40</v>
      </c>
      <c r="K204" s="39" t="s">
        <v>41</v>
      </c>
      <c r="L204" s="39" t="s">
        <v>159</v>
      </c>
      <c r="M204" s="11" t="s">
        <v>371</v>
      </c>
      <c r="N204" s="42" t="s">
        <v>372</v>
      </c>
      <c r="O204" s="43"/>
      <c r="P204" s="43"/>
      <c r="Q204" s="44"/>
    </row>
    <row r="205" spans="2:17" ht="34.5" x14ac:dyDescent="0.25">
      <c r="B205" s="39" t="s">
        <v>373</v>
      </c>
      <c r="C205" s="40" t="s">
        <v>374</v>
      </c>
      <c r="D205" s="39" t="s">
        <v>200</v>
      </c>
      <c r="E205" s="39" t="s">
        <v>200</v>
      </c>
      <c r="F205" s="13">
        <v>3209615</v>
      </c>
      <c r="G205" s="13">
        <v>2396940.4819999998</v>
      </c>
      <c r="H205" s="41" t="s">
        <v>38</v>
      </c>
      <c r="I205" s="41" t="s">
        <v>244</v>
      </c>
      <c r="J205" s="39" t="s">
        <v>40</v>
      </c>
      <c r="K205" s="39" t="s">
        <v>41</v>
      </c>
      <c r="L205" s="39" t="s">
        <v>42</v>
      </c>
      <c r="M205" s="11" t="s">
        <v>375</v>
      </c>
      <c r="N205" s="42" t="s">
        <v>376</v>
      </c>
      <c r="O205" s="43"/>
      <c r="P205" s="43"/>
      <c r="Q205" s="44"/>
    </row>
    <row r="206" spans="2:17" ht="11.5" x14ac:dyDescent="0.25">
      <c r="B206" s="39" t="s">
        <v>373</v>
      </c>
      <c r="C206" s="40" t="s">
        <v>377</v>
      </c>
      <c r="D206" s="39" t="s">
        <v>200</v>
      </c>
      <c r="E206" s="39" t="s">
        <v>200</v>
      </c>
      <c r="F206" s="13">
        <v>2017124.6789999995</v>
      </c>
      <c r="G206" s="13">
        <v>1506388.7102771997</v>
      </c>
      <c r="H206" s="41" t="s">
        <v>38</v>
      </c>
      <c r="I206" s="41" t="s">
        <v>244</v>
      </c>
      <c r="J206" s="39" t="s">
        <v>40</v>
      </c>
      <c r="K206" s="39" t="s">
        <v>41</v>
      </c>
      <c r="L206" s="39" t="s">
        <v>42</v>
      </c>
      <c r="M206" s="11" t="s">
        <v>57</v>
      </c>
      <c r="N206" s="42">
        <v>74010</v>
      </c>
      <c r="O206" s="43"/>
      <c r="P206" s="43"/>
      <c r="Q206" s="44"/>
    </row>
    <row r="207" spans="2:17" ht="11.5" x14ac:dyDescent="0.25">
      <c r="B207" s="39" t="s">
        <v>373</v>
      </c>
      <c r="C207" s="40" t="s">
        <v>378</v>
      </c>
      <c r="D207" s="39" t="s">
        <v>200</v>
      </c>
      <c r="E207" s="39" t="s">
        <v>200</v>
      </c>
      <c r="F207" s="13">
        <v>1275000</v>
      </c>
      <c r="G207" s="13">
        <v>952170</v>
      </c>
      <c r="H207" s="41" t="s">
        <v>38</v>
      </c>
      <c r="I207" s="41" t="s">
        <v>244</v>
      </c>
      <c r="J207" s="39" t="s">
        <v>40</v>
      </c>
      <c r="K207" s="39" t="s">
        <v>41</v>
      </c>
      <c r="L207" s="39" t="s">
        <v>42</v>
      </c>
      <c r="M207" s="11" t="s">
        <v>125</v>
      </c>
      <c r="N207" s="42">
        <v>14022</v>
      </c>
      <c r="O207" s="43"/>
      <c r="P207" s="43"/>
      <c r="Q207" s="44"/>
    </row>
    <row r="208" spans="2:17" ht="23" x14ac:dyDescent="0.25">
      <c r="B208" s="39" t="s">
        <v>373</v>
      </c>
      <c r="C208" s="40" t="s">
        <v>379</v>
      </c>
      <c r="D208" s="39" t="s">
        <v>200</v>
      </c>
      <c r="E208" s="39" t="s">
        <v>200</v>
      </c>
      <c r="F208" s="13">
        <v>769600.00000000012</v>
      </c>
      <c r="G208" s="13">
        <v>574737.28000000014</v>
      </c>
      <c r="H208" s="41" t="s">
        <v>38</v>
      </c>
      <c r="I208" s="41" t="s">
        <v>244</v>
      </c>
      <c r="J208" s="39" t="s">
        <v>40</v>
      </c>
      <c r="K208" s="39" t="s">
        <v>41</v>
      </c>
      <c r="L208" s="39" t="s">
        <v>42</v>
      </c>
      <c r="M208" s="11" t="s">
        <v>380</v>
      </c>
      <c r="N208" s="42" t="s">
        <v>381</v>
      </c>
      <c r="O208" s="43"/>
      <c r="P208" s="43"/>
      <c r="Q208" s="44"/>
    </row>
    <row r="209" spans="2:17" ht="57.5" x14ac:dyDescent="0.25">
      <c r="B209" s="39" t="s">
        <v>373</v>
      </c>
      <c r="C209" s="40" t="s">
        <v>382</v>
      </c>
      <c r="D209" s="39" t="s">
        <v>200</v>
      </c>
      <c r="E209" s="39" t="s">
        <v>200</v>
      </c>
      <c r="F209" s="13">
        <v>193330</v>
      </c>
      <c r="G209" s="13">
        <v>144378.84400000001</v>
      </c>
      <c r="H209" s="41" t="s">
        <v>38</v>
      </c>
      <c r="I209" s="41" t="s">
        <v>244</v>
      </c>
      <c r="J209" s="39" t="s">
        <v>40</v>
      </c>
      <c r="K209" s="39" t="s">
        <v>41</v>
      </c>
      <c r="L209" s="39" t="s">
        <v>42</v>
      </c>
      <c r="M209" s="11" t="s">
        <v>383</v>
      </c>
      <c r="N209" s="42" t="s">
        <v>384</v>
      </c>
      <c r="O209" s="43"/>
      <c r="P209" s="43"/>
      <c r="Q209" s="44"/>
    </row>
    <row r="210" spans="2:17" ht="46" x14ac:dyDescent="0.25">
      <c r="B210" s="39" t="s">
        <v>373</v>
      </c>
      <c r="C210" s="40" t="s">
        <v>385</v>
      </c>
      <c r="D210" s="39" t="s">
        <v>200</v>
      </c>
      <c r="E210" s="39" t="s">
        <v>200</v>
      </c>
      <c r="F210" s="13">
        <v>2124</v>
      </c>
      <c r="G210" s="13">
        <v>1586.2032000000002</v>
      </c>
      <c r="H210" s="41" t="s">
        <v>38</v>
      </c>
      <c r="I210" s="41" t="s">
        <v>244</v>
      </c>
      <c r="J210" s="39" t="s">
        <v>40</v>
      </c>
      <c r="K210" s="39" t="s">
        <v>41</v>
      </c>
      <c r="L210" s="39" t="s">
        <v>42</v>
      </c>
      <c r="M210" s="11" t="s">
        <v>217</v>
      </c>
      <c r="N210" s="42" t="s">
        <v>386</v>
      </c>
      <c r="O210" s="43"/>
      <c r="P210" s="43"/>
      <c r="Q210" s="44"/>
    </row>
    <row r="211" spans="2:17" ht="11.5" x14ac:dyDescent="0.25">
      <c r="B211" s="39" t="s">
        <v>373</v>
      </c>
      <c r="C211" s="40" t="s">
        <v>387</v>
      </c>
      <c r="D211" s="39" t="s">
        <v>200</v>
      </c>
      <c r="E211" s="39" t="s">
        <v>200</v>
      </c>
      <c r="F211" s="13">
        <v>-18684.792796938582</v>
      </c>
      <c r="G211" s="13">
        <v>-13953.803260753733</v>
      </c>
      <c r="H211" s="41" t="s">
        <v>38</v>
      </c>
      <c r="I211" s="41" t="s">
        <v>244</v>
      </c>
      <c r="J211" s="39" t="s">
        <v>40</v>
      </c>
      <c r="K211" s="39" t="s">
        <v>41</v>
      </c>
      <c r="L211" s="39" t="s">
        <v>42</v>
      </c>
      <c r="M211" s="11" t="s">
        <v>43</v>
      </c>
      <c r="N211" s="42">
        <v>31120</v>
      </c>
      <c r="O211" s="43"/>
      <c r="P211" s="43"/>
      <c r="Q211" s="44"/>
    </row>
    <row r="212" spans="2:17" ht="34.5" x14ac:dyDescent="0.25">
      <c r="B212" s="39" t="s">
        <v>373</v>
      </c>
      <c r="C212" s="40" t="s">
        <v>374</v>
      </c>
      <c r="D212" s="39" t="s">
        <v>200</v>
      </c>
      <c r="E212" s="39" t="s">
        <v>200</v>
      </c>
      <c r="F212" s="13">
        <v>2626049</v>
      </c>
      <c r="G212" s="13">
        <v>1961133.3932</v>
      </c>
      <c r="H212" s="41" t="s">
        <v>38</v>
      </c>
      <c r="I212" s="41" t="s">
        <v>244</v>
      </c>
      <c r="J212" s="39" t="s">
        <v>40</v>
      </c>
      <c r="K212" s="39" t="s">
        <v>41</v>
      </c>
      <c r="L212" s="39" t="s">
        <v>159</v>
      </c>
      <c r="M212" s="11" t="s">
        <v>388</v>
      </c>
      <c r="N212" s="42" t="s">
        <v>376</v>
      </c>
      <c r="O212" s="43"/>
      <c r="P212" s="43"/>
      <c r="Q212" s="44"/>
    </row>
    <row r="213" spans="2:17" ht="57.5" x14ac:dyDescent="0.25">
      <c r="B213" s="39" t="s">
        <v>373</v>
      </c>
      <c r="C213" s="40" t="s">
        <v>382</v>
      </c>
      <c r="D213" s="39" t="s">
        <v>200</v>
      </c>
      <c r="E213" s="39" t="s">
        <v>200</v>
      </c>
      <c r="F213" s="13">
        <v>2568523</v>
      </c>
      <c r="G213" s="13">
        <v>1918172.9764</v>
      </c>
      <c r="H213" s="41" t="s">
        <v>38</v>
      </c>
      <c r="I213" s="41" t="s">
        <v>244</v>
      </c>
      <c r="J213" s="39" t="s">
        <v>40</v>
      </c>
      <c r="K213" s="39" t="s">
        <v>41</v>
      </c>
      <c r="L213" s="39" t="s">
        <v>159</v>
      </c>
      <c r="M213" s="11" t="s">
        <v>383</v>
      </c>
      <c r="N213" s="42" t="s">
        <v>384</v>
      </c>
      <c r="O213" s="43"/>
      <c r="P213" s="43"/>
      <c r="Q213" s="44"/>
    </row>
    <row r="214" spans="2:17" ht="11.5" x14ac:dyDescent="0.25">
      <c r="B214" s="39" t="s">
        <v>373</v>
      </c>
      <c r="C214" s="40" t="s">
        <v>378</v>
      </c>
      <c r="D214" s="39" t="s">
        <v>200</v>
      </c>
      <c r="E214" s="39" t="s">
        <v>200</v>
      </c>
      <c r="F214" s="13">
        <v>1275000</v>
      </c>
      <c r="G214" s="13">
        <v>952170</v>
      </c>
      <c r="H214" s="41" t="s">
        <v>38</v>
      </c>
      <c r="I214" s="41" t="s">
        <v>244</v>
      </c>
      <c r="J214" s="39" t="s">
        <v>40</v>
      </c>
      <c r="K214" s="39" t="s">
        <v>41</v>
      </c>
      <c r="L214" s="39" t="s">
        <v>159</v>
      </c>
      <c r="M214" s="11" t="s">
        <v>45</v>
      </c>
      <c r="N214" s="42">
        <v>14022</v>
      </c>
      <c r="O214" s="43"/>
      <c r="P214" s="43"/>
      <c r="Q214" s="44"/>
    </row>
    <row r="215" spans="2:17" ht="23" x14ac:dyDescent="0.25">
      <c r="B215" s="39" t="s">
        <v>373</v>
      </c>
      <c r="C215" s="40" t="s">
        <v>379</v>
      </c>
      <c r="D215" s="39" t="s">
        <v>200</v>
      </c>
      <c r="E215" s="39" t="s">
        <v>200</v>
      </c>
      <c r="F215" s="13">
        <v>1154400</v>
      </c>
      <c r="G215" s="13">
        <v>862105.92</v>
      </c>
      <c r="H215" s="41" t="s">
        <v>38</v>
      </c>
      <c r="I215" s="41" t="s">
        <v>244</v>
      </c>
      <c r="J215" s="39" t="s">
        <v>40</v>
      </c>
      <c r="K215" s="39" t="s">
        <v>41</v>
      </c>
      <c r="L215" s="39" t="s">
        <v>159</v>
      </c>
      <c r="M215" s="11" t="s">
        <v>380</v>
      </c>
      <c r="N215" s="42" t="s">
        <v>381</v>
      </c>
      <c r="O215" s="43"/>
      <c r="P215" s="43"/>
      <c r="Q215" s="44"/>
    </row>
    <row r="216" spans="2:17" ht="23" x14ac:dyDescent="0.25">
      <c r="B216" s="39" t="s">
        <v>373</v>
      </c>
      <c r="C216" s="40" t="s">
        <v>389</v>
      </c>
      <c r="D216" s="39" t="s">
        <v>200</v>
      </c>
      <c r="E216" s="39" t="s">
        <v>200</v>
      </c>
      <c r="F216" s="13">
        <v>551000</v>
      </c>
      <c r="G216" s="13">
        <v>411486.8</v>
      </c>
      <c r="H216" s="41" t="s">
        <v>38</v>
      </c>
      <c r="I216" s="41" t="s">
        <v>244</v>
      </c>
      <c r="J216" s="39" t="s">
        <v>40</v>
      </c>
      <c r="K216" s="39" t="s">
        <v>41</v>
      </c>
      <c r="L216" s="39" t="s">
        <v>159</v>
      </c>
      <c r="M216" s="11" t="s">
        <v>390</v>
      </c>
      <c r="N216" s="42" t="s">
        <v>391</v>
      </c>
      <c r="O216" s="43"/>
      <c r="P216" s="43"/>
      <c r="Q216" s="44"/>
    </row>
    <row r="217" spans="2:17" ht="46" x14ac:dyDescent="0.25">
      <c r="B217" s="39" t="s">
        <v>373</v>
      </c>
      <c r="C217" s="40" t="s">
        <v>385</v>
      </c>
      <c r="D217" s="39" t="s">
        <v>200</v>
      </c>
      <c r="E217" s="39" t="s">
        <v>200</v>
      </c>
      <c r="F217" s="13">
        <v>264426</v>
      </c>
      <c r="G217" s="13">
        <v>197473.33680000002</v>
      </c>
      <c r="H217" s="41" t="s">
        <v>38</v>
      </c>
      <c r="I217" s="41" t="s">
        <v>244</v>
      </c>
      <c r="J217" s="39" t="s">
        <v>40</v>
      </c>
      <c r="K217" s="39" t="s">
        <v>41</v>
      </c>
      <c r="L217" s="39" t="s">
        <v>159</v>
      </c>
      <c r="M217" s="11" t="s">
        <v>217</v>
      </c>
      <c r="N217" s="42" t="s">
        <v>386</v>
      </c>
      <c r="O217" s="43"/>
      <c r="P217" s="43"/>
      <c r="Q217" s="44"/>
    </row>
    <row r="218" spans="2:17" ht="11.5" x14ac:dyDescent="0.25">
      <c r="B218" s="39" t="s">
        <v>373</v>
      </c>
      <c r="C218" s="40" t="s">
        <v>392</v>
      </c>
      <c r="D218" s="39" t="s">
        <v>200</v>
      </c>
      <c r="E218" s="39" t="s">
        <v>200</v>
      </c>
      <c r="F218" s="13">
        <v>18000</v>
      </c>
      <c r="G218" s="13">
        <v>13442.4</v>
      </c>
      <c r="H218" s="41" t="s">
        <v>38</v>
      </c>
      <c r="I218" s="41" t="s">
        <v>244</v>
      </c>
      <c r="J218" s="39" t="s">
        <v>40</v>
      </c>
      <c r="K218" s="39" t="s">
        <v>41</v>
      </c>
      <c r="L218" s="39" t="s">
        <v>159</v>
      </c>
      <c r="M218" s="11" t="s">
        <v>94</v>
      </c>
      <c r="N218" s="42">
        <v>16062</v>
      </c>
      <c r="O218" s="43"/>
      <c r="P218" s="43"/>
      <c r="Q218" s="44"/>
    </row>
    <row r="219" spans="2:17" ht="11.5" x14ac:dyDescent="0.25">
      <c r="B219" s="39" t="s">
        <v>373</v>
      </c>
      <c r="C219" s="40" t="s">
        <v>387</v>
      </c>
      <c r="D219" s="39" t="s">
        <v>200</v>
      </c>
      <c r="E219" s="39" t="s">
        <v>200</v>
      </c>
      <c r="F219" s="13">
        <v>-2076</v>
      </c>
      <c r="G219" s="13">
        <v>-1550.3568</v>
      </c>
      <c r="H219" s="41" t="s">
        <v>38</v>
      </c>
      <c r="I219" s="41" t="s">
        <v>244</v>
      </c>
      <c r="J219" s="39" t="s">
        <v>40</v>
      </c>
      <c r="K219" s="39" t="s">
        <v>41</v>
      </c>
      <c r="L219" s="39" t="s">
        <v>159</v>
      </c>
      <c r="M219" s="11" t="s">
        <v>43</v>
      </c>
      <c r="N219" s="42">
        <v>31120</v>
      </c>
      <c r="O219" s="43"/>
      <c r="P219" s="43"/>
      <c r="Q219" s="44"/>
    </row>
    <row r="220" spans="2:17" ht="11.5" x14ac:dyDescent="0.25">
      <c r="B220" s="39" t="s">
        <v>373</v>
      </c>
      <c r="C220" s="40" t="s">
        <v>393</v>
      </c>
      <c r="D220" s="39" t="s">
        <v>200</v>
      </c>
      <c r="E220" s="39" t="s">
        <v>200</v>
      </c>
      <c r="F220" s="13">
        <v>2218374</v>
      </c>
      <c r="G220" s="13">
        <v>1656681.7032000001</v>
      </c>
      <c r="H220" s="41" t="s">
        <v>38</v>
      </c>
      <c r="I220" s="41" t="s">
        <v>244</v>
      </c>
      <c r="J220" s="39" t="s">
        <v>40</v>
      </c>
      <c r="K220" s="39" t="s">
        <v>41</v>
      </c>
      <c r="L220" s="39" t="s">
        <v>130</v>
      </c>
      <c r="M220" s="11" t="s">
        <v>43</v>
      </c>
      <c r="N220" s="42">
        <v>31120</v>
      </c>
      <c r="O220" s="43"/>
      <c r="P220" s="43"/>
      <c r="Q220" s="44"/>
    </row>
    <row r="221" spans="2:17" ht="11.5" x14ac:dyDescent="0.25">
      <c r="B221" s="39" t="s">
        <v>394</v>
      </c>
      <c r="C221" s="40" t="s">
        <v>852</v>
      </c>
      <c r="D221" s="39" t="s">
        <v>200</v>
      </c>
      <c r="E221" s="39" t="s">
        <v>200</v>
      </c>
      <c r="F221" s="13">
        <v>416314</v>
      </c>
      <c r="G221" s="13">
        <v>310903.29519999999</v>
      </c>
      <c r="H221" s="41" t="s">
        <v>38</v>
      </c>
      <c r="I221" s="41" t="s">
        <v>244</v>
      </c>
      <c r="J221" s="39" t="s">
        <v>40</v>
      </c>
      <c r="K221" s="39" t="s">
        <v>41</v>
      </c>
      <c r="L221" s="39" t="s">
        <v>42</v>
      </c>
      <c r="M221" s="11" t="s">
        <v>130</v>
      </c>
      <c r="N221" s="42">
        <v>52010</v>
      </c>
      <c r="O221" s="43"/>
      <c r="P221" s="43"/>
      <c r="Q221" s="44"/>
    </row>
    <row r="222" spans="2:17" ht="11.5" x14ac:dyDescent="0.25">
      <c r="B222" s="39" t="s">
        <v>395</v>
      </c>
      <c r="C222" s="40" t="s">
        <v>396</v>
      </c>
      <c r="D222" s="39" t="s">
        <v>200</v>
      </c>
      <c r="E222" s="39" t="s">
        <v>200</v>
      </c>
      <c r="F222" s="13">
        <v>909582.48</v>
      </c>
      <c r="G222" s="13">
        <v>679276.19606400002</v>
      </c>
      <c r="H222" s="41" t="s">
        <v>38</v>
      </c>
      <c r="I222" s="41" t="s">
        <v>244</v>
      </c>
      <c r="J222" s="39" t="s">
        <v>40</v>
      </c>
      <c r="K222" s="39" t="s">
        <v>41</v>
      </c>
      <c r="L222" s="39" t="s">
        <v>42</v>
      </c>
      <c r="M222" s="11" t="s">
        <v>397</v>
      </c>
      <c r="N222" s="42">
        <v>24010</v>
      </c>
      <c r="O222" s="43"/>
      <c r="P222" s="43"/>
      <c r="Q222" s="44"/>
    </row>
    <row r="223" spans="2:17" ht="11.5" x14ac:dyDescent="0.25">
      <c r="B223" s="39" t="s">
        <v>395</v>
      </c>
      <c r="C223" s="40" t="s">
        <v>398</v>
      </c>
      <c r="D223" s="39" t="s">
        <v>200</v>
      </c>
      <c r="E223" s="39" t="s">
        <v>200</v>
      </c>
      <c r="F223" s="13">
        <v>2405538</v>
      </c>
      <c r="G223" s="13">
        <v>1796455.7784</v>
      </c>
      <c r="H223" s="41" t="s">
        <v>38</v>
      </c>
      <c r="I223" s="41" t="s">
        <v>244</v>
      </c>
      <c r="J223" s="39" t="s">
        <v>40</v>
      </c>
      <c r="K223" s="39" t="s">
        <v>41</v>
      </c>
      <c r="L223" s="39" t="s">
        <v>42</v>
      </c>
      <c r="M223" s="11" t="s">
        <v>57</v>
      </c>
      <c r="N223" s="42">
        <v>74020</v>
      </c>
      <c r="O223" s="43" t="s">
        <v>68</v>
      </c>
      <c r="P223" s="43" t="s">
        <v>68</v>
      </c>
      <c r="Q223" s="44"/>
    </row>
    <row r="224" spans="2:17" ht="11.5" x14ac:dyDescent="0.25">
      <c r="B224" s="39" t="s">
        <v>399</v>
      </c>
      <c r="C224" s="40" t="s">
        <v>400</v>
      </c>
      <c r="D224" s="39" t="s">
        <v>200</v>
      </c>
      <c r="E224" s="39" t="s">
        <v>200</v>
      </c>
      <c r="F224" s="13">
        <v>1425000</v>
      </c>
      <c r="G224" s="13">
        <v>1064190</v>
      </c>
      <c r="H224" s="41" t="s">
        <v>38</v>
      </c>
      <c r="I224" s="41" t="s">
        <v>244</v>
      </c>
      <c r="J224" s="39" t="s">
        <v>40</v>
      </c>
      <c r="K224" s="39" t="s">
        <v>41</v>
      </c>
      <c r="L224" s="39" t="s">
        <v>42</v>
      </c>
      <c r="M224" s="11" t="s">
        <v>43</v>
      </c>
      <c r="N224" s="42">
        <v>31120</v>
      </c>
      <c r="O224" s="43"/>
      <c r="P224" s="43"/>
      <c r="Q224" s="44"/>
    </row>
    <row r="225" spans="2:17" ht="11.5" x14ac:dyDescent="0.25">
      <c r="B225" s="39" t="s">
        <v>399</v>
      </c>
      <c r="C225" s="40" t="s">
        <v>401</v>
      </c>
      <c r="D225" s="39" t="s">
        <v>200</v>
      </c>
      <c r="E225" s="39" t="s">
        <v>200</v>
      </c>
      <c r="F225" s="13">
        <v>18831</v>
      </c>
      <c r="G225" s="13">
        <v>14062.9908</v>
      </c>
      <c r="H225" s="41" t="s">
        <v>38</v>
      </c>
      <c r="I225" s="41" t="s">
        <v>244</v>
      </c>
      <c r="J225" s="39" t="s">
        <v>40</v>
      </c>
      <c r="K225" s="39" t="s">
        <v>41</v>
      </c>
      <c r="L225" s="39" t="s">
        <v>42</v>
      </c>
      <c r="M225" s="11" t="s">
        <v>74</v>
      </c>
      <c r="N225" s="42">
        <v>25010</v>
      </c>
      <c r="O225" s="43"/>
      <c r="P225" s="43"/>
      <c r="Q225" s="44"/>
    </row>
    <row r="226" spans="2:17" ht="11.5" x14ac:dyDescent="0.25">
      <c r="B226" s="39" t="s">
        <v>402</v>
      </c>
      <c r="C226" s="40" t="s">
        <v>403</v>
      </c>
      <c r="D226" s="39" t="s">
        <v>200</v>
      </c>
      <c r="E226" s="39" t="s">
        <v>200</v>
      </c>
      <c r="F226" s="13">
        <v>1488625</v>
      </c>
      <c r="G226" s="13">
        <v>1111705.1500000001</v>
      </c>
      <c r="H226" s="41" t="s">
        <v>38</v>
      </c>
      <c r="I226" s="41" t="s">
        <v>244</v>
      </c>
      <c r="J226" s="39" t="s">
        <v>40</v>
      </c>
      <c r="K226" s="39" t="s">
        <v>41</v>
      </c>
      <c r="L226" s="39" t="s">
        <v>42</v>
      </c>
      <c r="M226" s="11" t="s">
        <v>262</v>
      </c>
      <c r="N226" s="42">
        <v>21011</v>
      </c>
      <c r="O226" s="43"/>
      <c r="P226" s="43"/>
      <c r="Q226" s="44"/>
    </row>
    <row r="227" spans="2:17" ht="11.5" x14ac:dyDescent="0.25">
      <c r="B227" s="39" t="s">
        <v>402</v>
      </c>
      <c r="C227" s="40" t="s">
        <v>404</v>
      </c>
      <c r="D227" s="39" t="s">
        <v>200</v>
      </c>
      <c r="E227" s="39" t="s">
        <v>200</v>
      </c>
      <c r="F227" s="13">
        <v>934827</v>
      </c>
      <c r="G227" s="13">
        <v>698128.80359999998</v>
      </c>
      <c r="H227" s="41" t="s">
        <v>38</v>
      </c>
      <c r="I227" s="41" t="s">
        <v>244</v>
      </c>
      <c r="J227" s="39" t="s">
        <v>40</v>
      </c>
      <c r="K227" s="39" t="s">
        <v>41</v>
      </c>
      <c r="L227" s="39" t="s">
        <v>42</v>
      </c>
      <c r="M227" s="11" t="s">
        <v>130</v>
      </c>
      <c r="N227" s="42">
        <v>43010</v>
      </c>
      <c r="O227" s="43"/>
      <c r="P227" s="43"/>
      <c r="Q227" s="44"/>
    </row>
    <row r="228" spans="2:17" ht="23" x14ac:dyDescent="0.25">
      <c r="B228" s="39" t="s">
        <v>405</v>
      </c>
      <c r="C228" s="40" t="s">
        <v>406</v>
      </c>
      <c r="D228" s="39" t="s">
        <v>200</v>
      </c>
      <c r="E228" s="39" t="s">
        <v>200</v>
      </c>
      <c r="F228" s="13">
        <v>525000</v>
      </c>
      <c r="G228" s="13">
        <v>392070</v>
      </c>
      <c r="H228" s="41" t="s">
        <v>38</v>
      </c>
      <c r="I228" s="41" t="s">
        <v>39</v>
      </c>
      <c r="J228" s="39" t="s">
        <v>40</v>
      </c>
      <c r="K228" s="39" t="s">
        <v>41</v>
      </c>
      <c r="L228" s="39" t="s">
        <v>42</v>
      </c>
      <c r="M228" s="11" t="s">
        <v>407</v>
      </c>
      <c r="N228" s="42" t="s">
        <v>408</v>
      </c>
      <c r="O228" s="43"/>
      <c r="P228" s="43"/>
      <c r="Q228" s="44"/>
    </row>
    <row r="229" spans="2:17" ht="11.5" x14ac:dyDescent="0.25">
      <c r="B229" s="39" t="s">
        <v>405</v>
      </c>
      <c r="C229" s="40" t="s">
        <v>409</v>
      </c>
      <c r="D229" s="39" t="s">
        <v>200</v>
      </c>
      <c r="E229" s="39" t="s">
        <v>200</v>
      </c>
      <c r="F229" s="13">
        <v>130500</v>
      </c>
      <c r="G229" s="13">
        <v>97457.400000000009</v>
      </c>
      <c r="H229" s="41" t="s">
        <v>38</v>
      </c>
      <c r="I229" s="41" t="s">
        <v>39</v>
      </c>
      <c r="J229" s="39" t="s">
        <v>40</v>
      </c>
      <c r="K229" s="39" t="s">
        <v>41</v>
      </c>
      <c r="L229" s="39" t="s">
        <v>42</v>
      </c>
      <c r="M229" s="11" t="s">
        <v>410</v>
      </c>
      <c r="N229" s="42">
        <v>33110</v>
      </c>
      <c r="O229" s="43"/>
      <c r="P229" s="43"/>
      <c r="Q229" s="44"/>
    </row>
    <row r="230" spans="2:17" ht="23" x14ac:dyDescent="0.25">
      <c r="B230" s="39" t="s">
        <v>405</v>
      </c>
      <c r="C230" s="40" t="s">
        <v>406</v>
      </c>
      <c r="D230" s="39" t="s">
        <v>200</v>
      </c>
      <c r="E230" s="39" t="s">
        <v>200</v>
      </c>
      <c r="F230" s="13">
        <v>525000</v>
      </c>
      <c r="G230" s="13">
        <v>392070</v>
      </c>
      <c r="H230" s="41" t="s">
        <v>38</v>
      </c>
      <c r="I230" s="41" t="s">
        <v>39</v>
      </c>
      <c r="J230" s="39" t="s">
        <v>40</v>
      </c>
      <c r="K230" s="39" t="s">
        <v>41</v>
      </c>
      <c r="L230" s="39" t="s">
        <v>159</v>
      </c>
      <c r="M230" s="11" t="s">
        <v>407</v>
      </c>
      <c r="N230" s="42" t="s">
        <v>408</v>
      </c>
      <c r="O230" s="43"/>
      <c r="P230" s="43"/>
      <c r="Q230" s="44"/>
    </row>
    <row r="231" spans="2:17" ht="11.5" x14ac:dyDescent="0.25">
      <c r="B231" s="39" t="s">
        <v>405</v>
      </c>
      <c r="C231" s="40" t="s">
        <v>409</v>
      </c>
      <c r="D231" s="39" t="s">
        <v>200</v>
      </c>
      <c r="E231" s="39" t="s">
        <v>200</v>
      </c>
      <c r="F231" s="13">
        <v>60000</v>
      </c>
      <c r="G231" s="13">
        <v>44808</v>
      </c>
      <c r="H231" s="41" t="s">
        <v>38</v>
      </c>
      <c r="I231" s="41" t="s">
        <v>39</v>
      </c>
      <c r="J231" s="39" t="s">
        <v>40</v>
      </c>
      <c r="K231" s="39" t="s">
        <v>41</v>
      </c>
      <c r="L231" s="39" t="s">
        <v>159</v>
      </c>
      <c r="M231" s="11" t="s">
        <v>410</v>
      </c>
      <c r="N231" s="42">
        <v>33110</v>
      </c>
      <c r="O231" s="43"/>
      <c r="P231" s="43"/>
      <c r="Q231" s="44"/>
    </row>
    <row r="232" spans="2:17" ht="11.5" x14ac:dyDescent="0.25">
      <c r="B232" s="39" t="s">
        <v>405</v>
      </c>
      <c r="C232" s="40" t="s">
        <v>409</v>
      </c>
      <c r="D232" s="39" t="s">
        <v>200</v>
      </c>
      <c r="E232" s="39" t="s">
        <v>200</v>
      </c>
      <c r="F232" s="13">
        <v>149266</v>
      </c>
      <c r="G232" s="13">
        <v>111471.84880000001</v>
      </c>
      <c r="H232" s="41" t="s">
        <v>38</v>
      </c>
      <c r="I232" s="41" t="s">
        <v>39</v>
      </c>
      <c r="J232" s="39" t="s">
        <v>40</v>
      </c>
      <c r="K232" s="39" t="s">
        <v>41</v>
      </c>
      <c r="L232" s="39" t="s">
        <v>130</v>
      </c>
      <c r="M232" s="11" t="s">
        <v>410</v>
      </c>
      <c r="N232" s="42">
        <v>33110</v>
      </c>
      <c r="O232" s="43"/>
      <c r="P232" s="43"/>
      <c r="Q232" s="44"/>
    </row>
    <row r="233" spans="2:17" ht="12" customHeight="1" x14ac:dyDescent="0.35">
      <c r="B233" s="50"/>
      <c r="C233" s="51"/>
      <c r="F233" s="15"/>
      <c r="G233" s="7"/>
      <c r="H233" s="52"/>
      <c r="I233" s="52"/>
      <c r="J233" s="50"/>
      <c r="K233" s="50"/>
      <c r="L233" s="50"/>
      <c r="M233" s="8"/>
      <c r="N233" s="53"/>
      <c r="O233" s="54"/>
      <c r="P233" s="54"/>
    </row>
    <row r="234" spans="2:17" ht="12" customHeight="1" x14ac:dyDescent="0.35">
      <c r="B234" s="50"/>
      <c r="C234" s="51"/>
      <c r="D234" s="6"/>
      <c r="E234" s="7"/>
      <c r="F234" s="7"/>
      <c r="G234" s="7"/>
      <c r="H234" s="52"/>
      <c r="I234" s="52"/>
      <c r="J234" s="50"/>
      <c r="K234" s="50"/>
      <c r="L234" s="50"/>
      <c r="M234" s="8"/>
      <c r="N234" s="53"/>
      <c r="O234" s="54"/>
      <c r="P234" s="54"/>
    </row>
    <row r="235" spans="2:17" ht="12" customHeight="1" x14ac:dyDescent="0.35">
      <c r="B235" s="32" t="s">
        <v>411</v>
      </c>
      <c r="C235" s="32"/>
      <c r="D235" s="32"/>
      <c r="E235" s="32"/>
      <c r="F235" s="7"/>
      <c r="G235" s="55"/>
      <c r="H235" s="56"/>
      <c r="I235" s="57"/>
      <c r="J235" s="58"/>
      <c r="K235" s="58"/>
      <c r="L235" s="59"/>
      <c r="M235" s="58"/>
      <c r="N235" s="60"/>
      <c r="O235" s="58"/>
      <c r="P235" s="58"/>
    </row>
    <row r="236" spans="2:17" ht="12" customHeight="1" x14ac:dyDescent="0.25">
      <c r="B236" s="32" t="s">
        <v>412</v>
      </c>
      <c r="C236" s="32"/>
      <c r="D236" s="32"/>
      <c r="E236" s="32"/>
      <c r="F236" s="32"/>
      <c r="G236" s="32"/>
      <c r="H236" s="56"/>
      <c r="I236" s="57"/>
      <c r="J236" s="58"/>
      <c r="K236" s="58"/>
      <c r="L236" s="59"/>
      <c r="M236" s="58"/>
      <c r="N236" s="60"/>
      <c r="O236" s="58"/>
      <c r="P236" s="58"/>
    </row>
    <row r="237" spans="2:17" ht="12" customHeight="1" x14ac:dyDescent="0.25">
      <c r="B237" s="20" t="s">
        <v>413</v>
      </c>
    </row>
    <row r="238" spans="2:17" ht="12" customHeight="1" x14ac:dyDescent="0.25">
      <c r="B238" s="61" t="s">
        <v>414</v>
      </c>
      <c r="C238" s="32"/>
      <c r="D238" s="32"/>
      <c r="E238" s="32"/>
      <c r="F238" s="32"/>
      <c r="G238" s="32"/>
      <c r="H238" s="56"/>
      <c r="I238" s="57"/>
      <c r="J238" s="58"/>
      <c r="K238" s="58"/>
      <c r="L238" s="59"/>
      <c r="M238" s="58"/>
      <c r="N238" s="60"/>
      <c r="O238" s="58"/>
      <c r="P238" s="58"/>
    </row>
    <row r="239" spans="2:17" ht="12" customHeight="1" x14ac:dyDescent="0.25">
      <c r="B239" s="61" t="s">
        <v>415</v>
      </c>
      <c r="D239" s="62"/>
    </row>
    <row r="240" spans="2:17" ht="12" customHeight="1" x14ac:dyDescent="0.25">
      <c r="B240" s="61" t="s">
        <v>416</v>
      </c>
      <c r="C240" s="63"/>
      <c r="D240" s="64"/>
      <c r="E240" s="64"/>
      <c r="F240" s="64"/>
      <c r="G240" s="65"/>
    </row>
    <row r="241" spans="2:16" ht="12" customHeight="1" x14ac:dyDescent="0.25">
      <c r="B241" s="61" t="s">
        <v>417</v>
      </c>
      <c r="C241" s="66"/>
    </row>
    <row r="242" spans="2:16" ht="12" customHeight="1" x14ac:dyDescent="0.25">
      <c r="B242" s="61" t="s">
        <v>418</v>
      </c>
      <c r="C242" s="66"/>
    </row>
    <row r="243" spans="2:16" ht="12" customHeight="1" x14ac:dyDescent="0.25">
      <c r="B243" s="61" t="s">
        <v>419</v>
      </c>
      <c r="C243" s="66"/>
    </row>
    <row r="244" spans="2:16" ht="12" customHeight="1" x14ac:dyDescent="0.25">
      <c r="B244" s="61" t="s">
        <v>420</v>
      </c>
      <c r="C244" s="66"/>
    </row>
    <row r="245" spans="2:16" ht="12" customHeight="1" x14ac:dyDescent="0.25">
      <c r="B245" s="61" t="s">
        <v>421</v>
      </c>
      <c r="C245" s="66"/>
    </row>
    <row r="246" spans="2:16" ht="12" customHeight="1" x14ac:dyDescent="0.25">
      <c r="B246" s="61" t="s">
        <v>422</v>
      </c>
      <c r="C246" s="61"/>
      <c r="D246" s="61"/>
      <c r="E246" s="61"/>
      <c r="F246" s="61"/>
      <c r="G246" s="61"/>
      <c r="H246" s="61"/>
      <c r="I246" s="61"/>
      <c r="J246" s="61"/>
      <c r="K246" s="61"/>
      <c r="L246" s="61"/>
      <c r="M246" s="61"/>
      <c r="N246" s="61"/>
      <c r="O246" s="61"/>
      <c r="P246" s="61"/>
    </row>
    <row r="247" spans="2:16" ht="12" customHeight="1" x14ac:dyDescent="0.25">
      <c r="B247" s="61" t="s">
        <v>423</v>
      </c>
      <c r="C247" s="66"/>
    </row>
    <row r="248" spans="2:16" ht="12" customHeight="1" x14ac:dyDescent="0.25">
      <c r="B248" s="61" t="s">
        <v>424</v>
      </c>
      <c r="C248" s="66"/>
    </row>
    <row r="249" spans="2:16" ht="12" customHeight="1" x14ac:dyDescent="0.25">
      <c r="B249" s="22"/>
      <c r="C249" s="66"/>
    </row>
    <row r="250" spans="2:16" ht="12" customHeight="1" x14ac:dyDescent="0.25">
      <c r="B250" s="67" t="s">
        <v>425</v>
      </c>
    </row>
    <row r="251" spans="2:16" ht="12" customHeight="1" x14ac:dyDescent="0.25">
      <c r="B251" s="68" t="s">
        <v>861</v>
      </c>
      <c r="C251" s="69"/>
    </row>
    <row r="252" spans="2:16" ht="12" customHeight="1" x14ac:dyDescent="0.25">
      <c r="B252" s="68" t="s">
        <v>426</v>
      </c>
      <c r="C252" s="69"/>
    </row>
    <row r="253" spans="2:16" ht="12" customHeight="1" x14ac:dyDescent="0.25">
      <c r="B253" s="68" t="s">
        <v>427</v>
      </c>
      <c r="C253" s="69"/>
    </row>
    <row r="254" spans="2:16" ht="12" customHeight="1" x14ac:dyDescent="0.3">
      <c r="B254" s="68" t="s">
        <v>428</v>
      </c>
      <c r="C254" s="69"/>
      <c r="D254" s="70"/>
      <c r="E254" s="70"/>
      <c r="F254" s="70"/>
      <c r="G254" s="70"/>
      <c r="H254" s="70"/>
      <c r="I254" s="70"/>
      <c r="J254" s="70"/>
      <c r="K254" s="70"/>
      <c r="L254" s="70"/>
      <c r="M254" s="70"/>
    </row>
    <row r="255" spans="2:16" ht="12.65" customHeight="1" x14ac:dyDescent="0.3">
      <c r="B255" s="68" t="s">
        <v>862</v>
      </c>
      <c r="C255" s="69"/>
      <c r="D255" s="70"/>
      <c r="E255" s="70"/>
      <c r="F255" s="70"/>
      <c r="G255" s="70"/>
      <c r="H255" s="70"/>
      <c r="I255" s="70"/>
      <c r="J255" s="70"/>
      <c r="K255" s="70"/>
      <c r="L255" s="70"/>
      <c r="M255" s="70"/>
    </row>
    <row r="256" spans="2:16" ht="15" customHeight="1" x14ac:dyDescent="0.35">
      <c r="B256" s="71" t="s">
        <v>851</v>
      </c>
      <c r="C256" s="72"/>
      <c r="D256" s="73"/>
      <c r="E256" s="73"/>
      <c r="F256" s="73"/>
      <c r="G256" s="73"/>
      <c r="H256" s="73"/>
      <c r="I256" s="73"/>
      <c r="J256" s="73"/>
      <c r="K256" s="73"/>
      <c r="L256" s="73"/>
      <c r="M256" s="73"/>
    </row>
    <row r="257" spans="2:13" ht="12" customHeight="1" x14ac:dyDescent="0.35">
      <c r="B257" s="74"/>
      <c r="C257" s="75"/>
      <c r="D257" s="73"/>
      <c r="E257" s="73"/>
      <c r="F257" s="73"/>
      <c r="G257" s="73"/>
      <c r="H257" s="73"/>
      <c r="I257" s="73"/>
      <c r="J257" s="73"/>
      <c r="K257" s="73"/>
      <c r="L257" s="73"/>
      <c r="M257" s="73"/>
    </row>
  </sheetData>
  <hyperlinks>
    <hyperlink ref="B5" location="'Index sheet'!A1" display="Back to index" xr:uid="{00000000-0004-0000-0200-000000000000}"/>
  </hyperlinks>
  <pageMargins left="0.25" right="0.25" top="0.75" bottom="0.75" header="0.3" footer="0.3"/>
  <pageSetup paperSize="8" scale="69" fitToHeight="0" orientation="landscape" r:id="rId1"/>
  <ignoredErrors>
    <ignoredError sqref="A1:Q1 B239:P245 A57 C238:P238 B247:P247 A65 C246:P246 B249:P250 A67 C248:P248 D253:E253 A71 D252:P252 A70 D251:P251 B236:P237 A10 A53:A56 Q53:Q56 Q70 Q71 A72:A87 Q72:Q87 Q67 A68:A69 Q68:Q69 Q65 A66 Q66 Q57 A58:A64 Q58:Q64 A107 Q107 N254:P254 A3:Q6 A2 C2:I2 K2:Q2 B258:P272 G253:P253 A8:Q9 A7 E7:G7 A88 Q88 A89:A95 Q89:Q95 A96:A105 Q96:Q105 B235:E235 H235:P235"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11"/>
  <sheetViews>
    <sheetView showGridLines="0" workbookViewId="0">
      <pane ySplit="9" topLeftCell="A10" activePane="bottomLeft" state="frozen"/>
      <selection pane="bottomLeft" activeCell="F3" sqref="A1:XFD1048576"/>
    </sheetView>
  </sheetViews>
  <sheetFormatPr defaultColWidth="9.1796875" defaultRowHeight="11.5" x14ac:dyDescent="0.25"/>
  <cols>
    <col min="1" max="1" width="2.26953125" style="20" customWidth="1"/>
    <col min="2" max="2" width="23" style="20" customWidth="1"/>
    <col min="3" max="3" width="50.1796875" style="69" customWidth="1"/>
    <col min="4" max="5" width="11.26953125" style="20" customWidth="1"/>
    <col min="6" max="6" width="15" style="20" customWidth="1"/>
    <col min="7" max="10" width="11.26953125" style="20" customWidth="1"/>
    <col min="11" max="11" width="21.453125" style="20" bestFit="1" customWidth="1"/>
    <col min="12" max="12" width="15.54296875" style="20" customWidth="1"/>
    <col min="13" max="13" width="24.81640625" style="20" customWidth="1"/>
    <col min="14" max="16" width="11.26953125" style="20" customWidth="1"/>
    <col min="17" max="17" width="20.453125" style="20" customWidth="1"/>
    <col min="18" max="18" width="9.1796875" style="20" customWidth="1"/>
    <col min="19" max="16384" width="9.1796875" style="20"/>
  </cols>
  <sheetData>
    <row r="1" spans="2:17" ht="15" x14ac:dyDescent="0.3">
      <c r="B1" s="19" t="s">
        <v>14</v>
      </c>
      <c r="C1" s="76"/>
    </row>
    <row r="2" spans="2:17" ht="15" x14ac:dyDescent="0.3">
      <c r="B2" s="21" t="s">
        <v>15</v>
      </c>
      <c r="C2" s="76"/>
      <c r="D2" s="22"/>
      <c r="I2" s="20" t="s">
        <v>429</v>
      </c>
      <c r="J2" s="20" t="s">
        <v>17</v>
      </c>
    </row>
    <row r="3" spans="2:17" x14ac:dyDescent="0.25">
      <c r="B3" s="23" t="s">
        <v>18</v>
      </c>
      <c r="C3" s="77">
        <v>0.7258</v>
      </c>
    </row>
    <row r="4" spans="2:17" x14ac:dyDescent="0.25">
      <c r="B4" s="23"/>
      <c r="C4" s="78"/>
    </row>
    <row r="5" spans="2:17" x14ac:dyDescent="0.25">
      <c r="B5" s="25" t="s">
        <v>19</v>
      </c>
      <c r="C5" s="66"/>
    </row>
    <row r="6" spans="2:17" x14ac:dyDescent="0.25">
      <c r="B6" s="25"/>
      <c r="C6" s="66"/>
    </row>
    <row r="7" spans="2:17" s="32" customFormat="1" ht="60" x14ac:dyDescent="0.25">
      <c r="B7" s="27" t="s">
        <v>20</v>
      </c>
      <c r="C7" s="27" t="s">
        <v>21</v>
      </c>
      <c r="D7" s="28" t="s">
        <v>22</v>
      </c>
      <c r="E7" s="29"/>
      <c r="F7" s="29"/>
      <c r="G7" s="30"/>
      <c r="H7" s="27" t="s">
        <v>23</v>
      </c>
      <c r="I7" s="27" t="s">
        <v>24</v>
      </c>
      <c r="J7" s="27" t="s">
        <v>25</v>
      </c>
      <c r="K7" s="27" t="s">
        <v>26</v>
      </c>
      <c r="L7" s="27" t="s">
        <v>27</v>
      </c>
      <c r="M7" s="27" t="s">
        <v>28</v>
      </c>
      <c r="N7" s="27" t="s">
        <v>29</v>
      </c>
      <c r="O7" s="27" t="s">
        <v>30</v>
      </c>
      <c r="P7" s="31" t="s">
        <v>31</v>
      </c>
      <c r="Q7" s="27" t="s">
        <v>32</v>
      </c>
    </row>
    <row r="8" spans="2:17" s="32" customFormat="1" x14ac:dyDescent="0.25">
      <c r="B8" s="33"/>
      <c r="C8" s="33"/>
      <c r="D8" s="34" t="s">
        <v>33</v>
      </c>
      <c r="E8" s="35"/>
      <c r="F8" s="34" t="s">
        <v>34</v>
      </c>
      <c r="G8" s="35"/>
      <c r="H8" s="33"/>
      <c r="I8" s="33"/>
      <c r="J8" s="33"/>
      <c r="K8" s="33"/>
      <c r="L8" s="33"/>
      <c r="M8" s="33"/>
      <c r="N8" s="33"/>
      <c r="O8" s="33"/>
      <c r="P8" s="36"/>
      <c r="Q8" s="33"/>
    </row>
    <row r="9" spans="2:17" s="32" customFormat="1" ht="23" x14ac:dyDescent="0.25">
      <c r="B9" s="33"/>
      <c r="C9" s="33"/>
      <c r="D9" s="37" t="s">
        <v>35</v>
      </c>
      <c r="E9" s="38" t="s">
        <v>36</v>
      </c>
      <c r="F9" s="37" t="s">
        <v>35</v>
      </c>
      <c r="G9" s="38" t="s">
        <v>36</v>
      </c>
      <c r="H9" s="33"/>
      <c r="I9" s="33"/>
      <c r="J9" s="33"/>
      <c r="K9" s="33"/>
      <c r="L9" s="33"/>
      <c r="M9" s="33"/>
      <c r="N9" s="33"/>
      <c r="O9" s="33"/>
      <c r="P9" s="36"/>
      <c r="Q9" s="33"/>
    </row>
    <row r="10" spans="2:17" ht="23" x14ac:dyDescent="0.25">
      <c r="B10" s="39" t="s">
        <v>865</v>
      </c>
      <c r="C10" s="43" t="s">
        <v>178</v>
      </c>
      <c r="D10" s="79" t="s">
        <v>200</v>
      </c>
      <c r="E10" s="13" t="s">
        <v>200</v>
      </c>
      <c r="F10" s="79">
        <v>20000000</v>
      </c>
      <c r="G10" s="13">
        <v>14516000</v>
      </c>
      <c r="H10" s="41" t="s">
        <v>38</v>
      </c>
      <c r="I10" s="41" t="s">
        <v>39</v>
      </c>
      <c r="J10" s="41" t="s">
        <v>40</v>
      </c>
      <c r="K10" s="41" t="s">
        <v>41</v>
      </c>
      <c r="L10" s="41" t="s">
        <v>42</v>
      </c>
      <c r="M10" s="43" t="s">
        <v>76</v>
      </c>
      <c r="N10" s="39">
        <v>41010</v>
      </c>
      <c r="O10" s="43" t="s">
        <v>68</v>
      </c>
      <c r="P10" s="43"/>
      <c r="Q10" s="80"/>
    </row>
    <row r="11" spans="2:17" s="32" customFormat="1" x14ac:dyDescent="0.25">
      <c r="B11" s="39" t="s">
        <v>865</v>
      </c>
      <c r="C11" s="43" t="s">
        <v>37</v>
      </c>
      <c r="D11" s="79" t="s">
        <v>200</v>
      </c>
      <c r="E11" s="13" t="s">
        <v>200</v>
      </c>
      <c r="F11" s="79">
        <v>15604160.4</v>
      </c>
      <c r="G11" s="13">
        <v>11325499.618319999</v>
      </c>
      <c r="H11" s="41" t="s">
        <v>38</v>
      </c>
      <c r="I11" s="41" t="s">
        <v>39</v>
      </c>
      <c r="J11" s="41" t="s">
        <v>40</v>
      </c>
      <c r="K11" s="41" t="s">
        <v>41</v>
      </c>
      <c r="L11" s="41" t="s">
        <v>42</v>
      </c>
      <c r="M11" s="12" t="s">
        <v>43</v>
      </c>
      <c r="N11" s="42">
        <v>31182</v>
      </c>
      <c r="O11" s="43" t="s">
        <v>68</v>
      </c>
      <c r="P11" s="43" t="s">
        <v>68</v>
      </c>
      <c r="Q11" s="81"/>
    </row>
    <row r="12" spans="2:17" s="32" customFormat="1" ht="138" x14ac:dyDescent="0.25">
      <c r="B12" s="39" t="s">
        <v>865</v>
      </c>
      <c r="C12" s="43" t="s">
        <v>430</v>
      </c>
      <c r="D12" s="79" t="s">
        <v>200</v>
      </c>
      <c r="E12" s="13" t="s">
        <v>200</v>
      </c>
      <c r="F12" s="79">
        <v>6293400</v>
      </c>
      <c r="G12" s="13">
        <v>4567749.72</v>
      </c>
      <c r="H12" s="41" t="s">
        <v>38</v>
      </c>
      <c r="I12" s="41" t="s">
        <v>39</v>
      </c>
      <c r="J12" s="41" t="s">
        <v>40</v>
      </c>
      <c r="K12" s="41" t="s">
        <v>41</v>
      </c>
      <c r="L12" s="41" t="s">
        <v>42</v>
      </c>
      <c r="M12" s="12" t="s">
        <v>431</v>
      </c>
      <c r="N12" s="42" t="s">
        <v>432</v>
      </c>
      <c r="O12" s="43" t="s">
        <v>68</v>
      </c>
      <c r="P12" s="43"/>
      <c r="Q12" s="81"/>
    </row>
    <row r="13" spans="2:17" s="32" customFormat="1" x14ac:dyDescent="0.25">
      <c r="B13" s="39" t="s">
        <v>865</v>
      </c>
      <c r="C13" s="43" t="s">
        <v>44</v>
      </c>
      <c r="D13" s="79" t="s">
        <v>200</v>
      </c>
      <c r="E13" s="13" t="s">
        <v>200</v>
      </c>
      <c r="F13" s="79">
        <v>5785174.7646000003</v>
      </c>
      <c r="G13" s="13">
        <v>4198879.8441466801</v>
      </c>
      <c r="H13" s="41" t="s">
        <v>38</v>
      </c>
      <c r="I13" s="41" t="s">
        <v>39</v>
      </c>
      <c r="J13" s="41" t="s">
        <v>40</v>
      </c>
      <c r="K13" s="41" t="s">
        <v>41</v>
      </c>
      <c r="L13" s="41" t="s">
        <v>42</v>
      </c>
      <c r="M13" s="43" t="s">
        <v>125</v>
      </c>
      <c r="N13" s="42">
        <v>14030</v>
      </c>
      <c r="O13" s="43"/>
      <c r="P13" s="43"/>
      <c r="Q13" s="81"/>
    </row>
    <row r="14" spans="2:17" s="32" customFormat="1" x14ac:dyDescent="0.25">
      <c r="B14" s="39" t="s">
        <v>865</v>
      </c>
      <c r="C14" s="43" t="s">
        <v>433</v>
      </c>
      <c r="D14" s="79" t="s">
        <v>200</v>
      </c>
      <c r="E14" s="13" t="s">
        <v>200</v>
      </c>
      <c r="F14" s="79">
        <v>5096860.4050000003</v>
      </c>
      <c r="G14" s="13">
        <v>3699301.281949</v>
      </c>
      <c r="H14" s="41" t="s">
        <v>38</v>
      </c>
      <c r="I14" s="41" t="s">
        <v>39</v>
      </c>
      <c r="J14" s="41" t="s">
        <v>40</v>
      </c>
      <c r="K14" s="41" t="s">
        <v>41</v>
      </c>
      <c r="L14" s="41" t="s">
        <v>42</v>
      </c>
      <c r="M14" s="43" t="s">
        <v>57</v>
      </c>
      <c r="N14" s="39">
        <v>74020</v>
      </c>
      <c r="O14" s="43" t="s">
        <v>68</v>
      </c>
      <c r="P14" s="43"/>
      <c r="Q14" s="39"/>
    </row>
    <row r="15" spans="2:17" s="32" customFormat="1" x14ac:dyDescent="0.25">
      <c r="B15" s="39" t="s">
        <v>865</v>
      </c>
      <c r="C15" s="43" t="s">
        <v>66</v>
      </c>
      <c r="D15" s="79" t="s">
        <v>200</v>
      </c>
      <c r="E15" s="13" t="s">
        <v>200</v>
      </c>
      <c r="F15" s="79">
        <v>3882659.2</v>
      </c>
      <c r="G15" s="13">
        <v>2818034.0473600002</v>
      </c>
      <c r="H15" s="41" t="s">
        <v>38</v>
      </c>
      <c r="I15" s="41" t="s">
        <v>39</v>
      </c>
      <c r="J15" s="41" t="s">
        <v>40</v>
      </c>
      <c r="K15" s="41" t="s">
        <v>41</v>
      </c>
      <c r="L15" s="41" t="s">
        <v>42</v>
      </c>
      <c r="M15" s="43" t="s">
        <v>125</v>
      </c>
      <c r="N15" s="42">
        <v>14030</v>
      </c>
      <c r="O15" s="43" t="s">
        <v>68</v>
      </c>
      <c r="P15" s="43"/>
      <c r="Q15" s="81"/>
    </row>
    <row r="16" spans="2:17" ht="23" x14ac:dyDescent="0.25">
      <c r="B16" s="39" t="s">
        <v>865</v>
      </c>
      <c r="C16" s="43" t="s">
        <v>58</v>
      </c>
      <c r="D16" s="79" t="s">
        <v>200</v>
      </c>
      <c r="E16" s="13" t="s">
        <v>200</v>
      </c>
      <c r="F16" s="79">
        <v>3360000</v>
      </c>
      <c r="G16" s="13">
        <v>2438688</v>
      </c>
      <c r="H16" s="41" t="s">
        <v>38</v>
      </c>
      <c r="I16" s="41" t="s">
        <v>39</v>
      </c>
      <c r="J16" s="41" t="s">
        <v>40</v>
      </c>
      <c r="K16" s="41" t="s">
        <v>41</v>
      </c>
      <c r="L16" s="41" t="s">
        <v>42</v>
      </c>
      <c r="M16" s="43" t="s">
        <v>57</v>
      </c>
      <c r="N16" s="39">
        <v>74020</v>
      </c>
      <c r="O16" s="43"/>
      <c r="P16" s="43"/>
      <c r="Q16" s="39"/>
    </row>
    <row r="17" spans="2:17" x14ac:dyDescent="0.25">
      <c r="B17" s="39" t="s">
        <v>865</v>
      </c>
      <c r="C17" s="43" t="s">
        <v>434</v>
      </c>
      <c r="D17" s="79" t="s">
        <v>200</v>
      </c>
      <c r="E17" s="13" t="s">
        <v>200</v>
      </c>
      <c r="F17" s="79">
        <v>2212000</v>
      </c>
      <c r="G17" s="13">
        <v>1605469.6</v>
      </c>
      <c r="H17" s="41" t="s">
        <v>38</v>
      </c>
      <c r="I17" s="41" t="s">
        <v>39</v>
      </c>
      <c r="J17" s="41" t="s">
        <v>40</v>
      </c>
      <c r="K17" s="41" t="s">
        <v>41</v>
      </c>
      <c r="L17" s="41" t="s">
        <v>42</v>
      </c>
      <c r="M17" s="43" t="s">
        <v>57</v>
      </c>
      <c r="N17" s="39">
        <v>74020</v>
      </c>
      <c r="O17" s="43"/>
      <c r="P17" s="43"/>
      <c r="Q17" s="39"/>
    </row>
    <row r="18" spans="2:17" x14ac:dyDescent="0.25">
      <c r="B18" s="39" t="s">
        <v>865</v>
      </c>
      <c r="C18" s="43" t="s">
        <v>56</v>
      </c>
      <c r="D18" s="79" t="s">
        <v>200</v>
      </c>
      <c r="E18" s="13" t="s">
        <v>200</v>
      </c>
      <c r="F18" s="79">
        <v>2158064.9984190012</v>
      </c>
      <c r="G18" s="13">
        <v>1566323.575852511</v>
      </c>
      <c r="H18" s="41" t="s">
        <v>38</v>
      </c>
      <c r="I18" s="41" t="s">
        <v>39</v>
      </c>
      <c r="J18" s="41" t="s">
        <v>40</v>
      </c>
      <c r="K18" s="41" t="s">
        <v>41</v>
      </c>
      <c r="L18" s="41" t="s">
        <v>42</v>
      </c>
      <c r="M18" s="43" t="s">
        <v>57</v>
      </c>
      <c r="N18" s="39">
        <v>74020</v>
      </c>
      <c r="O18" s="43"/>
      <c r="P18" s="43"/>
      <c r="Q18" s="39"/>
    </row>
    <row r="19" spans="2:17" ht="34.5" x14ac:dyDescent="0.25">
      <c r="B19" s="39" t="s">
        <v>865</v>
      </c>
      <c r="C19" s="43" t="s">
        <v>52</v>
      </c>
      <c r="D19" s="79" t="s">
        <v>200</v>
      </c>
      <c r="E19" s="13" t="s">
        <v>200</v>
      </c>
      <c r="F19" s="79">
        <v>2103173.3405279992</v>
      </c>
      <c r="G19" s="13">
        <v>1526483.2105552219</v>
      </c>
      <c r="H19" s="41" t="s">
        <v>38</v>
      </c>
      <c r="I19" s="41" t="s">
        <v>39</v>
      </c>
      <c r="J19" s="41" t="s">
        <v>40</v>
      </c>
      <c r="K19" s="41" t="s">
        <v>41</v>
      </c>
      <c r="L19" s="41" t="s">
        <v>42</v>
      </c>
      <c r="M19" s="12" t="s">
        <v>53</v>
      </c>
      <c r="N19" s="42" t="s">
        <v>435</v>
      </c>
      <c r="O19" s="43" t="s">
        <v>68</v>
      </c>
      <c r="P19" s="43"/>
      <c r="Q19" s="39"/>
    </row>
    <row r="20" spans="2:17" x14ac:dyDescent="0.25">
      <c r="B20" s="39" t="s">
        <v>865</v>
      </c>
      <c r="C20" s="43" t="s">
        <v>55</v>
      </c>
      <c r="D20" s="79" t="s">
        <v>200</v>
      </c>
      <c r="E20" s="13" t="s">
        <v>200</v>
      </c>
      <c r="F20" s="79">
        <v>2070000</v>
      </c>
      <c r="G20" s="13">
        <v>1502406</v>
      </c>
      <c r="H20" s="41" t="s">
        <v>38</v>
      </c>
      <c r="I20" s="41" t="s">
        <v>39</v>
      </c>
      <c r="J20" s="41" t="s">
        <v>40</v>
      </c>
      <c r="K20" s="41" t="s">
        <v>41</v>
      </c>
      <c r="L20" s="41" t="s">
        <v>42</v>
      </c>
      <c r="M20" s="43" t="s">
        <v>125</v>
      </c>
      <c r="N20" s="42">
        <v>14010</v>
      </c>
      <c r="O20" s="43"/>
      <c r="P20" s="43"/>
      <c r="Q20" s="39"/>
    </row>
    <row r="21" spans="2:17" ht="34.5" x14ac:dyDescent="0.25">
      <c r="B21" s="39" t="s">
        <v>865</v>
      </c>
      <c r="C21" s="43" t="s">
        <v>124</v>
      </c>
      <c r="D21" s="79" t="s">
        <v>200</v>
      </c>
      <c r="E21" s="13" t="s">
        <v>200</v>
      </c>
      <c r="F21" s="79">
        <v>1840000</v>
      </c>
      <c r="G21" s="13">
        <v>1335472</v>
      </c>
      <c r="H21" s="41" t="s">
        <v>38</v>
      </c>
      <c r="I21" s="41" t="s">
        <v>39</v>
      </c>
      <c r="J21" s="41" t="s">
        <v>40</v>
      </c>
      <c r="K21" s="41" t="s">
        <v>41</v>
      </c>
      <c r="L21" s="41" t="s">
        <v>42</v>
      </c>
      <c r="M21" s="43" t="s">
        <v>125</v>
      </c>
      <c r="N21" s="42" t="s">
        <v>436</v>
      </c>
      <c r="O21" s="43"/>
      <c r="P21" s="43"/>
      <c r="Q21" s="39"/>
    </row>
    <row r="22" spans="2:17" ht="241.5" x14ac:dyDescent="0.25">
      <c r="B22" s="39" t="s">
        <v>865</v>
      </c>
      <c r="C22" s="43" t="s">
        <v>117</v>
      </c>
      <c r="D22" s="79" t="s">
        <v>200</v>
      </c>
      <c r="E22" s="13" t="s">
        <v>200</v>
      </c>
      <c r="F22" s="79">
        <v>1410642.7104818267</v>
      </c>
      <c r="G22" s="13">
        <v>1023844.4792677098</v>
      </c>
      <c r="H22" s="41" t="s">
        <v>38</v>
      </c>
      <c r="I22" s="41" t="s">
        <v>39</v>
      </c>
      <c r="J22" s="41" t="s">
        <v>40</v>
      </c>
      <c r="K22" s="41" t="s">
        <v>41</v>
      </c>
      <c r="L22" s="41" t="s">
        <v>42</v>
      </c>
      <c r="M22" s="12" t="s">
        <v>179</v>
      </c>
      <c r="N22" s="42" t="s">
        <v>437</v>
      </c>
      <c r="O22" s="43"/>
      <c r="P22" s="43"/>
      <c r="Q22" s="39"/>
    </row>
    <row r="23" spans="2:17" ht="14" x14ac:dyDescent="0.25">
      <c r="B23" s="39" t="s">
        <v>865</v>
      </c>
      <c r="C23" s="43" t="s">
        <v>438</v>
      </c>
      <c r="D23" s="79" t="s">
        <v>200</v>
      </c>
      <c r="E23" s="13" t="s">
        <v>200</v>
      </c>
      <c r="F23" s="79">
        <v>1239656.1000000001</v>
      </c>
      <c r="G23" s="13">
        <v>899742.3973800001</v>
      </c>
      <c r="H23" s="41" t="s">
        <v>38</v>
      </c>
      <c r="I23" s="41" t="s">
        <v>39</v>
      </c>
      <c r="J23" s="41" t="s">
        <v>40</v>
      </c>
      <c r="K23" s="41" t="s">
        <v>41</v>
      </c>
      <c r="L23" s="41" t="s">
        <v>42</v>
      </c>
      <c r="M23" s="43" t="s">
        <v>272</v>
      </c>
      <c r="N23" s="39">
        <v>12250</v>
      </c>
      <c r="O23" s="43"/>
      <c r="P23" s="43"/>
      <c r="Q23" s="82"/>
    </row>
    <row r="24" spans="2:17" ht="46" x14ac:dyDescent="0.25">
      <c r="B24" s="39" t="s">
        <v>865</v>
      </c>
      <c r="C24" s="43" t="s">
        <v>49</v>
      </c>
      <c r="D24" s="79" t="s">
        <v>200</v>
      </c>
      <c r="E24" s="13" t="s">
        <v>200</v>
      </c>
      <c r="F24" s="79">
        <v>1022951.4250000002</v>
      </c>
      <c r="G24" s="13">
        <v>742458.14426500013</v>
      </c>
      <c r="H24" s="41" t="s">
        <v>38</v>
      </c>
      <c r="I24" s="41" t="s">
        <v>39</v>
      </c>
      <c r="J24" s="41" t="s">
        <v>40</v>
      </c>
      <c r="K24" s="41" t="s">
        <v>41</v>
      </c>
      <c r="L24" s="41" t="s">
        <v>42</v>
      </c>
      <c r="M24" s="12" t="s">
        <v>439</v>
      </c>
      <c r="N24" s="42" t="s">
        <v>440</v>
      </c>
      <c r="O24" s="43" t="s">
        <v>68</v>
      </c>
      <c r="P24" s="43"/>
      <c r="Q24" s="39"/>
    </row>
    <row r="25" spans="2:17" ht="46" x14ac:dyDescent="0.25">
      <c r="B25" s="39" t="s">
        <v>865</v>
      </c>
      <c r="C25" s="43" t="s">
        <v>441</v>
      </c>
      <c r="D25" s="79" t="s">
        <v>200</v>
      </c>
      <c r="E25" s="13" t="s">
        <v>200</v>
      </c>
      <c r="F25" s="79">
        <v>1000000</v>
      </c>
      <c r="G25" s="13">
        <v>725800</v>
      </c>
      <c r="H25" s="41" t="s">
        <v>38</v>
      </c>
      <c r="I25" s="41" t="s">
        <v>39</v>
      </c>
      <c r="J25" s="41" t="s">
        <v>40</v>
      </c>
      <c r="K25" s="41" t="s">
        <v>41</v>
      </c>
      <c r="L25" s="41" t="s">
        <v>42</v>
      </c>
      <c r="M25" s="12" t="s">
        <v>442</v>
      </c>
      <c r="N25" s="42" t="s">
        <v>443</v>
      </c>
      <c r="O25" s="43" t="s">
        <v>68</v>
      </c>
      <c r="P25" s="43"/>
      <c r="Q25" s="39"/>
    </row>
    <row r="26" spans="2:17" ht="184" x14ac:dyDescent="0.25">
      <c r="B26" s="39" t="s">
        <v>865</v>
      </c>
      <c r="C26" s="43" t="s">
        <v>61</v>
      </c>
      <c r="D26" s="79" t="s">
        <v>200</v>
      </c>
      <c r="E26" s="13" t="s">
        <v>200</v>
      </c>
      <c r="F26" s="79">
        <v>783920.44952078932</v>
      </c>
      <c r="G26" s="13">
        <v>568969.4622621889</v>
      </c>
      <c r="H26" s="41" t="s">
        <v>38</v>
      </c>
      <c r="I26" s="41" t="s">
        <v>39</v>
      </c>
      <c r="J26" s="41" t="s">
        <v>40</v>
      </c>
      <c r="K26" s="41" t="s">
        <v>41</v>
      </c>
      <c r="L26" s="41" t="s">
        <v>42</v>
      </c>
      <c r="M26" s="12" t="s">
        <v>444</v>
      </c>
      <c r="N26" s="42" t="s">
        <v>445</v>
      </c>
      <c r="O26" s="43"/>
      <c r="P26" s="43"/>
      <c r="Q26" s="39"/>
    </row>
    <row r="27" spans="2:17" ht="264.5" x14ac:dyDescent="0.25">
      <c r="B27" s="39" t="s">
        <v>865</v>
      </c>
      <c r="C27" s="43" t="s">
        <v>88</v>
      </c>
      <c r="D27" s="79" t="s">
        <v>200</v>
      </c>
      <c r="E27" s="13" t="s">
        <v>200</v>
      </c>
      <c r="F27" s="79">
        <v>758035.76797743351</v>
      </c>
      <c r="G27" s="13">
        <v>550182.36039802129</v>
      </c>
      <c r="H27" s="41" t="s">
        <v>38</v>
      </c>
      <c r="I27" s="41" t="s">
        <v>39</v>
      </c>
      <c r="J27" s="41" t="s">
        <v>40</v>
      </c>
      <c r="K27" s="41" t="s">
        <v>41</v>
      </c>
      <c r="L27" s="41" t="s">
        <v>42</v>
      </c>
      <c r="M27" s="12" t="s">
        <v>446</v>
      </c>
      <c r="N27" s="42" t="s">
        <v>447</v>
      </c>
      <c r="O27" s="43"/>
      <c r="P27" s="43"/>
      <c r="Q27" s="39"/>
    </row>
    <row r="28" spans="2:17" ht="23" x14ac:dyDescent="0.25">
      <c r="B28" s="39" t="s">
        <v>865</v>
      </c>
      <c r="C28" s="43" t="s">
        <v>59</v>
      </c>
      <c r="D28" s="79" t="s">
        <v>200</v>
      </c>
      <c r="E28" s="13" t="s">
        <v>200</v>
      </c>
      <c r="F28" s="79">
        <v>740000.00000000012</v>
      </c>
      <c r="G28" s="13">
        <v>537092.00000000012</v>
      </c>
      <c r="H28" s="41" t="s">
        <v>38</v>
      </c>
      <c r="I28" s="41" t="s">
        <v>39</v>
      </c>
      <c r="J28" s="41" t="s">
        <v>40</v>
      </c>
      <c r="K28" s="41" t="s">
        <v>41</v>
      </c>
      <c r="L28" s="41" t="s">
        <v>42</v>
      </c>
      <c r="M28" s="43" t="s">
        <v>43</v>
      </c>
      <c r="N28" s="42" t="s">
        <v>60</v>
      </c>
      <c r="O28" s="43"/>
      <c r="P28" s="43"/>
      <c r="Q28" s="39"/>
    </row>
    <row r="29" spans="2:17" x14ac:dyDescent="0.25">
      <c r="B29" s="39" t="s">
        <v>865</v>
      </c>
      <c r="C29" s="43" t="s">
        <v>448</v>
      </c>
      <c r="D29" s="79" t="s">
        <v>200</v>
      </c>
      <c r="E29" s="13" t="s">
        <v>200</v>
      </c>
      <c r="F29" s="79">
        <v>730507.19545999996</v>
      </c>
      <c r="G29" s="13">
        <v>530202.12246486801</v>
      </c>
      <c r="H29" s="41" t="s">
        <v>38</v>
      </c>
      <c r="I29" s="41" t="s">
        <v>39</v>
      </c>
      <c r="J29" s="41" t="s">
        <v>40</v>
      </c>
      <c r="K29" s="41" t="s">
        <v>41</v>
      </c>
      <c r="L29" s="41" t="s">
        <v>42</v>
      </c>
      <c r="M29" s="43" t="s">
        <v>272</v>
      </c>
      <c r="N29" s="39">
        <v>12250</v>
      </c>
      <c r="O29" s="43"/>
      <c r="P29" s="43"/>
      <c r="Q29" s="39"/>
    </row>
    <row r="30" spans="2:17" x14ac:dyDescent="0.25">
      <c r="B30" s="39" t="s">
        <v>865</v>
      </c>
      <c r="C30" s="43" t="s">
        <v>449</v>
      </c>
      <c r="D30" s="79" t="s">
        <v>200</v>
      </c>
      <c r="E30" s="13" t="s">
        <v>200</v>
      </c>
      <c r="F30" s="79">
        <v>574699.54934620031</v>
      </c>
      <c r="G30" s="13">
        <v>417116.93291547219</v>
      </c>
      <c r="H30" s="41" t="s">
        <v>38</v>
      </c>
      <c r="I30" s="41" t="s">
        <v>39</v>
      </c>
      <c r="J30" s="41" t="s">
        <v>40</v>
      </c>
      <c r="K30" s="41" t="s">
        <v>41</v>
      </c>
      <c r="L30" s="41" t="s">
        <v>42</v>
      </c>
      <c r="M30" s="43" t="s">
        <v>272</v>
      </c>
      <c r="N30" s="39">
        <v>12110</v>
      </c>
      <c r="O30" s="43"/>
      <c r="P30" s="43"/>
      <c r="Q30" s="39"/>
    </row>
    <row r="31" spans="2:17" ht="69" x14ac:dyDescent="0.25">
      <c r="B31" s="39" t="s">
        <v>865</v>
      </c>
      <c r="C31" s="43" t="s">
        <v>77</v>
      </c>
      <c r="D31" s="79" t="s">
        <v>200</v>
      </c>
      <c r="E31" s="13" t="s">
        <v>200</v>
      </c>
      <c r="F31" s="79">
        <v>557059.16242598312</v>
      </c>
      <c r="G31" s="13">
        <v>404313.54008877854</v>
      </c>
      <c r="H31" s="41" t="s">
        <v>38</v>
      </c>
      <c r="I31" s="41" t="s">
        <v>39</v>
      </c>
      <c r="J31" s="41" t="s">
        <v>40</v>
      </c>
      <c r="K31" s="41" t="s">
        <v>41</v>
      </c>
      <c r="L31" s="41" t="s">
        <v>42</v>
      </c>
      <c r="M31" s="12" t="s">
        <v>450</v>
      </c>
      <c r="N31" s="42" t="s">
        <v>451</v>
      </c>
      <c r="O31" s="43"/>
      <c r="P31" s="43"/>
      <c r="Q31" s="39"/>
    </row>
    <row r="32" spans="2:17" x14ac:dyDescent="0.25">
      <c r="B32" s="39" t="s">
        <v>865</v>
      </c>
      <c r="C32" s="43" t="s">
        <v>69</v>
      </c>
      <c r="D32" s="79" t="s">
        <v>200</v>
      </c>
      <c r="E32" s="13" t="s">
        <v>200</v>
      </c>
      <c r="F32" s="79">
        <v>359050</v>
      </c>
      <c r="G32" s="13">
        <v>260598.49</v>
      </c>
      <c r="H32" s="41" t="s">
        <v>38</v>
      </c>
      <c r="I32" s="41" t="s">
        <v>39</v>
      </c>
      <c r="J32" s="41" t="s">
        <v>40</v>
      </c>
      <c r="K32" s="41" t="s">
        <v>41</v>
      </c>
      <c r="L32" s="41" t="s">
        <v>42</v>
      </c>
      <c r="M32" s="43" t="s">
        <v>43</v>
      </c>
      <c r="N32" s="42">
        <v>31110</v>
      </c>
      <c r="O32" s="43" t="s">
        <v>68</v>
      </c>
      <c r="P32" s="43"/>
      <c r="Q32" s="39"/>
    </row>
    <row r="33" spans="2:17" ht="161" x14ac:dyDescent="0.25">
      <c r="B33" s="39" t="s">
        <v>865</v>
      </c>
      <c r="C33" s="43" t="s">
        <v>85</v>
      </c>
      <c r="D33" s="79" t="s">
        <v>200</v>
      </c>
      <c r="E33" s="13" t="s">
        <v>200</v>
      </c>
      <c r="F33" s="79">
        <v>319471.36643812776</v>
      </c>
      <c r="G33" s="13">
        <v>231872.31776079314</v>
      </c>
      <c r="H33" s="41" t="s">
        <v>38</v>
      </c>
      <c r="I33" s="41" t="s">
        <v>39</v>
      </c>
      <c r="J33" s="41" t="s">
        <v>40</v>
      </c>
      <c r="K33" s="41" t="s">
        <v>41</v>
      </c>
      <c r="L33" s="41" t="s">
        <v>42</v>
      </c>
      <c r="M33" s="12" t="s">
        <v>452</v>
      </c>
      <c r="N33" s="42" t="s">
        <v>453</v>
      </c>
      <c r="O33" s="43"/>
      <c r="P33" s="43"/>
      <c r="Q33" s="39"/>
    </row>
    <row r="34" spans="2:17" ht="149.5" x14ac:dyDescent="0.25">
      <c r="B34" s="39" t="s">
        <v>865</v>
      </c>
      <c r="C34" s="43" t="s">
        <v>95</v>
      </c>
      <c r="D34" s="79" t="s">
        <v>200</v>
      </c>
      <c r="E34" s="13" t="s">
        <v>200</v>
      </c>
      <c r="F34" s="79">
        <v>314359.77955541312</v>
      </c>
      <c r="G34" s="13">
        <v>228162.32800131885</v>
      </c>
      <c r="H34" s="41" t="s">
        <v>38</v>
      </c>
      <c r="I34" s="41" t="s">
        <v>39</v>
      </c>
      <c r="J34" s="41" t="s">
        <v>40</v>
      </c>
      <c r="K34" s="41" t="s">
        <v>41</v>
      </c>
      <c r="L34" s="41" t="s">
        <v>42</v>
      </c>
      <c r="M34" s="12" t="s">
        <v>454</v>
      </c>
      <c r="N34" s="42" t="s">
        <v>455</v>
      </c>
      <c r="O34" s="43"/>
      <c r="P34" s="43"/>
      <c r="Q34" s="39"/>
    </row>
    <row r="35" spans="2:17" x14ac:dyDescent="0.25">
      <c r="B35" s="39" t="s">
        <v>865</v>
      </c>
      <c r="C35" s="43" t="s">
        <v>163</v>
      </c>
      <c r="D35" s="79" t="s">
        <v>200</v>
      </c>
      <c r="E35" s="13" t="s">
        <v>200</v>
      </c>
      <c r="F35" s="79">
        <v>249999.69947816592</v>
      </c>
      <c r="G35" s="13">
        <v>181449.78188125283</v>
      </c>
      <c r="H35" s="41" t="s">
        <v>38</v>
      </c>
      <c r="I35" s="41" t="s">
        <v>39</v>
      </c>
      <c r="J35" s="41" t="s">
        <v>40</v>
      </c>
      <c r="K35" s="41" t="s">
        <v>41</v>
      </c>
      <c r="L35" s="41" t="s">
        <v>42</v>
      </c>
      <c r="M35" s="43" t="s">
        <v>74</v>
      </c>
      <c r="N35" s="39">
        <v>25030</v>
      </c>
      <c r="O35" s="43"/>
      <c r="P35" s="43"/>
      <c r="Q35" s="39"/>
    </row>
    <row r="36" spans="2:17" ht="34.5" x14ac:dyDescent="0.25">
      <c r="B36" s="39" t="s">
        <v>865</v>
      </c>
      <c r="C36" s="43" t="s">
        <v>150</v>
      </c>
      <c r="D36" s="79" t="s">
        <v>200</v>
      </c>
      <c r="E36" s="13" t="s">
        <v>200</v>
      </c>
      <c r="F36" s="79">
        <v>236456.185</v>
      </c>
      <c r="G36" s="13">
        <v>171619.89907300001</v>
      </c>
      <c r="H36" s="41" t="s">
        <v>38</v>
      </c>
      <c r="I36" s="41" t="s">
        <v>39</v>
      </c>
      <c r="J36" s="41" t="s">
        <v>40</v>
      </c>
      <c r="K36" s="41" t="s">
        <v>41</v>
      </c>
      <c r="L36" s="41" t="s">
        <v>42</v>
      </c>
      <c r="M36" s="12" t="s">
        <v>78</v>
      </c>
      <c r="N36" s="42" t="s">
        <v>456</v>
      </c>
      <c r="O36" s="43"/>
      <c r="P36" s="43"/>
      <c r="Q36" s="39"/>
    </row>
    <row r="37" spans="2:17" ht="402.5" x14ac:dyDescent="0.25">
      <c r="B37" s="39" t="s">
        <v>865</v>
      </c>
      <c r="C37" s="43" t="s">
        <v>112</v>
      </c>
      <c r="D37" s="79" t="s">
        <v>200</v>
      </c>
      <c r="E37" s="13" t="s">
        <v>200</v>
      </c>
      <c r="F37" s="79">
        <v>203950.93135198017</v>
      </c>
      <c r="G37" s="13">
        <v>148027.5859752672</v>
      </c>
      <c r="H37" s="41" t="s">
        <v>38</v>
      </c>
      <c r="I37" s="41" t="s">
        <v>39</v>
      </c>
      <c r="J37" s="41" t="s">
        <v>40</v>
      </c>
      <c r="K37" s="41" t="s">
        <v>41</v>
      </c>
      <c r="L37" s="41" t="s">
        <v>42</v>
      </c>
      <c r="M37" s="12" t="s">
        <v>457</v>
      </c>
      <c r="N37" s="42" t="s">
        <v>458</v>
      </c>
      <c r="O37" s="43"/>
      <c r="P37" s="43"/>
      <c r="Q37" s="39"/>
    </row>
    <row r="38" spans="2:17" ht="241.5" x14ac:dyDescent="0.25">
      <c r="B38" s="39" t="s">
        <v>865</v>
      </c>
      <c r="C38" s="43" t="s">
        <v>82</v>
      </c>
      <c r="D38" s="79" t="s">
        <v>200</v>
      </c>
      <c r="E38" s="13" t="s">
        <v>200</v>
      </c>
      <c r="F38" s="79">
        <v>189350.14604327356</v>
      </c>
      <c r="G38" s="13">
        <v>137430.33599820794</v>
      </c>
      <c r="H38" s="41" t="s">
        <v>38</v>
      </c>
      <c r="I38" s="41" t="s">
        <v>39</v>
      </c>
      <c r="J38" s="41" t="s">
        <v>40</v>
      </c>
      <c r="K38" s="41" t="s">
        <v>41</v>
      </c>
      <c r="L38" s="41" t="s">
        <v>42</v>
      </c>
      <c r="M38" s="12" t="s">
        <v>459</v>
      </c>
      <c r="N38" s="42" t="s">
        <v>460</v>
      </c>
      <c r="O38" s="43"/>
      <c r="P38" s="43"/>
      <c r="Q38" s="39"/>
    </row>
    <row r="39" spans="2:17" ht="230" x14ac:dyDescent="0.25">
      <c r="B39" s="39" t="s">
        <v>865</v>
      </c>
      <c r="C39" s="43" t="s">
        <v>109</v>
      </c>
      <c r="D39" s="79" t="s">
        <v>200</v>
      </c>
      <c r="E39" s="13" t="s">
        <v>200</v>
      </c>
      <c r="F39" s="79">
        <v>173621.53681774388</v>
      </c>
      <c r="G39" s="13">
        <v>126014.51142231851</v>
      </c>
      <c r="H39" s="41" t="s">
        <v>38</v>
      </c>
      <c r="I39" s="41" t="s">
        <v>39</v>
      </c>
      <c r="J39" s="41" t="s">
        <v>40</v>
      </c>
      <c r="K39" s="41" t="s">
        <v>41</v>
      </c>
      <c r="L39" s="41" t="s">
        <v>42</v>
      </c>
      <c r="M39" s="12" t="s">
        <v>461</v>
      </c>
      <c r="N39" s="42" t="s">
        <v>462</v>
      </c>
      <c r="O39" s="43"/>
      <c r="P39" s="43"/>
      <c r="Q39" s="39"/>
    </row>
    <row r="40" spans="2:17" ht="57.5" x14ac:dyDescent="0.25">
      <c r="B40" s="39" t="s">
        <v>865</v>
      </c>
      <c r="C40" s="43" t="s">
        <v>121</v>
      </c>
      <c r="D40" s="79" t="s">
        <v>200</v>
      </c>
      <c r="E40" s="13" t="s">
        <v>200</v>
      </c>
      <c r="F40" s="79">
        <v>139668.45000000001</v>
      </c>
      <c r="G40" s="13">
        <v>101371.36101000001</v>
      </c>
      <c r="H40" s="41" t="s">
        <v>38</v>
      </c>
      <c r="I40" s="41" t="s">
        <v>39</v>
      </c>
      <c r="J40" s="41" t="s">
        <v>40</v>
      </c>
      <c r="K40" s="41" t="s">
        <v>41</v>
      </c>
      <c r="L40" s="41" t="s">
        <v>42</v>
      </c>
      <c r="M40" s="12" t="s">
        <v>463</v>
      </c>
      <c r="N40" s="42" t="s">
        <v>464</v>
      </c>
      <c r="O40" s="43"/>
      <c r="P40" s="43"/>
      <c r="Q40" s="39"/>
    </row>
    <row r="41" spans="2:17" ht="92" x14ac:dyDescent="0.25">
      <c r="B41" s="39" t="s">
        <v>865</v>
      </c>
      <c r="C41" s="43" t="s">
        <v>154</v>
      </c>
      <c r="D41" s="79" t="s">
        <v>200</v>
      </c>
      <c r="E41" s="13" t="s">
        <v>200</v>
      </c>
      <c r="F41" s="79">
        <v>138799.18197364153</v>
      </c>
      <c r="G41" s="13">
        <v>100740.44627646903</v>
      </c>
      <c r="H41" s="41" t="s">
        <v>38</v>
      </c>
      <c r="I41" s="41" t="s">
        <v>39</v>
      </c>
      <c r="J41" s="41" t="s">
        <v>40</v>
      </c>
      <c r="K41" s="41" t="s">
        <v>41</v>
      </c>
      <c r="L41" s="41" t="s">
        <v>42</v>
      </c>
      <c r="M41" s="12" t="s">
        <v>465</v>
      </c>
      <c r="N41" s="42" t="s">
        <v>466</v>
      </c>
      <c r="O41" s="43"/>
      <c r="P41" s="43"/>
      <c r="Q41" s="39"/>
    </row>
    <row r="42" spans="2:17" ht="409.5" x14ac:dyDescent="0.25">
      <c r="B42" s="39" t="s">
        <v>865</v>
      </c>
      <c r="C42" s="43" t="s">
        <v>467</v>
      </c>
      <c r="D42" s="79" t="s">
        <v>200</v>
      </c>
      <c r="E42" s="13" t="s">
        <v>200</v>
      </c>
      <c r="F42" s="79">
        <v>115743.31776439518</v>
      </c>
      <c r="G42" s="13">
        <v>84006.500033398028</v>
      </c>
      <c r="H42" s="41" t="s">
        <v>38</v>
      </c>
      <c r="I42" s="41" t="s">
        <v>39</v>
      </c>
      <c r="J42" s="41" t="s">
        <v>40</v>
      </c>
      <c r="K42" s="41" t="s">
        <v>41</v>
      </c>
      <c r="L42" s="41" t="s">
        <v>42</v>
      </c>
      <c r="M42" s="12" t="s">
        <v>468</v>
      </c>
      <c r="N42" s="42" t="s">
        <v>469</v>
      </c>
      <c r="O42" s="43"/>
      <c r="P42" s="43"/>
      <c r="Q42" s="39"/>
    </row>
    <row r="43" spans="2:17" ht="184" x14ac:dyDescent="0.25">
      <c r="B43" s="39" t="s">
        <v>865</v>
      </c>
      <c r="C43" s="43" t="s">
        <v>139</v>
      </c>
      <c r="D43" s="79" t="s">
        <v>200</v>
      </c>
      <c r="E43" s="13" t="s">
        <v>200</v>
      </c>
      <c r="F43" s="79">
        <v>110399.21728386178</v>
      </c>
      <c r="G43" s="13">
        <v>80127.751904626886</v>
      </c>
      <c r="H43" s="41" t="s">
        <v>38</v>
      </c>
      <c r="I43" s="41" t="s">
        <v>39</v>
      </c>
      <c r="J43" s="41" t="s">
        <v>40</v>
      </c>
      <c r="K43" s="41" t="s">
        <v>41</v>
      </c>
      <c r="L43" s="41" t="s">
        <v>42</v>
      </c>
      <c r="M43" s="12" t="s">
        <v>470</v>
      </c>
      <c r="N43" s="42" t="s">
        <v>471</v>
      </c>
      <c r="O43" s="43"/>
      <c r="P43" s="43"/>
      <c r="Q43" s="39"/>
    </row>
    <row r="44" spans="2:17" ht="184" x14ac:dyDescent="0.25">
      <c r="B44" s="39" t="s">
        <v>865</v>
      </c>
      <c r="C44" s="43" t="s">
        <v>142</v>
      </c>
      <c r="D44" s="79" t="s">
        <v>200</v>
      </c>
      <c r="E44" s="13" t="s">
        <v>200</v>
      </c>
      <c r="F44" s="79">
        <v>86197.552861995486</v>
      </c>
      <c r="G44" s="13">
        <v>62562.183867236323</v>
      </c>
      <c r="H44" s="41" t="s">
        <v>38</v>
      </c>
      <c r="I44" s="41" t="s">
        <v>39</v>
      </c>
      <c r="J44" s="41" t="s">
        <v>40</v>
      </c>
      <c r="K44" s="41" t="s">
        <v>41</v>
      </c>
      <c r="L44" s="41" t="s">
        <v>42</v>
      </c>
      <c r="M44" s="12" t="s">
        <v>472</v>
      </c>
      <c r="N44" s="42" t="s">
        <v>473</v>
      </c>
      <c r="O44" s="43"/>
      <c r="P44" s="43"/>
      <c r="Q44" s="39"/>
    </row>
    <row r="45" spans="2:17" ht="299" x14ac:dyDescent="0.25">
      <c r="B45" s="39" t="s">
        <v>865</v>
      </c>
      <c r="C45" s="43" t="s">
        <v>115</v>
      </c>
      <c r="D45" s="79" t="s">
        <v>200</v>
      </c>
      <c r="E45" s="13" t="s">
        <v>200</v>
      </c>
      <c r="F45" s="79">
        <v>85499.159511999969</v>
      </c>
      <c r="G45" s="13">
        <v>62055.28997380958</v>
      </c>
      <c r="H45" s="41" t="s">
        <v>38</v>
      </c>
      <c r="I45" s="41" t="s">
        <v>39</v>
      </c>
      <c r="J45" s="41" t="s">
        <v>40</v>
      </c>
      <c r="K45" s="41" t="s">
        <v>41</v>
      </c>
      <c r="L45" s="41" t="s">
        <v>42</v>
      </c>
      <c r="M45" s="12" t="s">
        <v>474</v>
      </c>
      <c r="N45" s="42" t="s">
        <v>475</v>
      </c>
      <c r="O45" s="43"/>
      <c r="P45" s="43"/>
      <c r="Q45" s="39"/>
    </row>
    <row r="46" spans="2:17" ht="253" x14ac:dyDescent="0.25">
      <c r="B46" s="39" t="s">
        <v>865</v>
      </c>
      <c r="C46" s="43" t="s">
        <v>134</v>
      </c>
      <c r="D46" s="79" t="s">
        <v>200</v>
      </c>
      <c r="E46" s="13" t="s">
        <v>200</v>
      </c>
      <c r="F46" s="79">
        <v>75762.106072271039</v>
      </c>
      <c r="G46" s="13">
        <v>54988.136587254317</v>
      </c>
      <c r="H46" s="41" t="s">
        <v>38</v>
      </c>
      <c r="I46" s="41" t="s">
        <v>39</v>
      </c>
      <c r="J46" s="41" t="s">
        <v>40</v>
      </c>
      <c r="K46" s="41" t="s">
        <v>41</v>
      </c>
      <c r="L46" s="41" t="s">
        <v>42</v>
      </c>
      <c r="M46" s="12" t="s">
        <v>476</v>
      </c>
      <c r="N46" s="42" t="s">
        <v>477</v>
      </c>
      <c r="O46" s="43"/>
      <c r="P46" s="43"/>
      <c r="Q46" s="39"/>
    </row>
    <row r="47" spans="2:17" ht="69" x14ac:dyDescent="0.25">
      <c r="B47" s="39" t="s">
        <v>865</v>
      </c>
      <c r="C47" s="43" t="s">
        <v>126</v>
      </c>
      <c r="D47" s="79" t="s">
        <v>200</v>
      </c>
      <c r="E47" s="13" t="s">
        <v>200</v>
      </c>
      <c r="F47" s="79">
        <v>54414.778829545568</v>
      </c>
      <c r="G47" s="13">
        <v>39494.246474484171</v>
      </c>
      <c r="H47" s="41" t="s">
        <v>38</v>
      </c>
      <c r="I47" s="41" t="s">
        <v>39</v>
      </c>
      <c r="J47" s="41" t="s">
        <v>40</v>
      </c>
      <c r="K47" s="41" t="s">
        <v>41</v>
      </c>
      <c r="L47" s="41" t="s">
        <v>42</v>
      </c>
      <c r="M47" s="12" t="s">
        <v>478</v>
      </c>
      <c r="N47" s="42" t="s">
        <v>479</v>
      </c>
      <c r="O47" s="43"/>
      <c r="P47" s="43"/>
      <c r="Q47" s="39"/>
    </row>
    <row r="48" spans="2:17" ht="23" x14ac:dyDescent="0.25">
      <c r="B48" s="39" t="s">
        <v>865</v>
      </c>
      <c r="C48" s="43" t="s">
        <v>480</v>
      </c>
      <c r="D48" s="79" t="s">
        <v>200</v>
      </c>
      <c r="E48" s="13" t="s">
        <v>200</v>
      </c>
      <c r="F48" s="79">
        <v>47191.82</v>
      </c>
      <c r="G48" s="13">
        <v>34251.822955999996</v>
      </c>
      <c r="H48" s="41" t="s">
        <v>38</v>
      </c>
      <c r="I48" s="41" t="s">
        <v>39</v>
      </c>
      <c r="J48" s="41" t="s">
        <v>40</v>
      </c>
      <c r="K48" s="41" t="s">
        <v>41</v>
      </c>
      <c r="L48" s="41" t="s">
        <v>42</v>
      </c>
      <c r="M48" s="43" t="s">
        <v>217</v>
      </c>
      <c r="N48" s="39">
        <v>15170</v>
      </c>
      <c r="O48" s="43"/>
      <c r="P48" s="43"/>
      <c r="Q48" s="39"/>
    </row>
    <row r="49" spans="1:17" x14ac:dyDescent="0.25">
      <c r="B49" s="39" t="s">
        <v>865</v>
      </c>
      <c r="C49" s="43" t="s">
        <v>481</v>
      </c>
      <c r="D49" s="79" t="s">
        <v>200</v>
      </c>
      <c r="E49" s="13" t="s">
        <v>200</v>
      </c>
      <c r="F49" s="79">
        <v>37500.645700499997</v>
      </c>
      <c r="G49" s="13">
        <v>27217.968649422899</v>
      </c>
      <c r="H49" s="41" t="s">
        <v>38</v>
      </c>
      <c r="I49" s="41" t="s">
        <v>39</v>
      </c>
      <c r="J49" s="41" t="s">
        <v>40</v>
      </c>
      <c r="K49" s="41" t="s">
        <v>41</v>
      </c>
      <c r="L49" s="41" t="s">
        <v>42</v>
      </c>
      <c r="M49" s="43" t="s">
        <v>272</v>
      </c>
      <c r="N49" s="39">
        <v>12250</v>
      </c>
      <c r="O49" s="43"/>
      <c r="P49" s="43"/>
      <c r="Q49" s="39"/>
    </row>
    <row r="50" spans="1:17" ht="126.5" x14ac:dyDescent="0.25">
      <c r="B50" s="39" t="s">
        <v>865</v>
      </c>
      <c r="C50" s="43" t="s">
        <v>482</v>
      </c>
      <c r="D50" s="79" t="s">
        <v>200</v>
      </c>
      <c r="E50" s="13" t="s">
        <v>200</v>
      </c>
      <c r="F50" s="79">
        <v>36364.341448000006</v>
      </c>
      <c r="G50" s="13">
        <v>26393.239022958405</v>
      </c>
      <c r="H50" s="41" t="s">
        <v>38</v>
      </c>
      <c r="I50" s="41" t="s">
        <v>39</v>
      </c>
      <c r="J50" s="41" t="s">
        <v>40</v>
      </c>
      <c r="K50" s="41" t="s">
        <v>41</v>
      </c>
      <c r="L50" s="41" t="s">
        <v>42</v>
      </c>
      <c r="M50" s="12" t="s">
        <v>483</v>
      </c>
      <c r="N50" s="42" t="s">
        <v>484</v>
      </c>
      <c r="O50" s="43"/>
      <c r="P50" s="43"/>
      <c r="Q50" s="39"/>
    </row>
    <row r="51" spans="1:17" ht="138" x14ac:dyDescent="0.25">
      <c r="A51" s="45"/>
      <c r="B51" s="39" t="s">
        <v>865</v>
      </c>
      <c r="C51" s="43" t="s">
        <v>136</v>
      </c>
      <c r="D51" s="79" t="s">
        <v>200</v>
      </c>
      <c r="E51" s="13" t="s">
        <v>200</v>
      </c>
      <c r="F51" s="79">
        <v>34731.167310708217</v>
      </c>
      <c r="G51" s="13">
        <v>25207.881234112025</v>
      </c>
      <c r="H51" s="41" t="s">
        <v>38</v>
      </c>
      <c r="I51" s="41" t="s">
        <v>39</v>
      </c>
      <c r="J51" s="41" t="s">
        <v>40</v>
      </c>
      <c r="K51" s="41" t="s">
        <v>41</v>
      </c>
      <c r="L51" s="41" t="s">
        <v>42</v>
      </c>
      <c r="M51" s="12" t="s">
        <v>485</v>
      </c>
      <c r="N51" s="42" t="s">
        <v>486</v>
      </c>
      <c r="O51" s="43"/>
      <c r="P51" s="43"/>
      <c r="Q51" s="39"/>
    </row>
    <row r="52" spans="1:17" ht="69" x14ac:dyDescent="0.25">
      <c r="A52" s="47"/>
      <c r="B52" s="39" t="s">
        <v>865</v>
      </c>
      <c r="C52" s="43" t="s">
        <v>487</v>
      </c>
      <c r="D52" s="79" t="s">
        <v>200</v>
      </c>
      <c r="E52" s="13" t="s">
        <v>200</v>
      </c>
      <c r="F52" s="79">
        <v>16781.153610000001</v>
      </c>
      <c r="G52" s="13">
        <v>12179.761290138002</v>
      </c>
      <c r="H52" s="41" t="s">
        <v>38</v>
      </c>
      <c r="I52" s="41" t="s">
        <v>39</v>
      </c>
      <c r="J52" s="41" t="s">
        <v>40</v>
      </c>
      <c r="K52" s="41" t="s">
        <v>41</v>
      </c>
      <c r="L52" s="41" t="s">
        <v>42</v>
      </c>
      <c r="M52" s="12" t="s">
        <v>488</v>
      </c>
      <c r="N52" s="42" t="s">
        <v>489</v>
      </c>
      <c r="O52" s="43"/>
      <c r="P52" s="43"/>
      <c r="Q52" s="39"/>
    </row>
    <row r="53" spans="1:17" ht="126.5" x14ac:dyDescent="0.25">
      <c r="A53" s="47"/>
      <c r="B53" s="39" t="s">
        <v>865</v>
      </c>
      <c r="C53" s="43" t="s">
        <v>147</v>
      </c>
      <c r="D53" s="79" t="s">
        <v>200</v>
      </c>
      <c r="E53" s="13" t="s">
        <v>200</v>
      </c>
      <c r="F53" s="79">
        <v>10000.22912</v>
      </c>
      <c r="G53" s="13">
        <v>7258.1662952959996</v>
      </c>
      <c r="H53" s="41" t="s">
        <v>38</v>
      </c>
      <c r="I53" s="41" t="s">
        <v>39</v>
      </c>
      <c r="J53" s="41" t="s">
        <v>40</v>
      </c>
      <c r="K53" s="41" t="s">
        <v>41</v>
      </c>
      <c r="L53" s="41" t="s">
        <v>42</v>
      </c>
      <c r="M53" s="12" t="s">
        <v>490</v>
      </c>
      <c r="N53" s="42" t="s">
        <v>491</v>
      </c>
      <c r="O53" s="43"/>
      <c r="P53" s="43"/>
      <c r="Q53" s="39"/>
    </row>
    <row r="54" spans="1:17" ht="172.5" x14ac:dyDescent="0.25">
      <c r="A54" s="47"/>
      <c r="B54" s="39" t="s">
        <v>865</v>
      </c>
      <c r="C54" s="43" t="s">
        <v>492</v>
      </c>
      <c r="D54" s="79" t="s">
        <v>200</v>
      </c>
      <c r="E54" s="13" t="s">
        <v>200</v>
      </c>
      <c r="F54" s="79">
        <v>6603.646788826868</v>
      </c>
      <c r="G54" s="13">
        <v>4792.926839330541</v>
      </c>
      <c r="H54" s="41" t="s">
        <v>38</v>
      </c>
      <c r="I54" s="41" t="s">
        <v>39</v>
      </c>
      <c r="J54" s="41" t="s">
        <v>40</v>
      </c>
      <c r="K54" s="41" t="s">
        <v>41</v>
      </c>
      <c r="L54" s="41" t="s">
        <v>42</v>
      </c>
      <c r="M54" s="12" t="s">
        <v>493</v>
      </c>
      <c r="N54" s="42" t="s">
        <v>494</v>
      </c>
      <c r="O54" s="43"/>
      <c r="P54" s="43"/>
      <c r="Q54" s="39"/>
    </row>
    <row r="55" spans="1:17" ht="138" x14ac:dyDescent="0.25">
      <c r="A55" s="47"/>
      <c r="B55" s="39" t="s">
        <v>865</v>
      </c>
      <c r="C55" s="43" t="s">
        <v>131</v>
      </c>
      <c r="D55" s="79" t="s">
        <v>200</v>
      </c>
      <c r="E55" s="13" t="s">
        <v>200</v>
      </c>
      <c r="F55" s="79">
        <v>4611.5879649632761</v>
      </c>
      <c r="G55" s="13">
        <v>3347.0905449703459</v>
      </c>
      <c r="H55" s="41" t="s">
        <v>38</v>
      </c>
      <c r="I55" s="41" t="s">
        <v>39</v>
      </c>
      <c r="J55" s="41" t="s">
        <v>40</v>
      </c>
      <c r="K55" s="41" t="s">
        <v>41</v>
      </c>
      <c r="L55" s="41" t="s">
        <v>42</v>
      </c>
      <c r="M55" s="12" t="s">
        <v>495</v>
      </c>
      <c r="N55" s="42" t="s">
        <v>496</v>
      </c>
      <c r="O55" s="43"/>
      <c r="P55" s="43"/>
      <c r="Q55" s="39"/>
    </row>
    <row r="56" spans="1:17" ht="161" x14ac:dyDescent="0.25">
      <c r="A56" s="47"/>
      <c r="B56" s="39" t="s">
        <v>865</v>
      </c>
      <c r="C56" s="43" t="s">
        <v>497</v>
      </c>
      <c r="D56" s="79" t="s">
        <v>200</v>
      </c>
      <c r="E56" s="13" t="s">
        <v>200</v>
      </c>
      <c r="F56" s="79">
        <v>4541.9677416967033</v>
      </c>
      <c r="G56" s="13">
        <v>3296.5601869234674</v>
      </c>
      <c r="H56" s="41" t="s">
        <v>38</v>
      </c>
      <c r="I56" s="41" t="s">
        <v>39</v>
      </c>
      <c r="J56" s="41" t="s">
        <v>40</v>
      </c>
      <c r="K56" s="41" t="s">
        <v>41</v>
      </c>
      <c r="L56" s="41" t="s">
        <v>42</v>
      </c>
      <c r="M56" s="12" t="s">
        <v>498</v>
      </c>
      <c r="N56" s="42" t="s">
        <v>499</v>
      </c>
      <c r="O56" s="43"/>
      <c r="P56" s="43"/>
      <c r="Q56" s="39"/>
    </row>
    <row r="57" spans="1:17" ht="161" x14ac:dyDescent="0.25">
      <c r="A57" s="47"/>
      <c r="B57" s="39" t="s">
        <v>865</v>
      </c>
      <c r="C57" s="43" t="s">
        <v>156</v>
      </c>
      <c r="D57" s="79" t="s">
        <v>200</v>
      </c>
      <c r="E57" s="13" t="s">
        <v>200</v>
      </c>
      <c r="F57" s="79">
        <v>4474.8990920934029</v>
      </c>
      <c r="G57" s="13">
        <v>3247.8817610413917</v>
      </c>
      <c r="H57" s="41" t="s">
        <v>38</v>
      </c>
      <c r="I57" s="41" t="s">
        <v>39</v>
      </c>
      <c r="J57" s="41" t="s">
        <v>40</v>
      </c>
      <c r="K57" s="41" t="s">
        <v>41</v>
      </c>
      <c r="L57" s="41" t="s">
        <v>42</v>
      </c>
      <c r="M57" s="12" t="s">
        <v>500</v>
      </c>
      <c r="N57" s="42" t="s">
        <v>501</v>
      </c>
      <c r="O57" s="43"/>
      <c r="P57" s="43"/>
      <c r="Q57" s="39"/>
    </row>
    <row r="58" spans="1:17" ht="103.5" x14ac:dyDescent="0.25">
      <c r="A58" s="47"/>
      <c r="B58" s="39" t="s">
        <v>865</v>
      </c>
      <c r="C58" s="43" t="s">
        <v>157</v>
      </c>
      <c r="D58" s="79" t="s">
        <v>200</v>
      </c>
      <c r="E58" s="13" t="s">
        <v>200</v>
      </c>
      <c r="F58" s="79">
        <v>1000.0499999999998</v>
      </c>
      <c r="G58" s="13">
        <v>725.83628999999985</v>
      </c>
      <c r="H58" s="41" t="s">
        <v>38</v>
      </c>
      <c r="I58" s="41" t="s">
        <v>39</v>
      </c>
      <c r="J58" s="41" t="s">
        <v>40</v>
      </c>
      <c r="K58" s="41" t="s">
        <v>41</v>
      </c>
      <c r="L58" s="41" t="s">
        <v>42</v>
      </c>
      <c r="M58" s="12" t="s">
        <v>502</v>
      </c>
      <c r="N58" s="42" t="s">
        <v>503</v>
      </c>
      <c r="O58" s="43"/>
      <c r="P58" s="43"/>
      <c r="Q58" s="39"/>
    </row>
    <row r="59" spans="1:17" ht="23" x14ac:dyDescent="0.25">
      <c r="A59" s="47"/>
      <c r="B59" s="39" t="s">
        <v>865</v>
      </c>
      <c r="C59" s="43" t="s">
        <v>178</v>
      </c>
      <c r="D59" s="79" t="s">
        <v>200</v>
      </c>
      <c r="E59" s="13" t="s">
        <v>200</v>
      </c>
      <c r="F59" s="79">
        <v>20000000</v>
      </c>
      <c r="G59" s="13">
        <v>14516000</v>
      </c>
      <c r="H59" s="41" t="s">
        <v>38</v>
      </c>
      <c r="I59" s="41" t="s">
        <v>39</v>
      </c>
      <c r="J59" s="41" t="s">
        <v>40</v>
      </c>
      <c r="K59" s="41" t="s">
        <v>41</v>
      </c>
      <c r="L59" s="41" t="s">
        <v>159</v>
      </c>
      <c r="M59" s="43" t="s">
        <v>76</v>
      </c>
      <c r="N59" s="39">
        <v>41010</v>
      </c>
      <c r="O59" s="43" t="s">
        <v>68</v>
      </c>
      <c r="P59" s="43"/>
      <c r="Q59" s="39"/>
    </row>
    <row r="60" spans="1:17" ht="69" x14ac:dyDescent="0.25">
      <c r="A60" s="47"/>
      <c r="B60" s="39" t="s">
        <v>865</v>
      </c>
      <c r="C60" s="43" t="s">
        <v>504</v>
      </c>
      <c r="D60" s="79" t="s">
        <v>200</v>
      </c>
      <c r="E60" s="13" t="s">
        <v>200</v>
      </c>
      <c r="F60" s="79">
        <v>4595500</v>
      </c>
      <c r="G60" s="13">
        <v>3335413.9</v>
      </c>
      <c r="H60" s="41" t="s">
        <v>38</v>
      </c>
      <c r="I60" s="41" t="s">
        <v>39</v>
      </c>
      <c r="J60" s="41" t="s">
        <v>40</v>
      </c>
      <c r="K60" s="41" t="s">
        <v>41</v>
      </c>
      <c r="L60" s="41" t="s">
        <v>159</v>
      </c>
      <c r="M60" s="43" t="s">
        <v>300</v>
      </c>
      <c r="N60" s="42" t="s">
        <v>505</v>
      </c>
      <c r="O60" s="43" t="s">
        <v>68</v>
      </c>
      <c r="P60" s="43"/>
      <c r="Q60" s="39"/>
    </row>
    <row r="61" spans="1:17" x14ac:dyDescent="0.25">
      <c r="A61" s="48"/>
      <c r="B61" s="39" t="s">
        <v>865</v>
      </c>
      <c r="C61" s="43" t="s">
        <v>73</v>
      </c>
      <c r="D61" s="79" t="s">
        <v>200</v>
      </c>
      <c r="E61" s="13" t="s">
        <v>200</v>
      </c>
      <c r="F61" s="79">
        <v>3821149.2049999996</v>
      </c>
      <c r="G61" s="13">
        <v>2773390.0929889996</v>
      </c>
      <c r="H61" s="41" t="s">
        <v>38</v>
      </c>
      <c r="I61" s="41" t="s">
        <v>39</v>
      </c>
      <c r="J61" s="41" t="s">
        <v>40</v>
      </c>
      <c r="K61" s="41" t="s">
        <v>41</v>
      </c>
      <c r="L61" s="41" t="s">
        <v>159</v>
      </c>
      <c r="M61" s="43" t="s">
        <v>74</v>
      </c>
      <c r="N61" s="39">
        <v>25010</v>
      </c>
      <c r="O61" s="43"/>
      <c r="P61" s="43"/>
      <c r="Q61" s="39"/>
    </row>
    <row r="62" spans="1:17" ht="12" x14ac:dyDescent="0.25">
      <c r="A62" s="49"/>
      <c r="B62" s="39" t="s">
        <v>865</v>
      </c>
      <c r="C62" s="43" t="s">
        <v>163</v>
      </c>
      <c r="D62" s="79" t="s">
        <v>200</v>
      </c>
      <c r="E62" s="13" t="s">
        <v>200</v>
      </c>
      <c r="F62" s="79">
        <v>1934600.2259618342</v>
      </c>
      <c r="G62" s="13">
        <v>1404132.8440030992</v>
      </c>
      <c r="H62" s="41" t="s">
        <v>38</v>
      </c>
      <c r="I62" s="41" t="s">
        <v>39</v>
      </c>
      <c r="J62" s="41" t="s">
        <v>40</v>
      </c>
      <c r="K62" s="41" t="s">
        <v>41</v>
      </c>
      <c r="L62" s="41" t="s">
        <v>159</v>
      </c>
      <c r="M62" s="43" t="s">
        <v>74</v>
      </c>
      <c r="N62" s="39">
        <v>25030</v>
      </c>
      <c r="O62" s="43"/>
      <c r="P62" s="43"/>
      <c r="Q62" s="39"/>
    </row>
    <row r="63" spans="1:17" ht="46" x14ac:dyDescent="0.25">
      <c r="A63" s="48"/>
      <c r="B63" s="39" t="s">
        <v>865</v>
      </c>
      <c r="C63" s="43" t="s">
        <v>49</v>
      </c>
      <c r="D63" s="79" t="s">
        <v>200</v>
      </c>
      <c r="E63" s="13" t="s">
        <v>200</v>
      </c>
      <c r="F63" s="79">
        <v>1022951.4250000002</v>
      </c>
      <c r="G63" s="13">
        <v>742458.14426500013</v>
      </c>
      <c r="H63" s="41" t="s">
        <v>38</v>
      </c>
      <c r="I63" s="41" t="s">
        <v>39</v>
      </c>
      <c r="J63" s="41" t="s">
        <v>40</v>
      </c>
      <c r="K63" s="41" t="s">
        <v>41</v>
      </c>
      <c r="L63" s="41" t="s">
        <v>159</v>
      </c>
      <c r="M63" s="43" t="s">
        <v>439</v>
      </c>
      <c r="N63" s="42" t="s">
        <v>506</v>
      </c>
      <c r="O63" s="43" t="s">
        <v>68</v>
      </c>
      <c r="P63" s="43"/>
      <c r="Q63" s="39"/>
    </row>
    <row r="64" spans="1:17" ht="409.5" x14ac:dyDescent="0.25">
      <c r="A64" s="48"/>
      <c r="B64" s="39" t="s">
        <v>865</v>
      </c>
      <c r="C64" s="43" t="s">
        <v>467</v>
      </c>
      <c r="D64" s="79" t="s">
        <v>200</v>
      </c>
      <c r="E64" s="13" t="s">
        <v>200</v>
      </c>
      <c r="F64" s="79">
        <v>298718.0942302015</v>
      </c>
      <c r="G64" s="13">
        <v>216809.59279228025</v>
      </c>
      <c r="H64" s="41" t="s">
        <v>38</v>
      </c>
      <c r="I64" s="41" t="s">
        <v>39</v>
      </c>
      <c r="J64" s="41" t="s">
        <v>40</v>
      </c>
      <c r="K64" s="41" t="s">
        <v>41</v>
      </c>
      <c r="L64" s="41" t="s">
        <v>159</v>
      </c>
      <c r="M64" s="12" t="s">
        <v>468</v>
      </c>
      <c r="N64" s="42" t="s">
        <v>507</v>
      </c>
      <c r="O64" s="43"/>
      <c r="P64" s="43"/>
      <c r="Q64" s="39"/>
    </row>
    <row r="65" spans="2:17" ht="149.5" x14ac:dyDescent="0.25">
      <c r="B65" s="39" t="s">
        <v>865</v>
      </c>
      <c r="C65" s="43" t="s">
        <v>95</v>
      </c>
      <c r="D65" s="79" t="s">
        <v>200</v>
      </c>
      <c r="E65" s="13" t="s">
        <v>200</v>
      </c>
      <c r="F65" s="79">
        <v>102277.65985535266</v>
      </c>
      <c r="G65" s="13">
        <v>74233.125523014955</v>
      </c>
      <c r="H65" s="41" t="s">
        <v>38</v>
      </c>
      <c r="I65" s="41" t="s">
        <v>39</v>
      </c>
      <c r="J65" s="41" t="s">
        <v>40</v>
      </c>
      <c r="K65" s="41" t="s">
        <v>41</v>
      </c>
      <c r="L65" s="41" t="s">
        <v>159</v>
      </c>
      <c r="M65" s="43" t="s">
        <v>454</v>
      </c>
      <c r="N65" s="42" t="s">
        <v>455</v>
      </c>
      <c r="O65" s="43"/>
      <c r="P65" s="43"/>
      <c r="Q65" s="39"/>
    </row>
    <row r="66" spans="2:17" ht="161" x14ac:dyDescent="0.25">
      <c r="B66" s="39" t="s">
        <v>865</v>
      </c>
      <c r="C66" s="43" t="s">
        <v>85</v>
      </c>
      <c r="D66" s="79" t="s">
        <v>200</v>
      </c>
      <c r="E66" s="13" t="s">
        <v>200</v>
      </c>
      <c r="F66" s="79">
        <v>101004.62887387224</v>
      </c>
      <c r="G66" s="13">
        <v>73309.159636656463</v>
      </c>
      <c r="H66" s="41" t="s">
        <v>38</v>
      </c>
      <c r="I66" s="41" t="s">
        <v>39</v>
      </c>
      <c r="J66" s="41" t="s">
        <v>40</v>
      </c>
      <c r="K66" s="41" t="s">
        <v>41</v>
      </c>
      <c r="L66" s="41" t="s">
        <v>159</v>
      </c>
      <c r="M66" s="43" t="s">
        <v>452</v>
      </c>
      <c r="N66" s="42" t="s">
        <v>453</v>
      </c>
      <c r="O66" s="43"/>
      <c r="P66" s="43"/>
      <c r="Q66" s="39"/>
    </row>
    <row r="67" spans="2:17" ht="92" x14ac:dyDescent="0.25">
      <c r="B67" s="39" t="s">
        <v>865</v>
      </c>
      <c r="C67" s="43" t="s">
        <v>154</v>
      </c>
      <c r="D67" s="79" t="s">
        <v>200</v>
      </c>
      <c r="E67" s="13" t="s">
        <v>200</v>
      </c>
      <c r="F67" s="79">
        <v>93287.581326493746</v>
      </c>
      <c r="G67" s="13">
        <v>67708.126526769163</v>
      </c>
      <c r="H67" s="41" t="s">
        <v>38</v>
      </c>
      <c r="I67" s="41" t="s">
        <v>39</v>
      </c>
      <c r="J67" s="41" t="s">
        <v>40</v>
      </c>
      <c r="K67" s="41" t="s">
        <v>41</v>
      </c>
      <c r="L67" s="41" t="s">
        <v>159</v>
      </c>
      <c r="M67" s="43" t="s">
        <v>465</v>
      </c>
      <c r="N67" s="42" t="s">
        <v>466</v>
      </c>
      <c r="O67" s="43"/>
      <c r="P67" s="43"/>
      <c r="Q67" s="39"/>
    </row>
    <row r="68" spans="2:17" ht="241.5" x14ac:dyDescent="0.25">
      <c r="B68" s="39" t="s">
        <v>865</v>
      </c>
      <c r="C68" s="43" t="s">
        <v>82</v>
      </c>
      <c r="D68" s="79" t="s">
        <v>200</v>
      </c>
      <c r="E68" s="13" t="s">
        <v>200</v>
      </c>
      <c r="F68" s="79">
        <v>85502.732728893621</v>
      </c>
      <c r="G68" s="13">
        <v>62057.883414630989</v>
      </c>
      <c r="H68" s="41" t="s">
        <v>38</v>
      </c>
      <c r="I68" s="41" t="s">
        <v>39</v>
      </c>
      <c r="J68" s="41" t="s">
        <v>40</v>
      </c>
      <c r="K68" s="41" t="s">
        <v>41</v>
      </c>
      <c r="L68" s="41" t="s">
        <v>159</v>
      </c>
      <c r="M68" s="43" t="s">
        <v>459</v>
      </c>
      <c r="N68" s="42" t="s">
        <v>460</v>
      </c>
      <c r="O68" s="43"/>
      <c r="P68" s="43"/>
      <c r="Q68" s="39"/>
    </row>
    <row r="69" spans="2:17" ht="184" x14ac:dyDescent="0.25">
      <c r="B69" s="39" t="s">
        <v>865</v>
      </c>
      <c r="C69" s="43" t="s">
        <v>61</v>
      </c>
      <c r="D69" s="79" t="s">
        <v>200</v>
      </c>
      <c r="E69" s="13" t="s">
        <v>200</v>
      </c>
      <c r="F69" s="79">
        <v>80250.499950942874</v>
      </c>
      <c r="G69" s="13">
        <v>58245.812864394342</v>
      </c>
      <c r="H69" s="41" t="s">
        <v>38</v>
      </c>
      <c r="I69" s="41" t="s">
        <v>39</v>
      </c>
      <c r="J69" s="41" t="s">
        <v>40</v>
      </c>
      <c r="K69" s="41" t="s">
        <v>41</v>
      </c>
      <c r="L69" s="41" t="s">
        <v>159</v>
      </c>
      <c r="M69" s="12" t="s">
        <v>444</v>
      </c>
      <c r="N69" s="42" t="s">
        <v>445</v>
      </c>
      <c r="O69" s="43"/>
      <c r="P69" s="43"/>
      <c r="Q69" s="39"/>
    </row>
    <row r="70" spans="2:17" ht="69" x14ac:dyDescent="0.25">
      <c r="B70" s="39" t="s">
        <v>865</v>
      </c>
      <c r="C70" s="43" t="s">
        <v>77</v>
      </c>
      <c r="D70" s="79" t="s">
        <v>200</v>
      </c>
      <c r="E70" s="13" t="s">
        <v>200</v>
      </c>
      <c r="F70" s="79">
        <v>67512.68029401658</v>
      </c>
      <c r="G70" s="13">
        <v>49000.703357397237</v>
      </c>
      <c r="H70" s="41" t="s">
        <v>38</v>
      </c>
      <c r="I70" s="41" t="s">
        <v>39</v>
      </c>
      <c r="J70" s="41" t="s">
        <v>40</v>
      </c>
      <c r="K70" s="41" t="s">
        <v>41</v>
      </c>
      <c r="L70" s="41" t="s">
        <v>159</v>
      </c>
      <c r="M70" s="43" t="s">
        <v>450</v>
      </c>
      <c r="N70" s="42" t="s">
        <v>451</v>
      </c>
      <c r="O70" s="43"/>
      <c r="P70" s="43"/>
      <c r="Q70" s="39"/>
    </row>
    <row r="71" spans="2:17" x14ac:dyDescent="0.25">
      <c r="B71" s="39" t="s">
        <v>865</v>
      </c>
      <c r="C71" s="43" t="s">
        <v>108</v>
      </c>
      <c r="D71" s="79" t="s">
        <v>200</v>
      </c>
      <c r="E71" s="13" t="s">
        <v>200</v>
      </c>
      <c r="F71" s="79">
        <v>64482.616500000004</v>
      </c>
      <c r="G71" s="13">
        <v>46801.483055700002</v>
      </c>
      <c r="H71" s="41" t="s">
        <v>38</v>
      </c>
      <c r="I71" s="41" t="s">
        <v>39</v>
      </c>
      <c r="J71" s="41" t="s">
        <v>40</v>
      </c>
      <c r="K71" s="41" t="s">
        <v>41</v>
      </c>
      <c r="L71" s="41" t="s">
        <v>159</v>
      </c>
      <c r="M71" s="43" t="s">
        <v>74</v>
      </c>
      <c r="N71" s="39">
        <v>25010</v>
      </c>
      <c r="O71" s="43"/>
      <c r="P71" s="43"/>
      <c r="Q71" s="39"/>
    </row>
    <row r="72" spans="2:17" ht="230" x14ac:dyDescent="0.25">
      <c r="B72" s="39" t="s">
        <v>865</v>
      </c>
      <c r="C72" s="43" t="s">
        <v>109</v>
      </c>
      <c r="D72" s="79" t="s">
        <v>200</v>
      </c>
      <c r="E72" s="13" t="s">
        <v>200</v>
      </c>
      <c r="F72" s="79">
        <v>38888.73928722016</v>
      </c>
      <c r="G72" s="13">
        <v>28225.446974664392</v>
      </c>
      <c r="H72" s="41" t="s">
        <v>38</v>
      </c>
      <c r="I72" s="41" t="s">
        <v>39</v>
      </c>
      <c r="J72" s="41" t="s">
        <v>40</v>
      </c>
      <c r="K72" s="41" t="s">
        <v>41</v>
      </c>
      <c r="L72" s="41" t="s">
        <v>159</v>
      </c>
      <c r="M72" s="12" t="s">
        <v>508</v>
      </c>
      <c r="N72" s="42" t="s">
        <v>462</v>
      </c>
      <c r="O72" s="43"/>
      <c r="P72" s="43"/>
      <c r="Q72" s="39"/>
    </row>
    <row r="73" spans="2:17" ht="402.5" x14ac:dyDescent="0.25">
      <c r="B73" s="39" t="s">
        <v>865</v>
      </c>
      <c r="C73" s="43" t="s">
        <v>112</v>
      </c>
      <c r="D73" s="79" t="s">
        <v>200</v>
      </c>
      <c r="E73" s="13" t="s">
        <v>200</v>
      </c>
      <c r="F73" s="79">
        <v>29340.250194495005</v>
      </c>
      <c r="G73" s="13">
        <v>21295.153591164475</v>
      </c>
      <c r="H73" s="41" t="s">
        <v>38</v>
      </c>
      <c r="I73" s="41" t="s">
        <v>39</v>
      </c>
      <c r="J73" s="41" t="s">
        <v>40</v>
      </c>
      <c r="K73" s="41" t="s">
        <v>41</v>
      </c>
      <c r="L73" s="41" t="s">
        <v>159</v>
      </c>
      <c r="M73" s="12" t="s">
        <v>457</v>
      </c>
      <c r="N73" s="42" t="s">
        <v>458</v>
      </c>
      <c r="O73" s="43"/>
      <c r="P73" s="43"/>
      <c r="Q73" s="39"/>
    </row>
    <row r="74" spans="2:17" ht="184" x14ac:dyDescent="0.25">
      <c r="B74" s="39" t="s">
        <v>865</v>
      </c>
      <c r="C74" s="43" t="s">
        <v>142</v>
      </c>
      <c r="D74" s="79" t="s">
        <v>200</v>
      </c>
      <c r="E74" s="13" t="s">
        <v>200</v>
      </c>
      <c r="F74" s="79">
        <v>28732.970954013548</v>
      </c>
      <c r="G74" s="13">
        <v>20854.390318423033</v>
      </c>
      <c r="H74" s="41" t="s">
        <v>38</v>
      </c>
      <c r="I74" s="41" t="s">
        <v>39</v>
      </c>
      <c r="J74" s="41" t="s">
        <v>40</v>
      </c>
      <c r="K74" s="41" t="s">
        <v>41</v>
      </c>
      <c r="L74" s="41" t="s">
        <v>159</v>
      </c>
      <c r="M74" s="43" t="s">
        <v>472</v>
      </c>
      <c r="N74" s="42" t="s">
        <v>473</v>
      </c>
      <c r="O74" s="43"/>
      <c r="P74" s="43"/>
      <c r="Q74" s="39"/>
    </row>
    <row r="75" spans="2:17" ht="253" x14ac:dyDescent="0.25">
      <c r="B75" s="39" t="s">
        <v>865</v>
      </c>
      <c r="C75" s="43" t="s">
        <v>134</v>
      </c>
      <c r="D75" s="79" t="s">
        <v>200</v>
      </c>
      <c r="E75" s="13" t="s">
        <v>200</v>
      </c>
      <c r="F75" s="79">
        <v>28022.228547245781</v>
      </c>
      <c r="G75" s="13">
        <v>20338.533479590988</v>
      </c>
      <c r="H75" s="41" t="s">
        <v>38</v>
      </c>
      <c r="I75" s="41" t="s">
        <v>39</v>
      </c>
      <c r="J75" s="41" t="s">
        <v>40</v>
      </c>
      <c r="K75" s="41" t="s">
        <v>41</v>
      </c>
      <c r="L75" s="41" t="s">
        <v>159</v>
      </c>
      <c r="M75" s="43" t="s">
        <v>476</v>
      </c>
      <c r="N75" s="42" t="s">
        <v>477</v>
      </c>
      <c r="O75" s="43"/>
      <c r="P75" s="43"/>
      <c r="Q75" s="39"/>
    </row>
    <row r="76" spans="2:17" ht="80.5" x14ac:dyDescent="0.25">
      <c r="B76" s="39" t="s">
        <v>865</v>
      </c>
      <c r="C76" s="43" t="s">
        <v>151</v>
      </c>
      <c r="D76" s="79" t="s">
        <v>200</v>
      </c>
      <c r="E76" s="13" t="s">
        <v>200</v>
      </c>
      <c r="F76" s="79">
        <v>16204.949999999997</v>
      </c>
      <c r="G76" s="13">
        <v>11761.552709999998</v>
      </c>
      <c r="H76" s="41" t="s">
        <v>38</v>
      </c>
      <c r="I76" s="41" t="s">
        <v>39</v>
      </c>
      <c r="J76" s="41" t="s">
        <v>40</v>
      </c>
      <c r="K76" s="41" t="s">
        <v>41</v>
      </c>
      <c r="L76" s="41" t="s">
        <v>159</v>
      </c>
      <c r="M76" s="43" t="s">
        <v>509</v>
      </c>
      <c r="N76" s="42" t="s">
        <v>510</v>
      </c>
      <c r="O76" s="43"/>
      <c r="P76" s="43"/>
      <c r="Q76" s="39"/>
    </row>
    <row r="77" spans="2:17" ht="184" x14ac:dyDescent="0.25">
      <c r="B77" s="39" t="s">
        <v>865</v>
      </c>
      <c r="C77" s="43" t="s">
        <v>139</v>
      </c>
      <c r="D77" s="79" t="s">
        <v>200</v>
      </c>
      <c r="E77" s="13" t="s">
        <v>200</v>
      </c>
      <c r="F77" s="79">
        <v>12269.369698138227</v>
      </c>
      <c r="G77" s="13">
        <v>8905.1085269087253</v>
      </c>
      <c r="H77" s="41" t="s">
        <v>38</v>
      </c>
      <c r="I77" s="41" t="s">
        <v>39</v>
      </c>
      <c r="J77" s="41" t="s">
        <v>40</v>
      </c>
      <c r="K77" s="41" t="s">
        <v>41</v>
      </c>
      <c r="L77" s="41" t="s">
        <v>159</v>
      </c>
      <c r="M77" s="43" t="s">
        <v>470</v>
      </c>
      <c r="N77" s="42" t="s">
        <v>471</v>
      </c>
      <c r="O77" s="43"/>
      <c r="P77" s="43"/>
      <c r="Q77" s="39"/>
    </row>
    <row r="78" spans="2:17" ht="264.5" x14ac:dyDescent="0.25">
      <c r="B78" s="39" t="s">
        <v>865</v>
      </c>
      <c r="C78" s="43" t="s">
        <v>88</v>
      </c>
      <c r="D78" s="79" t="s">
        <v>200</v>
      </c>
      <c r="E78" s="13" t="s">
        <v>200</v>
      </c>
      <c r="F78" s="79">
        <v>12155.469967567164</v>
      </c>
      <c r="G78" s="13">
        <v>8822.4401024602466</v>
      </c>
      <c r="H78" s="41" t="s">
        <v>38</v>
      </c>
      <c r="I78" s="41" t="s">
        <v>39</v>
      </c>
      <c r="J78" s="41" t="s">
        <v>40</v>
      </c>
      <c r="K78" s="41" t="s">
        <v>41</v>
      </c>
      <c r="L78" s="41" t="s">
        <v>159</v>
      </c>
      <c r="M78" s="43" t="s">
        <v>446</v>
      </c>
      <c r="N78" s="42" t="s">
        <v>447</v>
      </c>
      <c r="O78" s="43"/>
      <c r="P78" s="43"/>
      <c r="Q78" s="39"/>
    </row>
    <row r="79" spans="2:17" ht="126.5" x14ac:dyDescent="0.25">
      <c r="B79" s="39" t="s">
        <v>865</v>
      </c>
      <c r="C79" s="43" t="s">
        <v>147</v>
      </c>
      <c r="D79" s="79" t="s">
        <v>200</v>
      </c>
      <c r="E79" s="13" t="s">
        <v>200</v>
      </c>
      <c r="F79" s="79">
        <v>10000.22912</v>
      </c>
      <c r="G79" s="13">
        <v>7258.1662952959996</v>
      </c>
      <c r="H79" s="41" t="s">
        <v>38</v>
      </c>
      <c r="I79" s="41" t="s">
        <v>39</v>
      </c>
      <c r="J79" s="41" t="s">
        <v>40</v>
      </c>
      <c r="K79" s="41" t="s">
        <v>41</v>
      </c>
      <c r="L79" s="41" t="s">
        <v>159</v>
      </c>
      <c r="M79" s="43" t="s">
        <v>490</v>
      </c>
      <c r="N79" s="42" t="s">
        <v>491</v>
      </c>
      <c r="O79" s="43"/>
      <c r="P79" s="43"/>
      <c r="Q79" s="39"/>
    </row>
    <row r="80" spans="2:17" ht="161" x14ac:dyDescent="0.25">
      <c r="B80" s="39" t="s">
        <v>865</v>
      </c>
      <c r="C80" s="43" t="s">
        <v>511</v>
      </c>
      <c r="D80" s="79" t="s">
        <v>200</v>
      </c>
      <c r="E80" s="13" t="s">
        <v>200</v>
      </c>
      <c r="F80" s="79">
        <v>4540.7477423032942</v>
      </c>
      <c r="G80" s="13">
        <v>3295.6747113637311</v>
      </c>
      <c r="H80" s="41" t="s">
        <v>38</v>
      </c>
      <c r="I80" s="41" t="s">
        <v>39</v>
      </c>
      <c r="J80" s="41" t="s">
        <v>40</v>
      </c>
      <c r="K80" s="41" t="s">
        <v>41</v>
      </c>
      <c r="L80" s="41" t="s">
        <v>159</v>
      </c>
      <c r="M80" s="43" t="s">
        <v>498</v>
      </c>
      <c r="N80" s="42" t="s">
        <v>499</v>
      </c>
      <c r="O80" s="43"/>
      <c r="P80" s="43"/>
      <c r="Q80" s="39"/>
    </row>
    <row r="81" spans="2:17" ht="172.5" x14ac:dyDescent="0.25">
      <c r="B81" s="39" t="s">
        <v>865</v>
      </c>
      <c r="C81" s="43" t="s">
        <v>492</v>
      </c>
      <c r="D81" s="79" t="s">
        <v>200</v>
      </c>
      <c r="E81" s="13" t="s">
        <v>200</v>
      </c>
      <c r="F81" s="79">
        <v>2197.9989311731324</v>
      </c>
      <c r="G81" s="13">
        <v>1595.3076242454595</v>
      </c>
      <c r="H81" s="41" t="s">
        <v>38</v>
      </c>
      <c r="I81" s="41" t="s">
        <v>39</v>
      </c>
      <c r="J81" s="41" t="s">
        <v>40</v>
      </c>
      <c r="K81" s="41" t="s">
        <v>41</v>
      </c>
      <c r="L81" s="41" t="s">
        <v>159</v>
      </c>
      <c r="M81" s="43" t="s">
        <v>493</v>
      </c>
      <c r="N81" s="42" t="s">
        <v>494</v>
      </c>
      <c r="O81" s="43"/>
      <c r="P81" s="43"/>
      <c r="Q81" s="39"/>
    </row>
    <row r="82" spans="2:17" ht="138" x14ac:dyDescent="0.25">
      <c r="B82" s="39" t="s">
        <v>865</v>
      </c>
      <c r="C82" s="43" t="s">
        <v>136</v>
      </c>
      <c r="D82" s="79" t="s">
        <v>200</v>
      </c>
      <c r="E82" s="13" t="s">
        <v>200</v>
      </c>
      <c r="F82" s="79">
        <v>1423.1498898031484</v>
      </c>
      <c r="G82" s="13">
        <v>1032.9221900191251</v>
      </c>
      <c r="H82" s="41" t="s">
        <v>38</v>
      </c>
      <c r="I82" s="41" t="s">
        <v>39</v>
      </c>
      <c r="J82" s="41" t="s">
        <v>40</v>
      </c>
      <c r="K82" s="41" t="s">
        <v>41</v>
      </c>
      <c r="L82" s="41" t="s">
        <v>159</v>
      </c>
      <c r="M82" s="43" t="s">
        <v>485</v>
      </c>
      <c r="N82" s="42" t="s">
        <v>486</v>
      </c>
      <c r="O82" s="43"/>
      <c r="P82" s="43"/>
      <c r="Q82" s="39"/>
    </row>
    <row r="83" spans="2:17" ht="138" x14ac:dyDescent="0.25">
      <c r="B83" s="39" t="s">
        <v>865</v>
      </c>
      <c r="C83" s="43" t="s">
        <v>131</v>
      </c>
      <c r="D83" s="79" t="s">
        <v>200</v>
      </c>
      <c r="E83" s="13" t="s">
        <v>200</v>
      </c>
      <c r="F83" s="79">
        <v>1153.3594910367237</v>
      </c>
      <c r="G83" s="13">
        <v>837.10831859445409</v>
      </c>
      <c r="H83" s="41" t="s">
        <v>38</v>
      </c>
      <c r="I83" s="41" t="s">
        <v>39</v>
      </c>
      <c r="J83" s="41" t="s">
        <v>40</v>
      </c>
      <c r="K83" s="41" t="s">
        <v>41</v>
      </c>
      <c r="L83" s="41" t="s">
        <v>159</v>
      </c>
      <c r="M83" s="43" t="s">
        <v>495</v>
      </c>
      <c r="N83" s="42" t="s">
        <v>496</v>
      </c>
      <c r="O83" s="43"/>
      <c r="P83" s="43"/>
      <c r="Q83" s="39"/>
    </row>
    <row r="84" spans="2:17" ht="161" x14ac:dyDescent="0.25">
      <c r="B84" s="39" t="s">
        <v>865</v>
      </c>
      <c r="C84" s="43" t="s">
        <v>156</v>
      </c>
      <c r="D84" s="79" t="s">
        <v>200</v>
      </c>
      <c r="E84" s="13" t="s">
        <v>200</v>
      </c>
      <c r="F84" s="79">
        <v>375.04992390659703</v>
      </c>
      <c r="G84" s="13">
        <v>272.2112347714081</v>
      </c>
      <c r="H84" s="41" t="s">
        <v>38</v>
      </c>
      <c r="I84" s="41" t="s">
        <v>39</v>
      </c>
      <c r="J84" s="41" t="s">
        <v>40</v>
      </c>
      <c r="K84" s="41" t="s">
        <v>41</v>
      </c>
      <c r="L84" s="41" t="s">
        <v>159</v>
      </c>
      <c r="M84" s="43" t="s">
        <v>500</v>
      </c>
      <c r="N84" s="42" t="s">
        <v>501</v>
      </c>
      <c r="O84" s="43"/>
      <c r="P84" s="43"/>
      <c r="Q84" s="39"/>
    </row>
    <row r="85" spans="2:17" ht="34.5" x14ac:dyDescent="0.25">
      <c r="B85" s="39" t="s">
        <v>865</v>
      </c>
      <c r="C85" s="43" t="s">
        <v>512</v>
      </c>
      <c r="D85" s="79" t="s">
        <v>200</v>
      </c>
      <c r="E85" s="13" t="s">
        <v>200</v>
      </c>
      <c r="F85" s="79">
        <v>7000000</v>
      </c>
      <c r="G85" s="13">
        <v>5080600</v>
      </c>
      <c r="H85" s="41" t="s">
        <v>38</v>
      </c>
      <c r="I85" s="41" t="s">
        <v>39</v>
      </c>
      <c r="J85" s="41" t="s">
        <v>40</v>
      </c>
      <c r="K85" s="41" t="s">
        <v>41</v>
      </c>
      <c r="L85" s="41" t="s">
        <v>130</v>
      </c>
      <c r="M85" s="43" t="s">
        <v>53</v>
      </c>
      <c r="N85" s="42" t="s">
        <v>513</v>
      </c>
      <c r="O85" s="43"/>
      <c r="P85" s="43"/>
      <c r="Q85" s="39"/>
    </row>
    <row r="86" spans="2:17" ht="23" x14ac:dyDescent="0.25">
      <c r="B86" s="39" t="s">
        <v>865</v>
      </c>
      <c r="C86" s="43" t="s">
        <v>514</v>
      </c>
      <c r="D86" s="79" t="s">
        <v>200</v>
      </c>
      <c r="E86" s="13" t="s">
        <v>200</v>
      </c>
      <c r="F86" s="79">
        <v>2500000</v>
      </c>
      <c r="G86" s="13">
        <v>1814500</v>
      </c>
      <c r="H86" s="41" t="s">
        <v>38</v>
      </c>
      <c r="I86" s="41" t="s">
        <v>39</v>
      </c>
      <c r="J86" s="41" t="s">
        <v>40</v>
      </c>
      <c r="K86" s="41" t="s">
        <v>41</v>
      </c>
      <c r="L86" s="41" t="s">
        <v>130</v>
      </c>
      <c r="M86" s="43" t="s">
        <v>65</v>
      </c>
      <c r="N86" s="39">
        <v>72010</v>
      </c>
      <c r="O86" s="43"/>
      <c r="P86" s="43"/>
      <c r="Q86" s="39"/>
    </row>
    <row r="87" spans="2:17" ht="241.5" x14ac:dyDescent="0.25">
      <c r="B87" s="39" t="s">
        <v>865</v>
      </c>
      <c r="C87" s="43" t="s">
        <v>117</v>
      </c>
      <c r="D87" s="79" t="s">
        <v>200</v>
      </c>
      <c r="E87" s="13" t="s">
        <v>200</v>
      </c>
      <c r="F87" s="79">
        <v>2248976</v>
      </c>
      <c r="G87" s="13">
        <v>1632306.7808000001</v>
      </c>
      <c r="H87" s="41" t="s">
        <v>38</v>
      </c>
      <c r="I87" s="41" t="s">
        <v>39</v>
      </c>
      <c r="J87" s="41" t="s">
        <v>40</v>
      </c>
      <c r="K87" s="41" t="s">
        <v>41</v>
      </c>
      <c r="L87" s="41" t="s">
        <v>130</v>
      </c>
      <c r="M87" s="43" t="s">
        <v>179</v>
      </c>
      <c r="N87" s="42" t="s">
        <v>437</v>
      </c>
      <c r="O87" s="43"/>
      <c r="P87" s="43"/>
      <c r="Q87" s="39"/>
    </row>
    <row r="88" spans="2:17" ht="184" x14ac:dyDescent="0.25">
      <c r="B88" s="39" t="s">
        <v>865</v>
      </c>
      <c r="C88" s="43" t="s">
        <v>61</v>
      </c>
      <c r="D88" s="79" t="s">
        <v>200</v>
      </c>
      <c r="E88" s="13" t="s">
        <v>200</v>
      </c>
      <c r="F88" s="79">
        <v>537759.06967126776</v>
      </c>
      <c r="G88" s="13">
        <v>390305.53276740614</v>
      </c>
      <c r="H88" s="41" t="s">
        <v>38</v>
      </c>
      <c r="I88" s="41" t="s">
        <v>39</v>
      </c>
      <c r="J88" s="41" t="s">
        <v>40</v>
      </c>
      <c r="K88" s="41" t="s">
        <v>41</v>
      </c>
      <c r="L88" s="41" t="s">
        <v>130</v>
      </c>
      <c r="M88" s="43" t="s">
        <v>444</v>
      </c>
      <c r="N88" s="42" t="s">
        <v>445</v>
      </c>
      <c r="O88" s="43"/>
      <c r="P88" s="43"/>
      <c r="Q88" s="39"/>
    </row>
    <row r="89" spans="2:17" x14ac:dyDescent="0.25">
      <c r="B89" s="39" t="s">
        <v>865</v>
      </c>
      <c r="C89" s="43" t="s">
        <v>120</v>
      </c>
      <c r="D89" s="79" t="s">
        <v>200</v>
      </c>
      <c r="E89" s="13" t="s">
        <v>200</v>
      </c>
      <c r="F89" s="79">
        <v>393042.93839068012</v>
      </c>
      <c r="G89" s="13">
        <v>285270.56468395563</v>
      </c>
      <c r="H89" s="41" t="s">
        <v>38</v>
      </c>
      <c r="I89" s="41" t="s">
        <v>39</v>
      </c>
      <c r="J89" s="41" t="s">
        <v>40</v>
      </c>
      <c r="K89" s="41" t="s">
        <v>41</v>
      </c>
      <c r="L89" s="41" t="s">
        <v>130</v>
      </c>
      <c r="M89" s="43" t="s">
        <v>130</v>
      </c>
      <c r="N89" s="39">
        <v>43081</v>
      </c>
      <c r="O89" s="43" t="s">
        <v>68</v>
      </c>
      <c r="P89" s="43"/>
      <c r="Q89" s="39"/>
    </row>
    <row r="90" spans="2:17" ht="409.5" x14ac:dyDescent="0.25">
      <c r="B90" s="39" t="s">
        <v>865</v>
      </c>
      <c r="C90" s="43" t="s">
        <v>101</v>
      </c>
      <c r="D90" s="79" t="s">
        <v>200</v>
      </c>
      <c r="E90" s="13" t="s">
        <v>200</v>
      </c>
      <c r="F90" s="79">
        <v>330564.00000000017</v>
      </c>
      <c r="G90" s="13">
        <v>239923.35120000012</v>
      </c>
      <c r="H90" s="41" t="s">
        <v>38</v>
      </c>
      <c r="I90" s="41" t="s">
        <v>39</v>
      </c>
      <c r="J90" s="41" t="s">
        <v>40</v>
      </c>
      <c r="K90" s="41" t="s">
        <v>41</v>
      </c>
      <c r="L90" s="41" t="s">
        <v>130</v>
      </c>
      <c r="M90" s="43" t="s">
        <v>515</v>
      </c>
      <c r="N90" s="42" t="s">
        <v>516</v>
      </c>
      <c r="O90" s="43" t="s">
        <v>68</v>
      </c>
      <c r="P90" s="43"/>
      <c r="Q90" s="39"/>
    </row>
    <row r="91" spans="2:17" x14ac:dyDescent="0.25">
      <c r="B91" s="39" t="s">
        <v>865</v>
      </c>
      <c r="C91" s="43" t="s">
        <v>56</v>
      </c>
      <c r="D91" s="79" t="s">
        <v>200</v>
      </c>
      <c r="E91" s="13" t="s">
        <v>200</v>
      </c>
      <c r="F91" s="79">
        <v>162434.99988100005</v>
      </c>
      <c r="G91" s="13">
        <v>117895.32291362983</v>
      </c>
      <c r="H91" s="41" t="s">
        <v>38</v>
      </c>
      <c r="I91" s="41" t="s">
        <v>39</v>
      </c>
      <c r="J91" s="41" t="s">
        <v>40</v>
      </c>
      <c r="K91" s="41" t="s">
        <v>41</v>
      </c>
      <c r="L91" s="41" t="s">
        <v>130</v>
      </c>
      <c r="M91" s="43" t="s">
        <v>57</v>
      </c>
      <c r="N91" s="39">
        <v>74020</v>
      </c>
      <c r="O91" s="43"/>
      <c r="P91" s="43"/>
      <c r="Q91" s="39"/>
    </row>
    <row r="92" spans="2:17" ht="149.5" x14ac:dyDescent="0.25">
      <c r="B92" s="39" t="s">
        <v>865</v>
      </c>
      <c r="C92" s="43" t="s">
        <v>95</v>
      </c>
      <c r="D92" s="79" t="s">
        <v>200</v>
      </c>
      <c r="E92" s="13" t="s">
        <v>200</v>
      </c>
      <c r="F92" s="79">
        <v>113674.9</v>
      </c>
      <c r="G92" s="13">
        <v>82505.242419999995</v>
      </c>
      <c r="H92" s="41" t="s">
        <v>38</v>
      </c>
      <c r="I92" s="41" t="s">
        <v>39</v>
      </c>
      <c r="J92" s="41" t="s">
        <v>40</v>
      </c>
      <c r="K92" s="41" t="s">
        <v>41</v>
      </c>
      <c r="L92" s="41" t="s">
        <v>130</v>
      </c>
      <c r="M92" s="43" t="s">
        <v>454</v>
      </c>
      <c r="N92" s="42" t="s">
        <v>455</v>
      </c>
      <c r="O92" s="43"/>
      <c r="P92" s="43"/>
      <c r="Q92" s="39"/>
    </row>
    <row r="93" spans="2:17" ht="253" x14ac:dyDescent="0.25">
      <c r="B93" s="39" t="s">
        <v>865</v>
      </c>
      <c r="C93" s="43" t="s">
        <v>134</v>
      </c>
      <c r="D93" s="79" t="s">
        <v>200</v>
      </c>
      <c r="E93" s="13" t="s">
        <v>200</v>
      </c>
      <c r="F93" s="79">
        <v>101373.85</v>
      </c>
      <c r="G93" s="13">
        <v>73577.140330000009</v>
      </c>
      <c r="H93" s="41" t="s">
        <v>38</v>
      </c>
      <c r="I93" s="41" t="s">
        <v>39</v>
      </c>
      <c r="J93" s="41" t="s">
        <v>40</v>
      </c>
      <c r="K93" s="41" t="s">
        <v>41</v>
      </c>
      <c r="L93" s="41" t="s">
        <v>130</v>
      </c>
      <c r="M93" s="43" t="s">
        <v>476</v>
      </c>
      <c r="N93" s="42" t="s">
        <v>477</v>
      </c>
      <c r="O93" s="43"/>
      <c r="P93" s="43"/>
      <c r="Q93" s="39"/>
    </row>
    <row r="94" spans="2:17" ht="402.5" x14ac:dyDescent="0.25">
      <c r="B94" s="39" t="s">
        <v>865</v>
      </c>
      <c r="C94" s="43" t="s">
        <v>112</v>
      </c>
      <c r="D94" s="79" t="s">
        <v>200</v>
      </c>
      <c r="E94" s="13" t="s">
        <v>200</v>
      </c>
      <c r="F94" s="79">
        <v>83048.580550524755</v>
      </c>
      <c r="G94" s="13">
        <v>60276.659763570868</v>
      </c>
      <c r="H94" s="41" t="s">
        <v>38</v>
      </c>
      <c r="I94" s="41" t="s">
        <v>39</v>
      </c>
      <c r="J94" s="41" t="s">
        <v>40</v>
      </c>
      <c r="K94" s="41" t="s">
        <v>41</v>
      </c>
      <c r="L94" s="41" t="s">
        <v>130</v>
      </c>
      <c r="M94" s="43" t="s">
        <v>457</v>
      </c>
      <c r="N94" s="42" t="s">
        <v>458</v>
      </c>
      <c r="O94" s="43"/>
      <c r="P94" s="43"/>
      <c r="Q94" s="39"/>
    </row>
    <row r="95" spans="2:17" ht="241.5" x14ac:dyDescent="0.25">
      <c r="B95" s="39" t="s">
        <v>865</v>
      </c>
      <c r="C95" s="43" t="s">
        <v>82</v>
      </c>
      <c r="D95" s="79" t="s">
        <v>200</v>
      </c>
      <c r="E95" s="13" t="s">
        <v>200</v>
      </c>
      <c r="F95" s="79">
        <v>73563.192347832868</v>
      </c>
      <c r="G95" s="13">
        <v>53392.165006057097</v>
      </c>
      <c r="H95" s="41" t="s">
        <v>38</v>
      </c>
      <c r="I95" s="41" t="s">
        <v>39</v>
      </c>
      <c r="J95" s="41" t="s">
        <v>40</v>
      </c>
      <c r="K95" s="41" t="s">
        <v>41</v>
      </c>
      <c r="L95" s="41" t="s">
        <v>130</v>
      </c>
      <c r="M95" s="43" t="s">
        <v>459</v>
      </c>
      <c r="N95" s="42" t="s">
        <v>460</v>
      </c>
      <c r="O95" s="43"/>
      <c r="P95" s="43"/>
      <c r="Q95" s="39"/>
    </row>
    <row r="96" spans="2:17" ht="409.5" x14ac:dyDescent="0.25">
      <c r="B96" s="39" t="s">
        <v>865</v>
      </c>
      <c r="C96" s="43" t="s">
        <v>467</v>
      </c>
      <c r="D96" s="79" t="s">
        <v>200</v>
      </c>
      <c r="E96" s="13" t="s">
        <v>200</v>
      </c>
      <c r="F96" s="79">
        <v>70907.738630403197</v>
      </c>
      <c r="G96" s="13">
        <v>51464.836697946637</v>
      </c>
      <c r="H96" s="41" t="s">
        <v>38</v>
      </c>
      <c r="I96" s="41" t="s">
        <v>39</v>
      </c>
      <c r="J96" s="41" t="s">
        <v>40</v>
      </c>
      <c r="K96" s="41" t="s">
        <v>41</v>
      </c>
      <c r="L96" s="41" t="s">
        <v>130</v>
      </c>
      <c r="M96" s="43" t="s">
        <v>468</v>
      </c>
      <c r="N96" s="42" t="s">
        <v>517</v>
      </c>
      <c r="O96" s="43"/>
      <c r="P96" s="43"/>
      <c r="Q96" s="39"/>
    </row>
    <row r="97" spans="2:17" ht="23" x14ac:dyDescent="0.25">
      <c r="B97" s="39" t="s">
        <v>865</v>
      </c>
      <c r="C97" s="43" t="s">
        <v>518</v>
      </c>
      <c r="D97" s="79" t="s">
        <v>200</v>
      </c>
      <c r="E97" s="13" t="s">
        <v>200</v>
      </c>
      <c r="F97" s="79">
        <v>67500</v>
      </c>
      <c r="G97" s="13">
        <v>48991.5</v>
      </c>
      <c r="H97" s="41" t="s">
        <v>38</v>
      </c>
      <c r="I97" s="41" t="s">
        <v>39</v>
      </c>
      <c r="J97" s="41" t="s">
        <v>40</v>
      </c>
      <c r="K97" s="41" t="s">
        <v>41</v>
      </c>
      <c r="L97" s="41" t="s">
        <v>130</v>
      </c>
      <c r="M97" s="43" t="s">
        <v>65</v>
      </c>
      <c r="N97" s="39">
        <v>72050</v>
      </c>
      <c r="O97" s="43"/>
      <c r="P97" s="43"/>
      <c r="Q97" s="39"/>
    </row>
    <row r="98" spans="2:17" x14ac:dyDescent="0.25">
      <c r="B98" s="39" t="s">
        <v>865</v>
      </c>
      <c r="C98" s="43" t="s">
        <v>129</v>
      </c>
      <c r="D98" s="79" t="s">
        <v>200</v>
      </c>
      <c r="E98" s="13" t="s">
        <v>200</v>
      </c>
      <c r="F98" s="79">
        <v>38720.15329995002</v>
      </c>
      <c r="G98" s="13">
        <v>28103.087265103724</v>
      </c>
      <c r="H98" s="41" t="s">
        <v>38</v>
      </c>
      <c r="I98" s="41" t="s">
        <v>39</v>
      </c>
      <c r="J98" s="41" t="s">
        <v>40</v>
      </c>
      <c r="K98" s="41" t="s">
        <v>41</v>
      </c>
      <c r="L98" s="41" t="s">
        <v>130</v>
      </c>
      <c r="M98" s="43" t="s">
        <v>130</v>
      </c>
      <c r="N98" s="39">
        <v>43081</v>
      </c>
      <c r="O98" s="43" t="s">
        <v>68</v>
      </c>
      <c r="P98" s="43"/>
      <c r="Q98" s="39"/>
    </row>
    <row r="99" spans="2:17" x14ac:dyDescent="0.25">
      <c r="B99" s="39" t="s">
        <v>865</v>
      </c>
      <c r="C99" s="43" t="s">
        <v>519</v>
      </c>
      <c r="D99" s="79" t="s">
        <v>200</v>
      </c>
      <c r="E99" s="13" t="s">
        <v>200</v>
      </c>
      <c r="F99" s="79">
        <v>34888.26646655998</v>
      </c>
      <c r="G99" s="13">
        <v>25321.903801429235</v>
      </c>
      <c r="H99" s="41" t="s">
        <v>38</v>
      </c>
      <c r="I99" s="41" t="s">
        <v>39</v>
      </c>
      <c r="J99" s="41" t="s">
        <v>40</v>
      </c>
      <c r="K99" s="41" t="s">
        <v>41</v>
      </c>
      <c r="L99" s="41" t="s">
        <v>130</v>
      </c>
      <c r="M99" s="43" t="s">
        <v>130</v>
      </c>
      <c r="N99" s="39">
        <v>43081</v>
      </c>
      <c r="O99" s="43" t="s">
        <v>68</v>
      </c>
      <c r="P99" s="43"/>
      <c r="Q99" s="39"/>
    </row>
    <row r="100" spans="2:17" x14ac:dyDescent="0.25">
      <c r="B100" s="39" t="s">
        <v>865</v>
      </c>
      <c r="C100" s="43" t="s">
        <v>520</v>
      </c>
      <c r="D100" s="79" t="s">
        <v>200</v>
      </c>
      <c r="E100" s="13" t="s">
        <v>200</v>
      </c>
      <c r="F100" s="79">
        <v>32908.692480000005</v>
      </c>
      <c r="G100" s="13">
        <v>23885.129001984005</v>
      </c>
      <c r="H100" s="41" t="s">
        <v>38</v>
      </c>
      <c r="I100" s="41" t="s">
        <v>39</v>
      </c>
      <c r="J100" s="41" t="s">
        <v>40</v>
      </c>
      <c r="K100" s="41" t="s">
        <v>41</v>
      </c>
      <c r="L100" s="41" t="s">
        <v>130</v>
      </c>
      <c r="M100" s="43" t="s">
        <v>125</v>
      </c>
      <c r="N100" s="39">
        <v>14030</v>
      </c>
      <c r="O100" s="43"/>
      <c r="P100" s="43"/>
      <c r="Q100" s="39"/>
    </row>
    <row r="101" spans="2:17" x14ac:dyDescent="0.25">
      <c r="B101" s="39" t="s">
        <v>865</v>
      </c>
      <c r="C101" s="43" t="s">
        <v>521</v>
      </c>
      <c r="D101" s="79" t="s">
        <v>200</v>
      </c>
      <c r="E101" s="13" t="s">
        <v>200</v>
      </c>
      <c r="F101" s="79">
        <v>32518.191405520003</v>
      </c>
      <c r="G101" s="13">
        <v>23601.703322126417</v>
      </c>
      <c r="H101" s="41" t="s">
        <v>38</v>
      </c>
      <c r="I101" s="41" t="s">
        <v>39</v>
      </c>
      <c r="J101" s="41" t="s">
        <v>40</v>
      </c>
      <c r="K101" s="41" t="s">
        <v>41</v>
      </c>
      <c r="L101" s="41" t="s">
        <v>130</v>
      </c>
      <c r="M101" s="43" t="s">
        <v>130</v>
      </c>
      <c r="N101" s="39">
        <v>43081</v>
      </c>
      <c r="O101" s="43" t="s">
        <v>68</v>
      </c>
      <c r="P101" s="43"/>
      <c r="Q101" s="39"/>
    </row>
    <row r="102" spans="2:17" ht="184" x14ac:dyDescent="0.25">
      <c r="B102" s="39" t="s">
        <v>865</v>
      </c>
      <c r="C102" s="43" t="s">
        <v>142</v>
      </c>
      <c r="D102" s="79" t="s">
        <v>200</v>
      </c>
      <c r="E102" s="13" t="s">
        <v>200</v>
      </c>
      <c r="F102" s="79">
        <v>28732.290953990963</v>
      </c>
      <c r="G102" s="13">
        <v>20853.896774406639</v>
      </c>
      <c r="H102" s="41" t="s">
        <v>38</v>
      </c>
      <c r="I102" s="41" t="s">
        <v>39</v>
      </c>
      <c r="J102" s="41" t="s">
        <v>40</v>
      </c>
      <c r="K102" s="41" t="s">
        <v>41</v>
      </c>
      <c r="L102" s="41" t="s">
        <v>130</v>
      </c>
      <c r="M102" s="43" t="s">
        <v>472</v>
      </c>
      <c r="N102" s="42" t="s">
        <v>473</v>
      </c>
      <c r="O102" s="43"/>
      <c r="P102" s="43"/>
      <c r="Q102" s="39"/>
    </row>
    <row r="103" spans="2:17" x14ac:dyDescent="0.25">
      <c r="B103" s="39" t="s">
        <v>865</v>
      </c>
      <c r="C103" s="43" t="s">
        <v>144</v>
      </c>
      <c r="D103" s="79" t="s">
        <v>200</v>
      </c>
      <c r="E103" s="13" t="s">
        <v>200</v>
      </c>
      <c r="F103" s="79">
        <v>28173.313469903471</v>
      </c>
      <c r="G103" s="13">
        <v>20448.19091645594</v>
      </c>
      <c r="H103" s="41" t="s">
        <v>38</v>
      </c>
      <c r="I103" s="41" t="s">
        <v>39</v>
      </c>
      <c r="J103" s="41" t="s">
        <v>40</v>
      </c>
      <c r="K103" s="41" t="s">
        <v>41</v>
      </c>
      <c r="L103" s="41" t="s">
        <v>130</v>
      </c>
      <c r="M103" s="43" t="s">
        <v>130</v>
      </c>
      <c r="N103" s="39">
        <v>43081</v>
      </c>
      <c r="O103" s="43" t="s">
        <v>68</v>
      </c>
      <c r="P103" s="43"/>
      <c r="Q103" s="39"/>
    </row>
    <row r="104" spans="2:17" ht="69" x14ac:dyDescent="0.25">
      <c r="B104" s="39" t="s">
        <v>865</v>
      </c>
      <c r="C104" s="43" t="s">
        <v>126</v>
      </c>
      <c r="D104" s="79" t="s">
        <v>200</v>
      </c>
      <c r="E104" s="13" t="s">
        <v>200</v>
      </c>
      <c r="F104" s="79">
        <v>27082.719417454424</v>
      </c>
      <c r="G104" s="13">
        <v>19656.637753188421</v>
      </c>
      <c r="H104" s="41" t="s">
        <v>38</v>
      </c>
      <c r="I104" s="41" t="s">
        <v>39</v>
      </c>
      <c r="J104" s="41" t="s">
        <v>40</v>
      </c>
      <c r="K104" s="41" t="s">
        <v>41</v>
      </c>
      <c r="L104" s="41" t="s">
        <v>130</v>
      </c>
      <c r="M104" s="43" t="s">
        <v>478</v>
      </c>
      <c r="N104" s="42" t="s">
        <v>479</v>
      </c>
      <c r="O104" s="43"/>
      <c r="P104" s="43"/>
      <c r="Q104" s="39"/>
    </row>
    <row r="105" spans="2:17" ht="92" x14ac:dyDescent="0.25">
      <c r="B105" s="39" t="s">
        <v>865</v>
      </c>
      <c r="C105" s="43" t="s">
        <v>154</v>
      </c>
      <c r="D105" s="79" t="s">
        <v>200</v>
      </c>
      <c r="E105" s="13" t="s">
        <v>200</v>
      </c>
      <c r="F105" s="79">
        <v>25518.980362864673</v>
      </c>
      <c r="G105" s="13">
        <v>18521.675947367181</v>
      </c>
      <c r="H105" s="41" t="s">
        <v>38</v>
      </c>
      <c r="I105" s="41" t="s">
        <v>39</v>
      </c>
      <c r="J105" s="41" t="s">
        <v>40</v>
      </c>
      <c r="K105" s="41" t="s">
        <v>41</v>
      </c>
      <c r="L105" s="41" t="s">
        <v>130</v>
      </c>
      <c r="M105" s="43" t="s">
        <v>465</v>
      </c>
      <c r="N105" s="42" t="s">
        <v>466</v>
      </c>
      <c r="O105" s="43"/>
      <c r="P105" s="43"/>
      <c r="Q105" s="39"/>
    </row>
    <row r="106" spans="2:17" ht="126.5" x14ac:dyDescent="0.25">
      <c r="B106" s="39" t="s">
        <v>865</v>
      </c>
      <c r="C106" s="43" t="s">
        <v>145</v>
      </c>
      <c r="D106" s="79" t="s">
        <v>200</v>
      </c>
      <c r="E106" s="13" t="s">
        <v>200</v>
      </c>
      <c r="F106" s="79">
        <v>18287.701276</v>
      </c>
      <c r="G106" s="13">
        <v>13273.213586120801</v>
      </c>
      <c r="H106" s="41" t="s">
        <v>38</v>
      </c>
      <c r="I106" s="41" t="s">
        <v>39</v>
      </c>
      <c r="J106" s="41" t="s">
        <v>40</v>
      </c>
      <c r="K106" s="41" t="s">
        <v>41</v>
      </c>
      <c r="L106" s="41" t="s">
        <v>130</v>
      </c>
      <c r="M106" s="43" t="s">
        <v>522</v>
      </c>
      <c r="N106" s="42" t="s">
        <v>523</v>
      </c>
      <c r="O106" s="43"/>
      <c r="P106" s="43"/>
      <c r="Q106" s="39"/>
    </row>
    <row r="107" spans="2:17" x14ac:dyDescent="0.25">
      <c r="B107" s="39" t="s">
        <v>865</v>
      </c>
      <c r="C107" s="43" t="s">
        <v>524</v>
      </c>
      <c r="D107" s="79" t="s">
        <v>200</v>
      </c>
      <c r="E107" s="13" t="s">
        <v>200</v>
      </c>
      <c r="F107" s="79">
        <v>16877.44256775</v>
      </c>
      <c r="G107" s="13">
        <v>12249.64781567295</v>
      </c>
      <c r="H107" s="41" t="s">
        <v>38</v>
      </c>
      <c r="I107" s="41" t="s">
        <v>39</v>
      </c>
      <c r="J107" s="41" t="s">
        <v>40</v>
      </c>
      <c r="K107" s="41" t="s">
        <v>41</v>
      </c>
      <c r="L107" s="41" t="s">
        <v>130</v>
      </c>
      <c r="M107" s="43" t="s">
        <v>130</v>
      </c>
      <c r="N107" s="39">
        <v>43081</v>
      </c>
      <c r="O107" s="43" t="s">
        <v>68</v>
      </c>
      <c r="P107" s="43"/>
      <c r="Q107" s="39"/>
    </row>
    <row r="108" spans="2:17" ht="138" x14ac:dyDescent="0.25">
      <c r="B108" s="39" t="s">
        <v>865</v>
      </c>
      <c r="C108" s="43" t="s">
        <v>136</v>
      </c>
      <c r="D108" s="79" t="s">
        <v>200</v>
      </c>
      <c r="E108" s="13" t="s">
        <v>200</v>
      </c>
      <c r="F108" s="79">
        <v>16614.798713488632</v>
      </c>
      <c r="G108" s="13">
        <v>12059.020906250049</v>
      </c>
      <c r="H108" s="41" t="s">
        <v>38</v>
      </c>
      <c r="I108" s="41" t="s">
        <v>39</v>
      </c>
      <c r="J108" s="41" t="s">
        <v>40</v>
      </c>
      <c r="K108" s="41" t="s">
        <v>41</v>
      </c>
      <c r="L108" s="41" t="s">
        <v>130</v>
      </c>
      <c r="M108" s="43" t="s">
        <v>485</v>
      </c>
      <c r="N108" s="42" t="s">
        <v>486</v>
      </c>
      <c r="O108" s="43"/>
      <c r="P108" s="43"/>
      <c r="Q108" s="39"/>
    </row>
    <row r="109" spans="2:17" ht="230" x14ac:dyDescent="0.25">
      <c r="B109" s="39" t="s">
        <v>865</v>
      </c>
      <c r="C109" s="43" t="s">
        <v>109</v>
      </c>
      <c r="D109" s="79" t="s">
        <v>200</v>
      </c>
      <c r="E109" s="13" t="s">
        <v>200</v>
      </c>
      <c r="F109" s="79">
        <v>10801</v>
      </c>
      <c r="G109" s="13">
        <v>7839.3657999999996</v>
      </c>
      <c r="H109" s="41" t="s">
        <v>38</v>
      </c>
      <c r="I109" s="41" t="s">
        <v>39</v>
      </c>
      <c r="J109" s="41" t="s">
        <v>40</v>
      </c>
      <c r="K109" s="41" t="s">
        <v>41</v>
      </c>
      <c r="L109" s="41" t="s">
        <v>130</v>
      </c>
      <c r="M109" s="43" t="s">
        <v>461</v>
      </c>
      <c r="N109" s="42" t="s">
        <v>462</v>
      </c>
      <c r="O109" s="43"/>
      <c r="P109" s="43"/>
      <c r="Q109" s="39"/>
    </row>
    <row r="110" spans="2:17" x14ac:dyDescent="0.25">
      <c r="B110" s="39" t="s">
        <v>865</v>
      </c>
      <c r="C110" s="43" t="s">
        <v>196</v>
      </c>
      <c r="D110" s="83" t="s">
        <v>200</v>
      </c>
      <c r="E110" s="18" t="s">
        <v>200</v>
      </c>
      <c r="F110" s="18">
        <v>1701287</v>
      </c>
      <c r="G110" s="18">
        <v>1234794.1046</v>
      </c>
      <c r="H110" s="41" t="s">
        <v>38</v>
      </c>
      <c r="I110" s="41" t="s">
        <v>525</v>
      </c>
      <c r="J110" s="41" t="s">
        <v>198</v>
      </c>
      <c r="K110" s="41" t="s">
        <v>41</v>
      </c>
      <c r="L110" s="41" t="s">
        <v>130</v>
      </c>
      <c r="M110" s="43" t="s">
        <v>130</v>
      </c>
      <c r="N110" s="43"/>
      <c r="O110" s="43"/>
      <c r="P110" s="43"/>
      <c r="Q110" s="39"/>
    </row>
    <row r="111" spans="2:17" ht="23" x14ac:dyDescent="0.25">
      <c r="B111" s="39" t="s">
        <v>866</v>
      </c>
      <c r="C111" s="43" t="s">
        <v>199</v>
      </c>
      <c r="D111" s="79" t="s">
        <v>200</v>
      </c>
      <c r="E111" s="13" t="s">
        <v>200</v>
      </c>
      <c r="F111" s="13">
        <v>10689387.570000002</v>
      </c>
      <c r="G111" s="13">
        <v>7758357.4983060015</v>
      </c>
      <c r="H111" s="41" t="s">
        <v>38</v>
      </c>
      <c r="I111" s="41" t="s">
        <v>39</v>
      </c>
      <c r="J111" s="41" t="s">
        <v>40</v>
      </c>
      <c r="K111" s="41" t="s">
        <v>41</v>
      </c>
      <c r="L111" s="41" t="s">
        <v>42</v>
      </c>
      <c r="M111" s="43" t="s">
        <v>76</v>
      </c>
      <c r="N111" s="84">
        <v>41010</v>
      </c>
      <c r="O111" s="43" t="s">
        <v>68</v>
      </c>
      <c r="P111" s="43"/>
      <c r="Q111" s="39"/>
    </row>
    <row r="112" spans="2:17" x14ac:dyDescent="0.25">
      <c r="B112" s="39" t="s">
        <v>866</v>
      </c>
      <c r="C112" s="43" t="s">
        <v>212</v>
      </c>
      <c r="D112" s="79" t="s">
        <v>200</v>
      </c>
      <c r="E112" s="13" t="s">
        <v>200</v>
      </c>
      <c r="F112" s="13">
        <v>1876624.6921921596</v>
      </c>
      <c r="G112" s="13">
        <v>1362054.2015930694</v>
      </c>
      <c r="H112" s="41" t="s">
        <v>38</v>
      </c>
      <c r="I112" s="41" t="s">
        <v>39</v>
      </c>
      <c r="J112" s="41" t="s">
        <v>40</v>
      </c>
      <c r="K112" s="41" t="s">
        <v>41</v>
      </c>
      <c r="L112" s="41" t="s">
        <v>42</v>
      </c>
      <c r="M112" s="43" t="s">
        <v>43</v>
      </c>
      <c r="N112" s="39">
        <v>31120</v>
      </c>
      <c r="O112" s="43" t="s">
        <v>68</v>
      </c>
      <c r="P112" s="43" t="s">
        <v>68</v>
      </c>
      <c r="Q112" s="39"/>
    </row>
    <row r="113" spans="2:17" ht="34.5" x14ac:dyDescent="0.25">
      <c r="B113" s="39" t="s">
        <v>866</v>
      </c>
      <c r="C113" s="43" t="s">
        <v>214</v>
      </c>
      <c r="D113" s="79" t="s">
        <v>200</v>
      </c>
      <c r="E113" s="13" t="s">
        <v>200</v>
      </c>
      <c r="F113" s="13">
        <v>1750000</v>
      </c>
      <c r="G113" s="13">
        <v>1270150</v>
      </c>
      <c r="H113" s="41" t="s">
        <v>38</v>
      </c>
      <c r="I113" s="41" t="s">
        <v>39</v>
      </c>
      <c r="J113" s="41" t="s">
        <v>40</v>
      </c>
      <c r="K113" s="41" t="s">
        <v>41</v>
      </c>
      <c r="L113" s="41" t="s">
        <v>42</v>
      </c>
      <c r="M113" s="43" t="s">
        <v>526</v>
      </c>
      <c r="N113" s="42" t="s">
        <v>215</v>
      </c>
      <c r="O113" s="43"/>
      <c r="P113" s="43"/>
      <c r="Q113" s="39"/>
    </row>
    <row r="114" spans="2:17" ht="23" x14ac:dyDescent="0.25">
      <c r="B114" s="39" t="s">
        <v>866</v>
      </c>
      <c r="C114" s="43" t="s">
        <v>527</v>
      </c>
      <c r="D114" s="79" t="s">
        <v>200</v>
      </c>
      <c r="E114" s="13" t="s">
        <v>200</v>
      </c>
      <c r="F114" s="13">
        <v>1316731.1885184997</v>
      </c>
      <c r="G114" s="13">
        <v>955683.49662672705</v>
      </c>
      <c r="H114" s="41" t="s">
        <v>38</v>
      </c>
      <c r="I114" s="41" t="s">
        <v>39</v>
      </c>
      <c r="J114" s="41" t="s">
        <v>40</v>
      </c>
      <c r="K114" s="41" t="s">
        <v>41</v>
      </c>
      <c r="L114" s="41" t="s">
        <v>42</v>
      </c>
      <c r="M114" s="43" t="s">
        <v>217</v>
      </c>
      <c r="N114" s="39">
        <v>15110</v>
      </c>
      <c r="O114" s="43"/>
      <c r="P114" s="43"/>
      <c r="Q114" s="39"/>
    </row>
    <row r="115" spans="2:17" x14ac:dyDescent="0.25">
      <c r="B115" s="39" t="s">
        <v>866</v>
      </c>
      <c r="C115" s="43" t="s">
        <v>528</v>
      </c>
      <c r="D115" s="79" t="s">
        <v>200</v>
      </c>
      <c r="E115" s="13" t="s">
        <v>200</v>
      </c>
      <c r="F115" s="13">
        <v>1035903.4715284893</v>
      </c>
      <c r="G115" s="13">
        <v>751858.73963537754</v>
      </c>
      <c r="H115" s="41" t="s">
        <v>38</v>
      </c>
      <c r="I115" s="41" t="s">
        <v>39</v>
      </c>
      <c r="J115" s="41" t="s">
        <v>40</v>
      </c>
      <c r="K115" s="41" t="s">
        <v>41</v>
      </c>
      <c r="L115" s="41" t="s">
        <v>42</v>
      </c>
      <c r="M115" s="43" t="s">
        <v>272</v>
      </c>
      <c r="N115" s="39">
        <v>12250</v>
      </c>
      <c r="O115" s="43"/>
      <c r="P115" s="43"/>
      <c r="Q115" s="39"/>
    </row>
    <row r="116" spans="2:17" x14ac:dyDescent="0.25">
      <c r="B116" s="39" t="s">
        <v>866</v>
      </c>
      <c r="C116" s="43" t="s">
        <v>211</v>
      </c>
      <c r="D116" s="79" t="s">
        <v>200</v>
      </c>
      <c r="E116" s="13" t="s">
        <v>200</v>
      </c>
      <c r="F116" s="13">
        <v>930879.96000000008</v>
      </c>
      <c r="G116" s="13">
        <v>675632.67496800004</v>
      </c>
      <c r="H116" s="41" t="s">
        <v>38</v>
      </c>
      <c r="I116" s="41" t="s">
        <v>39</v>
      </c>
      <c r="J116" s="41" t="s">
        <v>40</v>
      </c>
      <c r="K116" s="41" t="s">
        <v>41</v>
      </c>
      <c r="L116" s="41" t="s">
        <v>42</v>
      </c>
      <c r="M116" s="43" t="s">
        <v>43</v>
      </c>
      <c r="N116" s="39">
        <v>31110</v>
      </c>
      <c r="O116" s="43" t="s">
        <v>68</v>
      </c>
      <c r="P116" s="43"/>
      <c r="Q116" s="39"/>
    </row>
    <row r="117" spans="2:17" ht="46" x14ac:dyDescent="0.25">
      <c r="B117" s="39" t="s">
        <v>866</v>
      </c>
      <c r="C117" s="43" t="s">
        <v>232</v>
      </c>
      <c r="D117" s="79" t="s">
        <v>200</v>
      </c>
      <c r="E117" s="13" t="s">
        <v>200</v>
      </c>
      <c r="F117" s="13">
        <v>587490.19999999995</v>
      </c>
      <c r="G117" s="13">
        <v>426400.38715999998</v>
      </c>
      <c r="H117" s="41" t="s">
        <v>38</v>
      </c>
      <c r="I117" s="41" t="s">
        <v>39</v>
      </c>
      <c r="J117" s="41" t="s">
        <v>40</v>
      </c>
      <c r="K117" s="41" t="s">
        <v>41</v>
      </c>
      <c r="L117" s="41" t="s">
        <v>42</v>
      </c>
      <c r="M117" s="43" t="s">
        <v>137</v>
      </c>
      <c r="N117" s="42" t="s">
        <v>233</v>
      </c>
      <c r="O117" s="43" t="s">
        <v>68</v>
      </c>
      <c r="P117" s="43"/>
      <c r="Q117" s="39"/>
    </row>
    <row r="118" spans="2:17" ht="23" x14ac:dyDescent="0.25">
      <c r="B118" s="39" t="s">
        <v>866</v>
      </c>
      <c r="C118" s="43" t="s">
        <v>202</v>
      </c>
      <c r="D118" s="79" t="s">
        <v>200</v>
      </c>
      <c r="E118" s="13" t="s">
        <v>200</v>
      </c>
      <c r="F118" s="13">
        <v>500002.71938433032</v>
      </c>
      <c r="G118" s="13">
        <v>362901.97372914694</v>
      </c>
      <c r="H118" s="41" t="s">
        <v>38</v>
      </c>
      <c r="I118" s="41" t="s">
        <v>39</v>
      </c>
      <c r="J118" s="41" t="s">
        <v>40</v>
      </c>
      <c r="K118" s="41" t="s">
        <v>41</v>
      </c>
      <c r="L118" s="41" t="s">
        <v>42</v>
      </c>
      <c r="M118" s="43" t="s">
        <v>203</v>
      </c>
      <c r="N118" s="42" t="s">
        <v>204</v>
      </c>
      <c r="O118" s="43" t="s">
        <v>68</v>
      </c>
      <c r="P118" s="43"/>
      <c r="Q118" s="39"/>
    </row>
    <row r="119" spans="2:17" x14ac:dyDescent="0.25">
      <c r="B119" s="39" t="s">
        <v>866</v>
      </c>
      <c r="C119" s="43" t="s">
        <v>529</v>
      </c>
      <c r="D119" s="79" t="s">
        <v>200</v>
      </c>
      <c r="E119" s="13" t="s">
        <v>200</v>
      </c>
      <c r="F119" s="13">
        <v>312047.39999999997</v>
      </c>
      <c r="G119" s="13">
        <v>226484.00291999997</v>
      </c>
      <c r="H119" s="41" t="s">
        <v>38</v>
      </c>
      <c r="I119" s="41" t="s">
        <v>39</v>
      </c>
      <c r="J119" s="41" t="s">
        <v>40</v>
      </c>
      <c r="K119" s="41" t="s">
        <v>41</v>
      </c>
      <c r="L119" s="41" t="s">
        <v>42</v>
      </c>
      <c r="M119" s="43" t="s">
        <v>57</v>
      </c>
      <c r="N119" s="39">
        <v>74020</v>
      </c>
      <c r="O119" s="43" t="s">
        <v>68</v>
      </c>
      <c r="P119" s="43"/>
      <c r="Q119" s="39"/>
    </row>
    <row r="120" spans="2:17" ht="34.5" x14ac:dyDescent="0.25">
      <c r="B120" s="39" t="s">
        <v>866</v>
      </c>
      <c r="C120" s="43" t="s">
        <v>530</v>
      </c>
      <c r="D120" s="79" t="s">
        <v>200</v>
      </c>
      <c r="E120" s="13" t="s">
        <v>200</v>
      </c>
      <c r="F120" s="13">
        <v>187604.09999999998</v>
      </c>
      <c r="G120" s="13">
        <v>136163.05578</v>
      </c>
      <c r="H120" s="41" t="s">
        <v>38</v>
      </c>
      <c r="I120" s="41" t="s">
        <v>39</v>
      </c>
      <c r="J120" s="41" t="s">
        <v>40</v>
      </c>
      <c r="K120" s="41" t="s">
        <v>41</v>
      </c>
      <c r="L120" s="41" t="s">
        <v>42</v>
      </c>
      <c r="M120" s="43" t="s">
        <v>531</v>
      </c>
      <c r="N120" s="42" t="s">
        <v>532</v>
      </c>
      <c r="O120" s="43" t="s">
        <v>68</v>
      </c>
      <c r="P120" s="43"/>
      <c r="Q120" s="39"/>
    </row>
    <row r="121" spans="2:17" ht="23" x14ac:dyDescent="0.25">
      <c r="B121" s="39" t="s">
        <v>866</v>
      </c>
      <c r="C121" s="43" t="s">
        <v>218</v>
      </c>
      <c r="D121" s="79" t="s">
        <v>200</v>
      </c>
      <c r="E121" s="13" t="s">
        <v>200</v>
      </c>
      <c r="F121" s="13">
        <v>130809.60000000001</v>
      </c>
      <c r="G121" s="13">
        <v>94941.607680000001</v>
      </c>
      <c r="H121" s="41" t="s">
        <v>38</v>
      </c>
      <c r="I121" s="41" t="s">
        <v>39</v>
      </c>
      <c r="J121" s="41" t="s">
        <v>40</v>
      </c>
      <c r="K121" s="41" t="s">
        <v>41</v>
      </c>
      <c r="L121" s="41" t="s">
        <v>42</v>
      </c>
      <c r="M121" s="43" t="s">
        <v>217</v>
      </c>
      <c r="N121" s="39">
        <v>15110</v>
      </c>
      <c r="O121" s="43"/>
      <c r="P121" s="43"/>
      <c r="Q121" s="39"/>
    </row>
    <row r="122" spans="2:17" ht="23" x14ac:dyDescent="0.25">
      <c r="B122" s="39" t="s">
        <v>866</v>
      </c>
      <c r="C122" s="43" t="s">
        <v>223</v>
      </c>
      <c r="D122" s="79" t="s">
        <v>200</v>
      </c>
      <c r="E122" s="13" t="s">
        <v>200</v>
      </c>
      <c r="F122" s="13">
        <v>59597.700000000004</v>
      </c>
      <c r="G122" s="13">
        <v>43256.01066</v>
      </c>
      <c r="H122" s="41" t="s">
        <v>38</v>
      </c>
      <c r="I122" s="41" t="s">
        <v>39</v>
      </c>
      <c r="J122" s="41" t="s">
        <v>40</v>
      </c>
      <c r="K122" s="41" t="s">
        <v>41</v>
      </c>
      <c r="L122" s="41" t="s">
        <v>42</v>
      </c>
      <c r="M122" s="43" t="s">
        <v>217</v>
      </c>
      <c r="N122" s="39">
        <v>15160</v>
      </c>
      <c r="O122" s="43"/>
      <c r="P122" s="43"/>
      <c r="Q122" s="39"/>
    </row>
    <row r="123" spans="2:17" ht="23" x14ac:dyDescent="0.25">
      <c r="B123" s="39" t="s">
        <v>866</v>
      </c>
      <c r="C123" s="43" t="s">
        <v>199</v>
      </c>
      <c r="D123" s="79" t="s">
        <v>200</v>
      </c>
      <c r="E123" s="13" t="s">
        <v>200</v>
      </c>
      <c r="F123" s="13">
        <v>420936.86</v>
      </c>
      <c r="G123" s="13">
        <v>305515.97298799996</v>
      </c>
      <c r="H123" s="41" t="s">
        <v>38</v>
      </c>
      <c r="I123" s="41" t="s">
        <v>39</v>
      </c>
      <c r="J123" s="41" t="s">
        <v>40</v>
      </c>
      <c r="K123" s="41" t="s">
        <v>41</v>
      </c>
      <c r="L123" s="41" t="s">
        <v>159</v>
      </c>
      <c r="M123" s="43" t="s">
        <v>76</v>
      </c>
      <c r="N123" s="39">
        <v>41010</v>
      </c>
      <c r="O123" s="43" t="s">
        <v>68</v>
      </c>
      <c r="P123" s="43"/>
      <c r="Q123" s="39"/>
    </row>
    <row r="124" spans="2:17" ht="46" x14ac:dyDescent="0.25">
      <c r="B124" s="39" t="s">
        <v>866</v>
      </c>
      <c r="C124" s="43" t="s">
        <v>232</v>
      </c>
      <c r="D124" s="79" t="s">
        <v>200</v>
      </c>
      <c r="E124" s="13" t="s">
        <v>200</v>
      </c>
      <c r="F124" s="13">
        <v>206817.99</v>
      </c>
      <c r="G124" s="13">
        <v>150108.49714200001</v>
      </c>
      <c r="H124" s="41" t="s">
        <v>38</v>
      </c>
      <c r="I124" s="41" t="s">
        <v>39</v>
      </c>
      <c r="J124" s="41" t="s">
        <v>40</v>
      </c>
      <c r="K124" s="41" t="s">
        <v>41</v>
      </c>
      <c r="L124" s="41" t="s">
        <v>159</v>
      </c>
      <c r="M124" s="43" t="s">
        <v>137</v>
      </c>
      <c r="N124" s="42" t="s">
        <v>233</v>
      </c>
      <c r="O124" s="43" t="s">
        <v>68</v>
      </c>
      <c r="P124" s="43"/>
      <c r="Q124" s="39"/>
    </row>
    <row r="125" spans="2:17" ht="23" x14ac:dyDescent="0.25">
      <c r="B125" s="39" t="s">
        <v>866</v>
      </c>
      <c r="C125" s="43" t="s">
        <v>533</v>
      </c>
      <c r="D125" s="79" t="s">
        <v>200</v>
      </c>
      <c r="E125" s="13" t="s">
        <v>200</v>
      </c>
      <c r="F125" s="13">
        <v>13029000</v>
      </c>
      <c r="G125" s="13">
        <v>9456448.1999999993</v>
      </c>
      <c r="H125" s="41" t="s">
        <v>38</v>
      </c>
      <c r="I125" s="41" t="s">
        <v>39</v>
      </c>
      <c r="J125" s="41" t="s">
        <v>40</v>
      </c>
      <c r="K125" s="41" t="s">
        <v>41</v>
      </c>
      <c r="L125" s="41" t="s">
        <v>130</v>
      </c>
      <c r="M125" s="43" t="s">
        <v>534</v>
      </c>
      <c r="N125" s="39">
        <v>51010</v>
      </c>
      <c r="O125" s="43"/>
      <c r="P125" s="43"/>
      <c r="Q125" s="39"/>
    </row>
    <row r="126" spans="2:17" ht="23" x14ac:dyDescent="0.25">
      <c r="B126" s="39" t="s">
        <v>866</v>
      </c>
      <c r="C126" s="43" t="s">
        <v>535</v>
      </c>
      <c r="D126" s="79" t="s">
        <v>200</v>
      </c>
      <c r="E126" s="13" t="s">
        <v>200</v>
      </c>
      <c r="F126" s="13">
        <v>3360000</v>
      </c>
      <c r="G126" s="13">
        <v>2438688</v>
      </c>
      <c r="H126" s="41" t="s">
        <v>38</v>
      </c>
      <c r="I126" s="41" t="s">
        <v>39</v>
      </c>
      <c r="J126" s="41" t="s">
        <v>40</v>
      </c>
      <c r="K126" s="41" t="s">
        <v>41</v>
      </c>
      <c r="L126" s="41" t="s">
        <v>130</v>
      </c>
      <c r="M126" s="43" t="s">
        <v>130</v>
      </c>
      <c r="N126" s="39">
        <v>43010</v>
      </c>
      <c r="O126" s="43"/>
      <c r="P126" s="43"/>
      <c r="Q126" s="39"/>
    </row>
    <row r="127" spans="2:17" x14ac:dyDescent="0.25">
      <c r="B127" s="39" t="s">
        <v>866</v>
      </c>
      <c r="C127" s="43" t="s">
        <v>234</v>
      </c>
      <c r="D127" s="79" t="s">
        <v>200</v>
      </c>
      <c r="E127" s="13" t="s">
        <v>200</v>
      </c>
      <c r="F127" s="13">
        <v>1804703</v>
      </c>
      <c r="G127" s="13">
        <v>1309853.4373999999</v>
      </c>
      <c r="H127" s="41" t="s">
        <v>38</v>
      </c>
      <c r="I127" s="41" t="s">
        <v>39</v>
      </c>
      <c r="J127" s="41" t="s">
        <v>40</v>
      </c>
      <c r="K127" s="41" t="s">
        <v>41</v>
      </c>
      <c r="L127" s="41" t="s">
        <v>130</v>
      </c>
      <c r="M127" s="43" t="s">
        <v>130</v>
      </c>
      <c r="N127" s="39">
        <v>43010</v>
      </c>
      <c r="O127" s="43" t="s">
        <v>68</v>
      </c>
      <c r="P127" s="43" t="s">
        <v>68</v>
      </c>
      <c r="Q127" s="39"/>
    </row>
    <row r="128" spans="2:17" ht="80.5" x14ac:dyDescent="0.25">
      <c r="B128" s="39" t="s">
        <v>866</v>
      </c>
      <c r="C128" s="43" t="s">
        <v>205</v>
      </c>
      <c r="D128" s="79" t="s">
        <v>200</v>
      </c>
      <c r="E128" s="13" t="s">
        <v>200</v>
      </c>
      <c r="F128" s="13">
        <v>450000</v>
      </c>
      <c r="G128" s="13">
        <v>326610</v>
      </c>
      <c r="H128" s="41" t="s">
        <v>38</v>
      </c>
      <c r="I128" s="41" t="s">
        <v>39</v>
      </c>
      <c r="J128" s="41" t="s">
        <v>40</v>
      </c>
      <c r="K128" s="41" t="s">
        <v>41</v>
      </c>
      <c r="L128" s="41" t="s">
        <v>130</v>
      </c>
      <c r="M128" s="43" t="s">
        <v>206</v>
      </c>
      <c r="N128" s="42" t="s">
        <v>207</v>
      </c>
      <c r="O128" s="43"/>
      <c r="P128" s="43" t="s">
        <v>68</v>
      </c>
      <c r="Q128" s="39"/>
    </row>
    <row r="129" spans="2:17" x14ac:dyDescent="0.25">
      <c r="B129" s="39" t="s">
        <v>238</v>
      </c>
      <c r="C129" s="43" t="s">
        <v>536</v>
      </c>
      <c r="D129" s="18">
        <v>2027027.03</v>
      </c>
      <c r="E129" s="18">
        <v>1471216.2183739999</v>
      </c>
      <c r="F129" s="18" t="s">
        <v>200</v>
      </c>
      <c r="G129" s="18" t="s">
        <v>200</v>
      </c>
      <c r="H129" s="41" t="s">
        <v>38</v>
      </c>
      <c r="I129" s="41" t="s">
        <v>244</v>
      </c>
      <c r="J129" s="41" t="s">
        <v>198</v>
      </c>
      <c r="K129" s="41" t="s">
        <v>537</v>
      </c>
      <c r="L129" s="41" t="s">
        <v>42</v>
      </c>
      <c r="M129" s="85" t="s">
        <v>262</v>
      </c>
      <c r="N129" s="84">
        <v>21010</v>
      </c>
      <c r="O129" s="43"/>
      <c r="P129" s="43"/>
      <c r="Q129" s="39"/>
    </row>
    <row r="130" spans="2:17" x14ac:dyDescent="0.25">
      <c r="B130" s="39" t="s">
        <v>238</v>
      </c>
      <c r="C130" s="43" t="s">
        <v>248</v>
      </c>
      <c r="D130" s="13" t="s">
        <v>200</v>
      </c>
      <c r="E130" s="13" t="s">
        <v>200</v>
      </c>
      <c r="F130" s="13">
        <v>5346000</v>
      </c>
      <c r="G130" s="13">
        <v>3880126.8</v>
      </c>
      <c r="H130" s="41" t="s">
        <v>38</v>
      </c>
      <c r="I130" s="40" t="s">
        <v>244</v>
      </c>
      <c r="J130" s="41" t="s">
        <v>40</v>
      </c>
      <c r="K130" s="41" t="s">
        <v>41</v>
      </c>
      <c r="L130" s="41" t="s">
        <v>42</v>
      </c>
      <c r="M130" s="43" t="s">
        <v>74</v>
      </c>
      <c r="N130" s="84">
        <v>25030</v>
      </c>
      <c r="O130" s="43"/>
      <c r="P130" s="43"/>
      <c r="Q130" s="39"/>
    </row>
    <row r="131" spans="2:17" ht="69" x14ac:dyDescent="0.25">
      <c r="B131" s="39" t="s">
        <v>238</v>
      </c>
      <c r="C131" s="43" t="s">
        <v>239</v>
      </c>
      <c r="D131" s="13" t="s">
        <v>200</v>
      </c>
      <c r="E131" s="13" t="s">
        <v>200</v>
      </c>
      <c r="F131" s="13">
        <v>2143584.7697250005</v>
      </c>
      <c r="G131" s="13">
        <v>1555813.8258664054</v>
      </c>
      <c r="H131" s="41" t="s">
        <v>38</v>
      </c>
      <c r="I131" s="40" t="s">
        <v>244</v>
      </c>
      <c r="J131" s="41" t="s">
        <v>40</v>
      </c>
      <c r="K131" s="41" t="s">
        <v>41</v>
      </c>
      <c r="L131" s="41" t="s">
        <v>42</v>
      </c>
      <c r="M131" s="43" t="s">
        <v>241</v>
      </c>
      <c r="N131" s="42" t="s">
        <v>242</v>
      </c>
      <c r="O131" s="43"/>
      <c r="P131" s="43"/>
      <c r="Q131" s="39"/>
    </row>
    <row r="132" spans="2:17" ht="23" x14ac:dyDescent="0.25">
      <c r="B132" s="39" t="s">
        <v>238</v>
      </c>
      <c r="C132" s="43" t="s">
        <v>243</v>
      </c>
      <c r="D132" s="13" t="s">
        <v>200</v>
      </c>
      <c r="E132" s="13" t="s">
        <v>200</v>
      </c>
      <c r="F132" s="13">
        <v>1933411.1189999999</v>
      </c>
      <c r="G132" s="13">
        <v>1403269.7901701999</v>
      </c>
      <c r="H132" s="41" t="s">
        <v>38</v>
      </c>
      <c r="I132" s="40" t="s">
        <v>244</v>
      </c>
      <c r="J132" s="41" t="s">
        <v>40</v>
      </c>
      <c r="K132" s="41" t="s">
        <v>41</v>
      </c>
      <c r="L132" s="41" t="s">
        <v>42</v>
      </c>
      <c r="M132" s="43" t="s">
        <v>65</v>
      </c>
      <c r="N132" s="84">
        <v>73010</v>
      </c>
      <c r="O132" s="43"/>
      <c r="P132" s="43"/>
      <c r="Q132" s="39"/>
    </row>
    <row r="133" spans="2:17" x14ac:dyDescent="0.25">
      <c r="B133" s="39" t="s">
        <v>238</v>
      </c>
      <c r="C133" s="43" t="s">
        <v>245</v>
      </c>
      <c r="D133" s="13" t="s">
        <v>200</v>
      </c>
      <c r="E133" s="13" t="s">
        <v>200</v>
      </c>
      <c r="F133" s="13">
        <v>896756.53167804005</v>
      </c>
      <c r="G133" s="13">
        <v>650865.89069192146</v>
      </c>
      <c r="H133" s="41" t="s">
        <v>38</v>
      </c>
      <c r="I133" s="40" t="s">
        <v>244</v>
      </c>
      <c r="J133" s="41" t="s">
        <v>40</v>
      </c>
      <c r="K133" s="41" t="s">
        <v>41</v>
      </c>
      <c r="L133" s="41" t="s">
        <v>42</v>
      </c>
      <c r="M133" s="43" t="s">
        <v>246</v>
      </c>
      <c r="N133" s="84">
        <v>32130</v>
      </c>
      <c r="O133" s="43"/>
      <c r="P133" s="43"/>
      <c r="Q133" s="39"/>
    </row>
    <row r="134" spans="2:17" ht="23" x14ac:dyDescent="0.25">
      <c r="B134" s="39" t="s">
        <v>238</v>
      </c>
      <c r="C134" s="43" t="s">
        <v>538</v>
      </c>
      <c r="D134" s="13" t="s">
        <v>200</v>
      </c>
      <c r="E134" s="13" t="s">
        <v>200</v>
      </c>
      <c r="F134" s="13">
        <v>600000</v>
      </c>
      <c r="G134" s="13">
        <v>435480</v>
      </c>
      <c r="H134" s="41" t="s">
        <v>38</v>
      </c>
      <c r="I134" s="40" t="s">
        <v>244</v>
      </c>
      <c r="J134" s="41" t="s">
        <v>40</v>
      </c>
      <c r="K134" s="41" t="s">
        <v>41</v>
      </c>
      <c r="L134" s="41" t="s">
        <v>42</v>
      </c>
      <c r="M134" s="43" t="s">
        <v>217</v>
      </c>
      <c r="N134" s="84">
        <v>15142</v>
      </c>
      <c r="O134" s="43"/>
      <c r="P134" s="43"/>
      <c r="Q134" s="39"/>
    </row>
    <row r="135" spans="2:17" x14ac:dyDescent="0.25">
      <c r="B135" s="39" t="s">
        <v>238</v>
      </c>
      <c r="C135" s="43" t="s">
        <v>539</v>
      </c>
      <c r="D135" s="13" t="s">
        <v>200</v>
      </c>
      <c r="E135" s="13" t="s">
        <v>200</v>
      </c>
      <c r="F135" s="13">
        <v>1000000</v>
      </c>
      <c r="G135" s="13">
        <v>725800</v>
      </c>
      <c r="H135" s="41" t="s">
        <v>38</v>
      </c>
      <c r="I135" s="40" t="s">
        <v>244</v>
      </c>
      <c r="J135" s="41" t="s">
        <v>40</v>
      </c>
      <c r="K135" s="41" t="s">
        <v>41</v>
      </c>
      <c r="L135" s="41" t="s">
        <v>159</v>
      </c>
      <c r="M135" s="43" t="s">
        <v>130</v>
      </c>
      <c r="N135" s="39">
        <v>43010</v>
      </c>
      <c r="O135" s="43"/>
      <c r="P135" s="43"/>
      <c r="Q135" s="39"/>
    </row>
    <row r="136" spans="2:17" x14ac:dyDescent="0.25">
      <c r="B136" s="39" t="s">
        <v>238</v>
      </c>
      <c r="C136" s="43" t="s">
        <v>248</v>
      </c>
      <c r="D136" s="13" t="s">
        <v>200</v>
      </c>
      <c r="E136" s="13" t="s">
        <v>200</v>
      </c>
      <c r="F136" s="13">
        <v>2754000</v>
      </c>
      <c r="G136" s="13">
        <v>1998853.2</v>
      </c>
      <c r="H136" s="41" t="s">
        <v>38</v>
      </c>
      <c r="I136" s="40" t="s">
        <v>244</v>
      </c>
      <c r="J136" s="41" t="s">
        <v>40</v>
      </c>
      <c r="K136" s="41" t="s">
        <v>41</v>
      </c>
      <c r="L136" s="41" t="s">
        <v>130</v>
      </c>
      <c r="M136" s="43" t="s">
        <v>74</v>
      </c>
      <c r="N136" s="39">
        <v>25030</v>
      </c>
      <c r="O136" s="43"/>
      <c r="P136" s="43"/>
      <c r="Q136" s="39"/>
    </row>
    <row r="137" spans="2:17" x14ac:dyDescent="0.25">
      <c r="B137" s="39" t="s">
        <v>251</v>
      </c>
      <c r="C137" s="43" t="s">
        <v>540</v>
      </c>
      <c r="D137" s="13" t="s">
        <v>200</v>
      </c>
      <c r="E137" s="13" t="s">
        <v>200</v>
      </c>
      <c r="F137" s="13">
        <v>388437.35600000003</v>
      </c>
      <c r="G137" s="13">
        <v>281927.83298480004</v>
      </c>
      <c r="H137" s="41" t="s">
        <v>38</v>
      </c>
      <c r="I137" s="40" t="s">
        <v>244</v>
      </c>
      <c r="J137" s="41" t="s">
        <v>40</v>
      </c>
      <c r="K137" s="41" t="s">
        <v>41</v>
      </c>
      <c r="L137" s="41" t="s">
        <v>42</v>
      </c>
      <c r="M137" s="43" t="s">
        <v>225</v>
      </c>
      <c r="N137" s="39">
        <v>11120</v>
      </c>
      <c r="O137" s="43"/>
      <c r="P137" s="43"/>
      <c r="Q137" s="39"/>
    </row>
    <row r="138" spans="2:17" ht="34.5" x14ac:dyDescent="0.25">
      <c r="B138" s="39" t="s">
        <v>251</v>
      </c>
      <c r="C138" s="43" t="s">
        <v>541</v>
      </c>
      <c r="D138" s="13" t="s">
        <v>200</v>
      </c>
      <c r="E138" s="13" t="s">
        <v>200</v>
      </c>
      <c r="F138" s="13">
        <v>200924.02199999997</v>
      </c>
      <c r="G138" s="13">
        <v>145830.65516759997</v>
      </c>
      <c r="H138" s="41" t="s">
        <v>38</v>
      </c>
      <c r="I138" s="40" t="s">
        <v>244</v>
      </c>
      <c r="J138" s="41" t="s">
        <v>40</v>
      </c>
      <c r="K138" s="41" t="s">
        <v>41</v>
      </c>
      <c r="L138" s="41" t="s">
        <v>42</v>
      </c>
      <c r="M138" s="43" t="s">
        <v>542</v>
      </c>
      <c r="N138" s="42" t="s">
        <v>543</v>
      </c>
      <c r="O138" s="43"/>
      <c r="P138" s="43"/>
      <c r="Q138" s="39"/>
    </row>
    <row r="139" spans="2:17" ht="23" x14ac:dyDescent="0.25">
      <c r="B139" s="39" t="s">
        <v>251</v>
      </c>
      <c r="C139" s="43" t="s">
        <v>544</v>
      </c>
      <c r="D139" s="13" t="s">
        <v>200</v>
      </c>
      <c r="E139" s="13" t="s">
        <v>200</v>
      </c>
      <c r="F139" s="13">
        <v>139171.83599999998</v>
      </c>
      <c r="G139" s="13">
        <v>101010.91856879999</v>
      </c>
      <c r="H139" s="41" t="s">
        <v>38</v>
      </c>
      <c r="I139" s="40" t="s">
        <v>244</v>
      </c>
      <c r="J139" s="41" t="s">
        <v>40</v>
      </c>
      <c r="K139" s="41" t="s">
        <v>41</v>
      </c>
      <c r="L139" s="41" t="s">
        <v>42</v>
      </c>
      <c r="M139" s="43" t="s">
        <v>217</v>
      </c>
      <c r="N139" s="39">
        <v>15111</v>
      </c>
      <c r="O139" s="43"/>
      <c r="P139" s="43"/>
      <c r="Q139" s="39"/>
    </row>
    <row r="140" spans="2:17" ht="46" x14ac:dyDescent="0.25">
      <c r="B140" s="39" t="s">
        <v>251</v>
      </c>
      <c r="C140" s="43" t="s">
        <v>545</v>
      </c>
      <c r="D140" s="13" t="s">
        <v>200</v>
      </c>
      <c r="E140" s="13" t="s">
        <v>200</v>
      </c>
      <c r="F140" s="13">
        <v>107229.47042741001</v>
      </c>
      <c r="G140" s="13">
        <v>77827.149636214177</v>
      </c>
      <c r="H140" s="41" t="s">
        <v>38</v>
      </c>
      <c r="I140" s="40" t="s">
        <v>244</v>
      </c>
      <c r="J140" s="41" t="s">
        <v>40</v>
      </c>
      <c r="K140" s="41" t="s">
        <v>41</v>
      </c>
      <c r="L140" s="41" t="s">
        <v>42</v>
      </c>
      <c r="M140" s="43" t="s">
        <v>546</v>
      </c>
      <c r="N140" s="42" t="s">
        <v>547</v>
      </c>
      <c r="O140" s="43"/>
      <c r="P140" s="43"/>
      <c r="Q140" s="39"/>
    </row>
    <row r="141" spans="2:17" ht="23" x14ac:dyDescent="0.25">
      <c r="B141" s="39" t="s">
        <v>251</v>
      </c>
      <c r="C141" s="43" t="s">
        <v>548</v>
      </c>
      <c r="D141" s="13" t="s">
        <v>200</v>
      </c>
      <c r="E141" s="13" t="s">
        <v>200</v>
      </c>
      <c r="F141" s="13">
        <v>50697.605171399999</v>
      </c>
      <c r="G141" s="13">
        <v>36796.321833402122</v>
      </c>
      <c r="H141" s="41" t="s">
        <v>38</v>
      </c>
      <c r="I141" s="40" t="s">
        <v>244</v>
      </c>
      <c r="J141" s="41" t="s">
        <v>40</v>
      </c>
      <c r="K141" s="41" t="s">
        <v>41</v>
      </c>
      <c r="L141" s="41" t="s">
        <v>42</v>
      </c>
      <c r="M141" s="43" t="s">
        <v>217</v>
      </c>
      <c r="N141" s="84">
        <v>15150</v>
      </c>
      <c r="O141" s="43"/>
      <c r="P141" s="43"/>
      <c r="Q141" s="39"/>
    </row>
    <row r="142" spans="2:17" x14ac:dyDescent="0.25">
      <c r="B142" s="39" t="s">
        <v>251</v>
      </c>
      <c r="C142" s="43" t="s">
        <v>549</v>
      </c>
      <c r="D142" s="13" t="s">
        <v>200</v>
      </c>
      <c r="E142" s="13" t="s">
        <v>200</v>
      </c>
      <c r="F142" s="13">
        <v>2607504.4380000001</v>
      </c>
      <c r="G142" s="13">
        <v>1892526.7211004</v>
      </c>
      <c r="H142" s="41" t="s">
        <v>38</v>
      </c>
      <c r="I142" s="40" t="s">
        <v>244</v>
      </c>
      <c r="J142" s="41" t="s">
        <v>40</v>
      </c>
      <c r="K142" s="41" t="s">
        <v>41</v>
      </c>
      <c r="L142" s="41" t="s">
        <v>130</v>
      </c>
      <c r="M142" s="43" t="s">
        <v>225</v>
      </c>
      <c r="N142" s="84">
        <v>11110</v>
      </c>
      <c r="O142" s="43"/>
      <c r="P142" s="43"/>
      <c r="Q142" s="39"/>
    </row>
    <row r="143" spans="2:17" x14ac:dyDescent="0.25">
      <c r="B143" s="39" t="s">
        <v>258</v>
      </c>
      <c r="C143" s="43" t="s">
        <v>259</v>
      </c>
      <c r="D143" s="13" t="s">
        <v>200</v>
      </c>
      <c r="E143" s="13" t="s">
        <v>200</v>
      </c>
      <c r="F143" s="13">
        <v>2190067.4300000002</v>
      </c>
      <c r="G143" s="13">
        <v>1589550.9406940001</v>
      </c>
      <c r="H143" s="41" t="s">
        <v>38</v>
      </c>
      <c r="I143" s="40" t="s">
        <v>244</v>
      </c>
      <c r="J143" s="41" t="s">
        <v>40</v>
      </c>
      <c r="K143" s="41" t="s">
        <v>41</v>
      </c>
      <c r="L143" s="41" t="s">
        <v>42</v>
      </c>
      <c r="M143" s="43" t="s">
        <v>225</v>
      </c>
      <c r="N143" s="39">
        <v>11110</v>
      </c>
      <c r="O143" s="85" t="s">
        <v>68</v>
      </c>
      <c r="P143" s="85" t="s">
        <v>68</v>
      </c>
      <c r="Q143" s="39"/>
    </row>
    <row r="144" spans="2:17" ht="23" x14ac:dyDescent="0.25">
      <c r="B144" s="39" t="s">
        <v>550</v>
      </c>
      <c r="C144" s="43" t="s">
        <v>551</v>
      </c>
      <c r="D144" s="13" t="s">
        <v>200</v>
      </c>
      <c r="E144" s="13" t="s">
        <v>200</v>
      </c>
      <c r="F144" s="13">
        <v>878272.86</v>
      </c>
      <c r="G144" s="13">
        <v>637450.44178799994</v>
      </c>
      <c r="H144" s="41" t="s">
        <v>38</v>
      </c>
      <c r="I144" s="40" t="s">
        <v>244</v>
      </c>
      <c r="J144" s="41" t="s">
        <v>40</v>
      </c>
      <c r="K144" s="41" t="s">
        <v>41</v>
      </c>
      <c r="L144" s="41" t="s">
        <v>130</v>
      </c>
      <c r="M144" s="43" t="s">
        <v>225</v>
      </c>
      <c r="N144" s="86" t="s">
        <v>552</v>
      </c>
      <c r="O144" s="85"/>
      <c r="P144" s="85"/>
      <c r="Q144" s="39"/>
    </row>
    <row r="145" spans="2:17" ht="34.5" x14ac:dyDescent="0.25">
      <c r="B145" s="39" t="s">
        <v>260</v>
      </c>
      <c r="C145" s="43" t="s">
        <v>263</v>
      </c>
      <c r="D145" s="13" t="s">
        <v>200</v>
      </c>
      <c r="E145" s="13" t="s">
        <v>200</v>
      </c>
      <c r="F145" s="13">
        <v>18399.96</v>
      </c>
      <c r="G145" s="13">
        <v>13354.690967999999</v>
      </c>
      <c r="H145" s="41" t="s">
        <v>38</v>
      </c>
      <c r="I145" s="40" t="s">
        <v>244</v>
      </c>
      <c r="J145" s="41" t="s">
        <v>40</v>
      </c>
      <c r="K145" s="41" t="s">
        <v>41</v>
      </c>
      <c r="L145" s="41" t="s">
        <v>159</v>
      </c>
      <c r="M145" s="43" t="s">
        <v>553</v>
      </c>
      <c r="N145" s="42" t="s">
        <v>554</v>
      </c>
      <c r="O145" s="43"/>
      <c r="P145" s="43" t="s">
        <v>68</v>
      </c>
      <c r="Q145" s="39"/>
    </row>
    <row r="146" spans="2:17" x14ac:dyDescent="0.25">
      <c r="B146" s="39" t="s">
        <v>260</v>
      </c>
      <c r="C146" s="43" t="s">
        <v>261</v>
      </c>
      <c r="D146" s="13" t="s">
        <v>200</v>
      </c>
      <c r="E146" s="13" t="s">
        <v>200</v>
      </c>
      <c r="F146" s="13">
        <v>214103.53</v>
      </c>
      <c r="G146" s="13">
        <v>155396.34207399999</v>
      </c>
      <c r="H146" s="41" t="s">
        <v>38</v>
      </c>
      <c r="I146" s="40" t="s">
        <v>244</v>
      </c>
      <c r="J146" s="41" t="s">
        <v>40</v>
      </c>
      <c r="K146" s="41" t="s">
        <v>41</v>
      </c>
      <c r="L146" s="41" t="s">
        <v>130</v>
      </c>
      <c r="M146" s="43" t="s">
        <v>262</v>
      </c>
      <c r="N146" s="39">
        <v>21050</v>
      </c>
      <c r="O146" s="43"/>
      <c r="P146" s="43"/>
      <c r="Q146" s="39"/>
    </row>
    <row r="147" spans="2:17" ht="34.5" x14ac:dyDescent="0.25">
      <c r="B147" s="39" t="s">
        <v>260</v>
      </c>
      <c r="C147" s="43" t="s">
        <v>263</v>
      </c>
      <c r="D147" s="13" t="s">
        <v>200</v>
      </c>
      <c r="E147" s="13" t="s">
        <v>200</v>
      </c>
      <c r="F147" s="13">
        <v>13363.35</v>
      </c>
      <c r="G147" s="13">
        <v>9699.1194300000006</v>
      </c>
      <c r="H147" s="41" t="s">
        <v>38</v>
      </c>
      <c r="I147" s="40" t="s">
        <v>244</v>
      </c>
      <c r="J147" s="41" t="s">
        <v>40</v>
      </c>
      <c r="K147" s="41" t="s">
        <v>41</v>
      </c>
      <c r="L147" s="41" t="s">
        <v>130</v>
      </c>
      <c r="M147" s="43" t="s">
        <v>553</v>
      </c>
      <c r="N147" s="42" t="s">
        <v>554</v>
      </c>
      <c r="O147" s="43"/>
      <c r="P147" s="43" t="s">
        <v>68</v>
      </c>
      <c r="Q147" s="39"/>
    </row>
    <row r="148" spans="2:17" x14ac:dyDescent="0.25">
      <c r="B148" s="39" t="s">
        <v>555</v>
      </c>
      <c r="C148" s="43" t="s">
        <v>556</v>
      </c>
      <c r="D148" s="13">
        <v>12195122</v>
      </c>
      <c r="E148" s="13">
        <v>8851219.5475999992</v>
      </c>
      <c r="F148" s="13" t="s">
        <v>200</v>
      </c>
      <c r="G148" s="13" t="s">
        <v>200</v>
      </c>
      <c r="H148" s="41" t="s">
        <v>38</v>
      </c>
      <c r="I148" s="40" t="s">
        <v>244</v>
      </c>
      <c r="J148" s="41" t="s">
        <v>40</v>
      </c>
      <c r="K148" s="41" t="s">
        <v>537</v>
      </c>
      <c r="L148" s="41" t="s">
        <v>557</v>
      </c>
      <c r="M148" s="85" t="s">
        <v>81</v>
      </c>
      <c r="N148" s="43">
        <v>23110</v>
      </c>
      <c r="O148" s="43"/>
      <c r="P148" s="43"/>
      <c r="Q148" s="39"/>
    </row>
    <row r="149" spans="2:17" x14ac:dyDescent="0.25">
      <c r="B149" s="39" t="s">
        <v>266</v>
      </c>
      <c r="C149" s="43" t="s">
        <v>558</v>
      </c>
      <c r="D149" s="79" t="s">
        <v>200</v>
      </c>
      <c r="E149" s="13" t="s">
        <v>200</v>
      </c>
      <c r="F149" s="13">
        <v>15892160.670601938</v>
      </c>
      <c r="G149" s="13">
        <v>11534530.214722887</v>
      </c>
      <c r="H149" s="41" t="s">
        <v>38</v>
      </c>
      <c r="I149" s="40" t="s">
        <v>244</v>
      </c>
      <c r="J149" s="41" t="s">
        <v>40</v>
      </c>
      <c r="K149" s="41" t="s">
        <v>41</v>
      </c>
      <c r="L149" s="41" t="s">
        <v>42</v>
      </c>
      <c r="M149" s="43" t="s">
        <v>262</v>
      </c>
      <c r="N149" s="85">
        <v>21011</v>
      </c>
      <c r="O149" s="85" t="s">
        <v>68</v>
      </c>
      <c r="P149" s="85"/>
      <c r="Q149" s="39"/>
    </row>
    <row r="150" spans="2:17" ht="69" x14ac:dyDescent="0.25">
      <c r="B150" s="39" t="s">
        <v>266</v>
      </c>
      <c r="C150" s="43" t="s">
        <v>559</v>
      </c>
      <c r="D150" s="79" t="s">
        <v>560</v>
      </c>
      <c r="E150" s="13" t="s">
        <v>560</v>
      </c>
      <c r="F150" s="13">
        <v>13773000</v>
      </c>
      <c r="G150" s="13">
        <v>9996443.4000000004</v>
      </c>
      <c r="H150" s="41" t="s">
        <v>38</v>
      </c>
      <c r="I150" s="40" t="s">
        <v>244</v>
      </c>
      <c r="J150" s="41" t="s">
        <v>40</v>
      </c>
      <c r="K150" s="87" t="s">
        <v>537</v>
      </c>
      <c r="L150" s="41" t="s">
        <v>42</v>
      </c>
      <c r="M150" s="43" t="s">
        <v>262</v>
      </c>
      <c r="N150" s="85">
        <v>21040</v>
      </c>
      <c r="O150" s="85"/>
      <c r="P150" s="85"/>
      <c r="Q150" s="43" t="s">
        <v>561</v>
      </c>
    </row>
    <row r="151" spans="2:17" x14ac:dyDescent="0.25">
      <c r="B151" s="39" t="s">
        <v>266</v>
      </c>
      <c r="C151" s="43" t="s">
        <v>562</v>
      </c>
      <c r="D151" s="79" t="s">
        <v>200</v>
      </c>
      <c r="E151" s="13" t="s">
        <v>200</v>
      </c>
      <c r="F151" s="13">
        <v>9313767.8040000014</v>
      </c>
      <c r="G151" s="13">
        <v>6759932.6721432013</v>
      </c>
      <c r="H151" s="41" t="s">
        <v>38</v>
      </c>
      <c r="I151" s="40" t="s">
        <v>244</v>
      </c>
      <c r="J151" s="41" t="s">
        <v>40</v>
      </c>
      <c r="K151" s="41" t="s">
        <v>41</v>
      </c>
      <c r="L151" s="41" t="s">
        <v>42</v>
      </c>
      <c r="M151" s="43" t="s">
        <v>272</v>
      </c>
      <c r="N151" s="39">
        <v>12110</v>
      </c>
      <c r="O151" s="85"/>
      <c r="P151" s="85"/>
      <c r="Q151" s="39"/>
    </row>
    <row r="152" spans="2:17" ht="57.5" x14ac:dyDescent="0.25">
      <c r="B152" s="39" t="s">
        <v>266</v>
      </c>
      <c r="C152" s="43" t="s">
        <v>282</v>
      </c>
      <c r="D152" s="79" t="s">
        <v>200</v>
      </c>
      <c r="E152" s="13" t="s">
        <v>200</v>
      </c>
      <c r="F152" s="13">
        <v>7144984.1521217115</v>
      </c>
      <c r="G152" s="13">
        <v>5185829.4976099385</v>
      </c>
      <c r="H152" s="41" t="s">
        <v>38</v>
      </c>
      <c r="I152" s="40" t="s">
        <v>244</v>
      </c>
      <c r="J152" s="41" t="s">
        <v>40</v>
      </c>
      <c r="K152" s="41" t="s">
        <v>41</v>
      </c>
      <c r="L152" s="41" t="s">
        <v>42</v>
      </c>
      <c r="M152" s="43" t="s">
        <v>283</v>
      </c>
      <c r="N152" s="86" t="s">
        <v>284</v>
      </c>
      <c r="O152" s="85"/>
      <c r="P152" s="85"/>
      <c r="Q152" s="39"/>
    </row>
    <row r="153" spans="2:17" ht="80.5" x14ac:dyDescent="0.25">
      <c r="B153" s="39" t="s">
        <v>266</v>
      </c>
      <c r="C153" s="43" t="s">
        <v>276</v>
      </c>
      <c r="D153" s="79" t="s">
        <v>200</v>
      </c>
      <c r="E153" s="13" t="s">
        <v>200</v>
      </c>
      <c r="F153" s="13">
        <v>5623384.214999998</v>
      </c>
      <c r="G153" s="13">
        <v>4081452.2632469987</v>
      </c>
      <c r="H153" s="41" t="s">
        <v>38</v>
      </c>
      <c r="I153" s="40" t="s">
        <v>244</v>
      </c>
      <c r="J153" s="41" t="s">
        <v>40</v>
      </c>
      <c r="K153" s="41" t="s">
        <v>41</v>
      </c>
      <c r="L153" s="41" t="s">
        <v>42</v>
      </c>
      <c r="M153" s="85" t="s">
        <v>277</v>
      </c>
      <c r="N153" s="86" t="s">
        <v>278</v>
      </c>
      <c r="O153" s="85"/>
      <c r="P153" s="85"/>
      <c r="Q153" s="39"/>
    </row>
    <row r="154" spans="2:17" ht="57.5" x14ac:dyDescent="0.25">
      <c r="B154" s="39" t="s">
        <v>266</v>
      </c>
      <c r="C154" s="43" t="s">
        <v>268</v>
      </c>
      <c r="D154" s="79" t="s">
        <v>200</v>
      </c>
      <c r="E154" s="13" t="s">
        <v>200</v>
      </c>
      <c r="F154" s="13">
        <v>3102694.629955803</v>
      </c>
      <c r="G154" s="13">
        <v>2251935.7624219218</v>
      </c>
      <c r="H154" s="41" t="s">
        <v>38</v>
      </c>
      <c r="I154" s="40" t="s">
        <v>244</v>
      </c>
      <c r="J154" s="41" t="s">
        <v>40</v>
      </c>
      <c r="K154" s="41" t="s">
        <v>41</v>
      </c>
      <c r="L154" s="41" t="s">
        <v>42</v>
      </c>
      <c r="M154" s="85" t="s">
        <v>269</v>
      </c>
      <c r="N154" s="86" t="s">
        <v>270</v>
      </c>
      <c r="O154" s="85" t="s">
        <v>68</v>
      </c>
      <c r="P154" s="85"/>
      <c r="Q154" s="39"/>
    </row>
    <row r="155" spans="2:17" x14ac:dyDescent="0.25">
      <c r="B155" s="39" t="s">
        <v>266</v>
      </c>
      <c r="C155" s="43" t="s">
        <v>287</v>
      </c>
      <c r="D155" s="79" t="s">
        <v>200</v>
      </c>
      <c r="E155" s="13" t="s">
        <v>200</v>
      </c>
      <c r="F155" s="13">
        <v>2818629.648</v>
      </c>
      <c r="G155" s="13">
        <v>2045761.3985184</v>
      </c>
      <c r="H155" s="41" t="s">
        <v>38</v>
      </c>
      <c r="I155" s="40" t="s">
        <v>244</v>
      </c>
      <c r="J155" s="41" t="s">
        <v>40</v>
      </c>
      <c r="K155" s="41" t="s">
        <v>41</v>
      </c>
      <c r="L155" s="41" t="s">
        <v>42</v>
      </c>
      <c r="M155" s="85" t="s">
        <v>262</v>
      </c>
      <c r="N155" s="85">
        <v>21040</v>
      </c>
      <c r="O155" s="85"/>
      <c r="P155" s="85"/>
      <c r="Q155" s="39"/>
    </row>
    <row r="156" spans="2:17" ht="80.5" x14ac:dyDescent="0.25">
      <c r="B156" s="39" t="s">
        <v>266</v>
      </c>
      <c r="C156" s="43" t="s">
        <v>563</v>
      </c>
      <c r="D156" s="79" t="s">
        <v>200</v>
      </c>
      <c r="E156" s="13" t="s">
        <v>200</v>
      </c>
      <c r="F156" s="13">
        <v>1017324.7322000002</v>
      </c>
      <c r="G156" s="13">
        <v>738374.29063076014</v>
      </c>
      <c r="H156" s="41" t="s">
        <v>38</v>
      </c>
      <c r="I156" s="40" t="s">
        <v>244</v>
      </c>
      <c r="J156" s="41" t="s">
        <v>40</v>
      </c>
      <c r="K156" s="41" t="s">
        <v>41</v>
      </c>
      <c r="L156" s="41" t="s">
        <v>42</v>
      </c>
      <c r="M156" s="85" t="s">
        <v>564</v>
      </c>
      <c r="N156" s="86" t="s">
        <v>565</v>
      </c>
      <c r="O156" s="85"/>
      <c r="P156" s="85"/>
      <c r="Q156" s="39"/>
    </row>
    <row r="157" spans="2:17" x14ac:dyDescent="0.25">
      <c r="B157" s="39" t="s">
        <v>266</v>
      </c>
      <c r="C157" s="43" t="s">
        <v>566</v>
      </c>
      <c r="D157" s="79" t="s">
        <v>200</v>
      </c>
      <c r="E157" s="13" t="s">
        <v>200</v>
      </c>
      <c r="F157" s="13">
        <v>810730.24999999942</v>
      </c>
      <c r="G157" s="13">
        <v>588428.0154499996</v>
      </c>
      <c r="H157" s="41" t="s">
        <v>38</v>
      </c>
      <c r="I157" s="40" t="s">
        <v>244</v>
      </c>
      <c r="J157" s="41" t="s">
        <v>40</v>
      </c>
      <c r="K157" s="41" t="s">
        <v>41</v>
      </c>
      <c r="L157" s="41" t="s">
        <v>42</v>
      </c>
      <c r="M157" s="43" t="s">
        <v>130</v>
      </c>
      <c r="N157" s="39">
        <v>43010</v>
      </c>
      <c r="O157" s="85"/>
      <c r="P157" s="85"/>
      <c r="Q157" s="39"/>
    </row>
    <row r="158" spans="2:17" x14ac:dyDescent="0.25">
      <c r="B158" s="39" t="s">
        <v>266</v>
      </c>
      <c r="C158" s="43" t="s">
        <v>280</v>
      </c>
      <c r="D158" s="79" t="s">
        <v>200</v>
      </c>
      <c r="E158" s="13" t="s">
        <v>200</v>
      </c>
      <c r="F158" s="13">
        <v>609431.223</v>
      </c>
      <c r="G158" s="13">
        <v>442325.18165340001</v>
      </c>
      <c r="H158" s="41" t="s">
        <v>38</v>
      </c>
      <c r="I158" s="40" t="s">
        <v>244</v>
      </c>
      <c r="J158" s="41" t="s">
        <v>40</v>
      </c>
      <c r="K158" s="41" t="s">
        <v>41</v>
      </c>
      <c r="L158" s="41" t="s">
        <v>42</v>
      </c>
      <c r="M158" s="43" t="s">
        <v>262</v>
      </c>
      <c r="N158" s="39">
        <v>21020</v>
      </c>
      <c r="O158" s="85"/>
      <c r="P158" s="85"/>
      <c r="Q158" s="39"/>
    </row>
    <row r="159" spans="2:17" ht="46" x14ac:dyDescent="0.25">
      <c r="B159" s="39" t="s">
        <v>266</v>
      </c>
      <c r="C159" s="43" t="s">
        <v>273</v>
      </c>
      <c r="D159" s="79" t="s">
        <v>200</v>
      </c>
      <c r="E159" s="13" t="s">
        <v>200</v>
      </c>
      <c r="F159" s="13">
        <v>237979.52026086953</v>
      </c>
      <c r="G159" s="13">
        <v>172725.53580533911</v>
      </c>
      <c r="H159" s="41" t="s">
        <v>38</v>
      </c>
      <c r="I159" s="40" t="s">
        <v>244</v>
      </c>
      <c r="J159" s="41" t="s">
        <v>40</v>
      </c>
      <c r="K159" s="41" t="s">
        <v>41</v>
      </c>
      <c r="L159" s="41" t="s">
        <v>42</v>
      </c>
      <c r="M159" s="85" t="s">
        <v>274</v>
      </c>
      <c r="N159" s="86" t="s">
        <v>275</v>
      </c>
      <c r="O159" s="85"/>
      <c r="P159" s="85"/>
      <c r="Q159" s="39"/>
    </row>
    <row r="160" spans="2:17" ht="23" x14ac:dyDescent="0.25">
      <c r="B160" s="39" t="s">
        <v>266</v>
      </c>
      <c r="C160" s="43" t="s">
        <v>281</v>
      </c>
      <c r="D160" s="79" t="s">
        <v>200</v>
      </c>
      <c r="E160" s="13" t="s">
        <v>200</v>
      </c>
      <c r="F160" s="13">
        <v>93053.744424000004</v>
      </c>
      <c r="G160" s="13">
        <v>67538.407702939207</v>
      </c>
      <c r="H160" s="41" t="s">
        <v>38</v>
      </c>
      <c r="I160" s="40" t="s">
        <v>244</v>
      </c>
      <c r="J160" s="41" t="s">
        <v>40</v>
      </c>
      <c r="K160" s="41" t="s">
        <v>41</v>
      </c>
      <c r="L160" s="41" t="s">
        <v>42</v>
      </c>
      <c r="M160" s="43" t="s">
        <v>217</v>
      </c>
      <c r="N160" s="39">
        <v>15131</v>
      </c>
      <c r="O160" s="85"/>
      <c r="P160" s="85"/>
      <c r="Q160" s="39"/>
    </row>
    <row r="161" spans="2:17" ht="23" x14ac:dyDescent="0.25">
      <c r="B161" s="39" t="s">
        <v>266</v>
      </c>
      <c r="C161" s="43" t="s">
        <v>288</v>
      </c>
      <c r="D161" s="79" t="s">
        <v>200</v>
      </c>
      <c r="E161" s="13" t="s">
        <v>200</v>
      </c>
      <c r="F161" s="13">
        <v>53345.795500000007</v>
      </c>
      <c r="G161" s="13">
        <v>38718.378373900006</v>
      </c>
      <c r="H161" s="41" t="s">
        <v>38</v>
      </c>
      <c r="I161" s="40" t="s">
        <v>244</v>
      </c>
      <c r="J161" s="41" t="s">
        <v>40</v>
      </c>
      <c r="K161" s="41" t="s">
        <v>41</v>
      </c>
      <c r="L161" s="41" t="s">
        <v>42</v>
      </c>
      <c r="M161" s="85" t="s">
        <v>289</v>
      </c>
      <c r="N161" s="86" t="s">
        <v>290</v>
      </c>
      <c r="O161" s="85" t="s">
        <v>68</v>
      </c>
      <c r="P161" s="85"/>
      <c r="Q161" s="39"/>
    </row>
    <row r="162" spans="2:17" ht="46" x14ac:dyDescent="0.25">
      <c r="B162" s="39" t="s">
        <v>266</v>
      </c>
      <c r="C162" s="43" t="s">
        <v>268</v>
      </c>
      <c r="D162" s="79" t="s">
        <v>200</v>
      </c>
      <c r="E162" s="13" t="s">
        <v>200</v>
      </c>
      <c r="F162" s="13">
        <v>18870246.689731196</v>
      </c>
      <c r="G162" s="13">
        <v>13696025.047406903</v>
      </c>
      <c r="H162" s="41" t="s">
        <v>38</v>
      </c>
      <c r="I162" s="40" t="s">
        <v>244</v>
      </c>
      <c r="J162" s="41" t="s">
        <v>40</v>
      </c>
      <c r="K162" s="41" t="s">
        <v>41</v>
      </c>
      <c r="L162" s="41" t="s">
        <v>159</v>
      </c>
      <c r="M162" s="85" t="s">
        <v>130</v>
      </c>
      <c r="N162" s="86" t="s">
        <v>270</v>
      </c>
      <c r="O162" s="85" t="s">
        <v>68</v>
      </c>
      <c r="P162" s="85"/>
      <c r="Q162" s="39"/>
    </row>
    <row r="163" spans="2:17" x14ac:dyDescent="0.25">
      <c r="B163" s="39" t="s">
        <v>266</v>
      </c>
      <c r="C163" s="43" t="s">
        <v>291</v>
      </c>
      <c r="D163" s="79" t="s">
        <v>200</v>
      </c>
      <c r="E163" s="13" t="s">
        <v>200</v>
      </c>
      <c r="F163" s="13">
        <v>558097.03499999992</v>
      </c>
      <c r="G163" s="13">
        <v>405066.82800299994</v>
      </c>
      <c r="H163" s="41" t="s">
        <v>38</v>
      </c>
      <c r="I163" s="40" t="s">
        <v>244</v>
      </c>
      <c r="J163" s="41" t="s">
        <v>40</v>
      </c>
      <c r="K163" s="41" t="s">
        <v>41</v>
      </c>
      <c r="L163" s="41" t="s">
        <v>159</v>
      </c>
      <c r="M163" s="43" t="s">
        <v>81</v>
      </c>
      <c r="N163" s="39">
        <v>23110</v>
      </c>
      <c r="O163" s="85"/>
      <c r="P163" s="85" t="s">
        <v>68</v>
      </c>
      <c r="Q163" s="39"/>
    </row>
    <row r="164" spans="2:17" ht="46" x14ac:dyDescent="0.25">
      <c r="B164" s="39" t="s">
        <v>266</v>
      </c>
      <c r="C164" s="43" t="s">
        <v>273</v>
      </c>
      <c r="D164" s="79" t="s">
        <v>200</v>
      </c>
      <c r="E164" s="13" t="s">
        <v>200</v>
      </c>
      <c r="F164" s="13">
        <v>295094.61032347823</v>
      </c>
      <c r="G164" s="13">
        <v>214179.66817278051</v>
      </c>
      <c r="H164" s="41" t="s">
        <v>38</v>
      </c>
      <c r="I164" s="40" t="s">
        <v>244</v>
      </c>
      <c r="J164" s="41" t="s">
        <v>40</v>
      </c>
      <c r="K164" s="41" t="s">
        <v>41</v>
      </c>
      <c r="L164" s="41" t="s">
        <v>159</v>
      </c>
      <c r="M164" s="85" t="s">
        <v>274</v>
      </c>
      <c r="N164" s="86" t="s">
        <v>275</v>
      </c>
      <c r="O164" s="85"/>
      <c r="P164" s="85"/>
      <c r="Q164" s="39"/>
    </row>
    <row r="165" spans="2:17" x14ac:dyDescent="0.25">
      <c r="B165" s="39" t="s">
        <v>266</v>
      </c>
      <c r="C165" s="43" t="s">
        <v>566</v>
      </c>
      <c r="D165" s="79" t="s">
        <v>200</v>
      </c>
      <c r="E165" s="13" t="s">
        <v>200</v>
      </c>
      <c r="F165" s="13">
        <v>162146.04999999987</v>
      </c>
      <c r="G165" s="13">
        <v>117685.6030899999</v>
      </c>
      <c r="H165" s="41" t="s">
        <v>38</v>
      </c>
      <c r="I165" s="40" t="s">
        <v>244</v>
      </c>
      <c r="J165" s="41" t="s">
        <v>40</v>
      </c>
      <c r="K165" s="41" t="s">
        <v>41</v>
      </c>
      <c r="L165" s="41" t="s">
        <v>159</v>
      </c>
      <c r="M165" s="43" t="s">
        <v>130</v>
      </c>
      <c r="N165" s="39">
        <v>43010</v>
      </c>
      <c r="O165" s="85"/>
      <c r="P165" s="85"/>
      <c r="Q165" s="39"/>
    </row>
    <row r="166" spans="2:17" ht="23" x14ac:dyDescent="0.25">
      <c r="B166" s="39" t="s">
        <v>266</v>
      </c>
      <c r="C166" s="43" t="s">
        <v>281</v>
      </c>
      <c r="D166" s="79" t="s">
        <v>200</v>
      </c>
      <c r="E166" s="13" t="s">
        <v>200</v>
      </c>
      <c r="F166" s="13">
        <v>93053.744424000004</v>
      </c>
      <c r="G166" s="13">
        <v>67538.407702939207</v>
      </c>
      <c r="H166" s="41" t="s">
        <v>38</v>
      </c>
      <c r="I166" s="40" t="s">
        <v>244</v>
      </c>
      <c r="J166" s="41" t="s">
        <v>40</v>
      </c>
      <c r="K166" s="41" t="s">
        <v>41</v>
      </c>
      <c r="L166" s="41" t="s">
        <v>159</v>
      </c>
      <c r="M166" s="43" t="s">
        <v>217</v>
      </c>
      <c r="N166" s="39">
        <v>15131</v>
      </c>
      <c r="O166" s="85"/>
      <c r="P166" s="85"/>
      <c r="Q166" s="39"/>
    </row>
    <row r="167" spans="2:17" ht="23" x14ac:dyDescent="0.25">
      <c r="B167" s="39" t="s">
        <v>266</v>
      </c>
      <c r="C167" s="43" t="s">
        <v>279</v>
      </c>
      <c r="D167" s="79" t="s">
        <v>200</v>
      </c>
      <c r="E167" s="13" t="s">
        <v>200</v>
      </c>
      <c r="F167" s="13">
        <v>1507233.4300000002</v>
      </c>
      <c r="G167" s="13">
        <v>1093950.0234940001</v>
      </c>
      <c r="H167" s="41" t="s">
        <v>38</v>
      </c>
      <c r="I167" s="40" t="s">
        <v>244</v>
      </c>
      <c r="J167" s="41" t="s">
        <v>40</v>
      </c>
      <c r="K167" s="41" t="s">
        <v>41</v>
      </c>
      <c r="L167" s="41" t="s">
        <v>130</v>
      </c>
      <c r="M167" s="43" t="s">
        <v>76</v>
      </c>
      <c r="N167" s="39">
        <v>41010</v>
      </c>
      <c r="O167" s="85" t="s">
        <v>68</v>
      </c>
      <c r="P167" s="85"/>
      <c r="Q167" s="39"/>
    </row>
    <row r="168" spans="2:17" x14ac:dyDescent="0.25">
      <c r="B168" s="39" t="s">
        <v>266</v>
      </c>
      <c r="C168" s="43" t="s">
        <v>567</v>
      </c>
      <c r="D168" s="79" t="s">
        <v>200</v>
      </c>
      <c r="E168" s="13" t="s">
        <v>200</v>
      </c>
      <c r="F168" s="13">
        <v>739576.69589999982</v>
      </c>
      <c r="G168" s="13">
        <v>536784.7658842199</v>
      </c>
      <c r="H168" s="41" t="s">
        <v>38</v>
      </c>
      <c r="I168" s="40" t="s">
        <v>244</v>
      </c>
      <c r="J168" s="41" t="s">
        <v>40</v>
      </c>
      <c r="K168" s="41" t="s">
        <v>41</v>
      </c>
      <c r="L168" s="41" t="s">
        <v>130</v>
      </c>
      <c r="M168" s="43" t="s">
        <v>130</v>
      </c>
      <c r="N168" s="39">
        <v>43081</v>
      </c>
      <c r="O168" s="85"/>
      <c r="P168" s="85"/>
      <c r="Q168" s="39"/>
    </row>
    <row r="169" spans="2:17" ht="46" x14ac:dyDescent="0.25">
      <c r="B169" s="88" t="s">
        <v>266</v>
      </c>
      <c r="C169" s="89" t="s">
        <v>273</v>
      </c>
      <c r="D169" s="79" t="s">
        <v>200</v>
      </c>
      <c r="E169" s="13" t="s">
        <v>200</v>
      </c>
      <c r="F169" s="14">
        <v>561631.67000000004</v>
      </c>
      <c r="G169" s="14">
        <v>407632.26608600002</v>
      </c>
      <c r="H169" s="90" t="s">
        <v>38</v>
      </c>
      <c r="I169" s="91" t="s">
        <v>244</v>
      </c>
      <c r="J169" s="90" t="s">
        <v>40</v>
      </c>
      <c r="K169" s="90" t="s">
        <v>41</v>
      </c>
      <c r="L169" s="90" t="s">
        <v>130</v>
      </c>
      <c r="M169" s="89" t="s">
        <v>274</v>
      </c>
      <c r="N169" s="92" t="s">
        <v>275</v>
      </c>
      <c r="O169" s="93"/>
      <c r="P169" s="85"/>
      <c r="Q169" s="39"/>
    </row>
    <row r="170" spans="2:17" ht="46" x14ac:dyDescent="0.25">
      <c r="B170" s="39" t="s">
        <v>292</v>
      </c>
      <c r="C170" s="43" t="s">
        <v>568</v>
      </c>
      <c r="D170" s="79" t="s">
        <v>200</v>
      </c>
      <c r="E170" s="13" t="s">
        <v>200</v>
      </c>
      <c r="F170" s="13">
        <v>1136213.1510000001</v>
      </c>
      <c r="G170" s="13">
        <v>824663.50499580009</v>
      </c>
      <c r="H170" s="41" t="s">
        <v>38</v>
      </c>
      <c r="I170" s="40" t="s">
        <v>244</v>
      </c>
      <c r="J170" s="41" t="s">
        <v>40</v>
      </c>
      <c r="K170" s="41" t="s">
        <v>41</v>
      </c>
      <c r="L170" s="41" t="s">
        <v>42</v>
      </c>
      <c r="M170" s="43" t="s">
        <v>225</v>
      </c>
      <c r="N170" s="42" t="s">
        <v>296</v>
      </c>
      <c r="O170" s="85"/>
      <c r="P170" s="85"/>
      <c r="Q170" s="39"/>
    </row>
    <row r="171" spans="2:17" ht="23" x14ac:dyDescent="0.25">
      <c r="B171" s="39" t="s">
        <v>292</v>
      </c>
      <c r="C171" s="43" t="s">
        <v>569</v>
      </c>
      <c r="D171" s="79" t="s">
        <v>200</v>
      </c>
      <c r="E171" s="13" t="s">
        <v>200</v>
      </c>
      <c r="F171" s="13">
        <v>198750</v>
      </c>
      <c r="G171" s="13">
        <v>144252.75</v>
      </c>
      <c r="H171" s="41" t="s">
        <v>38</v>
      </c>
      <c r="I171" s="40" t="s">
        <v>244</v>
      </c>
      <c r="J171" s="41" t="s">
        <v>40</v>
      </c>
      <c r="K171" s="41" t="s">
        <v>41</v>
      </c>
      <c r="L171" s="41" t="s">
        <v>42</v>
      </c>
      <c r="M171" s="43" t="s">
        <v>217</v>
      </c>
      <c r="N171" s="39">
        <v>15170</v>
      </c>
      <c r="O171" s="85"/>
      <c r="P171" s="85"/>
      <c r="Q171" s="39"/>
    </row>
    <row r="172" spans="2:17" ht="23" x14ac:dyDescent="0.25">
      <c r="B172" s="39" t="s">
        <v>292</v>
      </c>
      <c r="C172" s="43" t="s">
        <v>293</v>
      </c>
      <c r="D172" s="79" t="s">
        <v>200</v>
      </c>
      <c r="E172" s="13" t="s">
        <v>200</v>
      </c>
      <c r="F172" s="13">
        <v>2400000</v>
      </c>
      <c r="G172" s="13">
        <v>1741920</v>
      </c>
      <c r="H172" s="41" t="s">
        <v>38</v>
      </c>
      <c r="I172" s="40" t="s">
        <v>244</v>
      </c>
      <c r="J172" s="41" t="s">
        <v>40</v>
      </c>
      <c r="K172" s="41" t="s">
        <v>41</v>
      </c>
      <c r="L172" s="41" t="s">
        <v>130</v>
      </c>
      <c r="M172" s="43" t="s">
        <v>217</v>
      </c>
      <c r="N172" s="39">
        <v>15117</v>
      </c>
      <c r="O172" s="85"/>
      <c r="P172" s="85"/>
      <c r="Q172" s="39"/>
    </row>
    <row r="173" spans="2:17" ht="23" x14ac:dyDescent="0.25">
      <c r="B173" s="39" t="s">
        <v>292</v>
      </c>
      <c r="C173" s="43" t="s">
        <v>570</v>
      </c>
      <c r="D173" s="79" t="s">
        <v>200</v>
      </c>
      <c r="E173" s="13" t="s">
        <v>200</v>
      </c>
      <c r="F173" s="13">
        <v>232937.03400000004</v>
      </c>
      <c r="G173" s="13">
        <v>169065.69927720004</v>
      </c>
      <c r="H173" s="41" t="s">
        <v>38</v>
      </c>
      <c r="I173" s="40" t="s">
        <v>244</v>
      </c>
      <c r="J173" s="41" t="s">
        <v>40</v>
      </c>
      <c r="K173" s="41" t="s">
        <v>41</v>
      </c>
      <c r="L173" s="41" t="s">
        <v>130</v>
      </c>
      <c r="M173" s="43" t="s">
        <v>217</v>
      </c>
      <c r="N173" s="39">
        <v>15154</v>
      </c>
      <c r="O173" s="85"/>
      <c r="P173" s="85"/>
      <c r="Q173" s="39"/>
    </row>
    <row r="174" spans="2:17" ht="46" x14ac:dyDescent="0.25">
      <c r="B174" s="39" t="s">
        <v>298</v>
      </c>
      <c r="C174" s="43" t="s">
        <v>299</v>
      </c>
      <c r="D174" s="79" t="s">
        <v>200</v>
      </c>
      <c r="E174" s="13" t="s">
        <v>200</v>
      </c>
      <c r="F174" s="13">
        <v>3720929.4366408149</v>
      </c>
      <c r="G174" s="13">
        <v>2700650.5851139035</v>
      </c>
      <c r="H174" s="41" t="s">
        <v>38</v>
      </c>
      <c r="I174" s="40" t="s">
        <v>244</v>
      </c>
      <c r="J174" s="41" t="s">
        <v>40</v>
      </c>
      <c r="K174" s="41" t="s">
        <v>41</v>
      </c>
      <c r="L174" s="41" t="s">
        <v>42</v>
      </c>
      <c r="M174" s="43" t="s">
        <v>300</v>
      </c>
      <c r="N174" s="42" t="s">
        <v>301</v>
      </c>
      <c r="O174" s="85"/>
      <c r="P174" s="85"/>
      <c r="Q174" s="39"/>
    </row>
    <row r="175" spans="2:17" x14ac:dyDescent="0.25">
      <c r="B175" s="39" t="s">
        <v>298</v>
      </c>
      <c r="C175" s="43" t="s">
        <v>302</v>
      </c>
      <c r="D175" s="79" t="s">
        <v>200</v>
      </c>
      <c r="E175" s="13" t="s">
        <v>200</v>
      </c>
      <c r="F175" s="13">
        <v>2445535.5193091896</v>
      </c>
      <c r="G175" s="13">
        <v>1774969.6799146098</v>
      </c>
      <c r="H175" s="41" t="s">
        <v>38</v>
      </c>
      <c r="I175" s="40" t="s">
        <v>244</v>
      </c>
      <c r="J175" s="41" t="s">
        <v>40</v>
      </c>
      <c r="K175" s="41" t="s">
        <v>41</v>
      </c>
      <c r="L175" s="41" t="s">
        <v>42</v>
      </c>
      <c r="M175" s="43" t="s">
        <v>225</v>
      </c>
      <c r="N175" s="39">
        <v>11220</v>
      </c>
      <c r="O175" s="85"/>
      <c r="P175" s="85"/>
      <c r="Q175" s="39"/>
    </row>
    <row r="176" spans="2:17" ht="57.5" x14ac:dyDescent="0.25">
      <c r="B176" s="39" t="s">
        <v>298</v>
      </c>
      <c r="C176" s="43" t="s">
        <v>305</v>
      </c>
      <c r="D176" s="79" t="s">
        <v>200</v>
      </c>
      <c r="E176" s="13" t="s">
        <v>200</v>
      </c>
      <c r="F176" s="13">
        <v>1258168.1700000004</v>
      </c>
      <c r="G176" s="13">
        <v>913178.45778600033</v>
      </c>
      <c r="H176" s="41" t="s">
        <v>38</v>
      </c>
      <c r="I176" s="40" t="s">
        <v>244</v>
      </c>
      <c r="J176" s="41" t="s">
        <v>40</v>
      </c>
      <c r="K176" s="41" t="s">
        <v>41</v>
      </c>
      <c r="L176" s="41" t="s">
        <v>42</v>
      </c>
      <c r="M176" s="43" t="s">
        <v>306</v>
      </c>
      <c r="N176" s="42" t="s">
        <v>307</v>
      </c>
      <c r="O176" s="85"/>
      <c r="P176" s="85"/>
      <c r="Q176" s="39"/>
    </row>
    <row r="177" spans="2:17" x14ac:dyDescent="0.25">
      <c r="B177" s="39" t="s">
        <v>298</v>
      </c>
      <c r="C177" s="43" t="s">
        <v>571</v>
      </c>
      <c r="D177" s="79" t="s">
        <v>200</v>
      </c>
      <c r="E177" s="13" t="s">
        <v>200</v>
      </c>
      <c r="F177" s="13">
        <v>1046598.6250402801</v>
      </c>
      <c r="G177" s="13">
        <v>759621.28205423523</v>
      </c>
      <c r="H177" s="41" t="s">
        <v>38</v>
      </c>
      <c r="I177" s="40" t="s">
        <v>244</v>
      </c>
      <c r="J177" s="41" t="s">
        <v>40</v>
      </c>
      <c r="K177" s="41" t="s">
        <v>41</v>
      </c>
      <c r="L177" s="41" t="s">
        <v>42</v>
      </c>
      <c r="M177" s="43" t="s">
        <v>272</v>
      </c>
      <c r="N177" s="39">
        <v>12110</v>
      </c>
      <c r="O177" s="85"/>
      <c r="P177" s="85"/>
      <c r="Q177" s="39"/>
    </row>
    <row r="178" spans="2:17" ht="23" x14ac:dyDescent="0.25">
      <c r="B178" s="39" t="s">
        <v>298</v>
      </c>
      <c r="C178" s="43" t="s">
        <v>572</v>
      </c>
      <c r="D178" s="79" t="s">
        <v>200</v>
      </c>
      <c r="E178" s="13" t="s">
        <v>200</v>
      </c>
      <c r="F178" s="13">
        <v>363171.89589999994</v>
      </c>
      <c r="G178" s="13">
        <v>263590.16204421996</v>
      </c>
      <c r="H178" s="41" t="s">
        <v>38</v>
      </c>
      <c r="I178" s="40" t="s">
        <v>244</v>
      </c>
      <c r="J178" s="41" t="s">
        <v>40</v>
      </c>
      <c r="K178" s="41" t="s">
        <v>41</v>
      </c>
      <c r="L178" s="41" t="s">
        <v>42</v>
      </c>
      <c r="M178" s="43" t="s">
        <v>217</v>
      </c>
      <c r="N178" s="42" t="s">
        <v>573</v>
      </c>
      <c r="O178" s="85"/>
      <c r="P178" s="85"/>
      <c r="Q178" s="39"/>
    </row>
    <row r="179" spans="2:17" ht="46" x14ac:dyDescent="0.25">
      <c r="B179" s="39" t="s">
        <v>298</v>
      </c>
      <c r="C179" s="43" t="s">
        <v>299</v>
      </c>
      <c r="D179" s="79" t="s">
        <v>200</v>
      </c>
      <c r="E179" s="13" t="s">
        <v>200</v>
      </c>
      <c r="F179" s="13">
        <v>149998.96</v>
      </c>
      <c r="G179" s="13">
        <v>108869.24516799999</v>
      </c>
      <c r="H179" s="41" t="s">
        <v>38</v>
      </c>
      <c r="I179" s="40" t="s">
        <v>244</v>
      </c>
      <c r="J179" s="41" t="s">
        <v>40</v>
      </c>
      <c r="K179" s="41" t="s">
        <v>41</v>
      </c>
      <c r="L179" s="41" t="s">
        <v>159</v>
      </c>
      <c r="M179" s="43" t="s">
        <v>300</v>
      </c>
      <c r="N179" s="42" t="s">
        <v>301</v>
      </c>
      <c r="O179" s="85"/>
      <c r="P179" s="85"/>
      <c r="Q179" s="39"/>
    </row>
    <row r="180" spans="2:17" ht="34.5" x14ac:dyDescent="0.25">
      <c r="B180" s="39" t="s">
        <v>298</v>
      </c>
      <c r="C180" s="43" t="s">
        <v>303</v>
      </c>
      <c r="D180" s="79" t="s">
        <v>200</v>
      </c>
      <c r="E180" s="13" t="s">
        <v>200</v>
      </c>
      <c r="F180" s="13">
        <v>14952.87</v>
      </c>
      <c r="G180" s="13">
        <v>10852.793046000001</v>
      </c>
      <c r="H180" s="41" t="s">
        <v>38</v>
      </c>
      <c r="I180" s="40" t="s">
        <v>244</v>
      </c>
      <c r="J180" s="41" t="s">
        <v>40</v>
      </c>
      <c r="K180" s="41" t="s">
        <v>41</v>
      </c>
      <c r="L180" s="41" t="s">
        <v>130</v>
      </c>
      <c r="M180" s="43" t="s">
        <v>78</v>
      </c>
      <c r="N180" s="42" t="s">
        <v>304</v>
      </c>
      <c r="O180" s="85" t="s">
        <v>68</v>
      </c>
      <c r="P180" s="85"/>
      <c r="Q180" s="39"/>
    </row>
    <row r="181" spans="2:17" x14ac:dyDescent="0.25">
      <c r="B181" s="39" t="s">
        <v>314</v>
      </c>
      <c r="C181" s="43" t="s">
        <v>320</v>
      </c>
      <c r="D181" s="79" t="s">
        <v>200</v>
      </c>
      <c r="E181" s="13" t="s">
        <v>200</v>
      </c>
      <c r="F181" s="13">
        <v>11129084.673</v>
      </c>
      <c r="G181" s="13">
        <v>8077489.6556634</v>
      </c>
      <c r="H181" s="41" t="s">
        <v>38</v>
      </c>
      <c r="I181" s="40" t="s">
        <v>244</v>
      </c>
      <c r="J181" s="41" t="s">
        <v>40</v>
      </c>
      <c r="K181" s="41" t="s">
        <v>41</v>
      </c>
      <c r="L181" s="41" t="s">
        <v>42</v>
      </c>
      <c r="M181" s="43" t="s">
        <v>57</v>
      </c>
      <c r="N181" s="39">
        <v>74010</v>
      </c>
      <c r="O181" s="85" t="s">
        <v>68</v>
      </c>
      <c r="P181" s="85" t="s">
        <v>68</v>
      </c>
      <c r="Q181" s="39"/>
    </row>
    <row r="182" spans="2:17" x14ac:dyDescent="0.25">
      <c r="B182" s="39" t="s">
        <v>314</v>
      </c>
      <c r="C182" s="43" t="s">
        <v>574</v>
      </c>
      <c r="D182" s="79" t="s">
        <v>200</v>
      </c>
      <c r="E182" s="13" t="s">
        <v>200</v>
      </c>
      <c r="F182" s="13">
        <v>2500000</v>
      </c>
      <c r="G182" s="13">
        <v>1814500</v>
      </c>
      <c r="H182" s="41" t="s">
        <v>38</v>
      </c>
      <c r="I182" s="40" t="s">
        <v>244</v>
      </c>
      <c r="J182" s="41" t="s">
        <v>40</v>
      </c>
      <c r="K182" s="41" t="s">
        <v>41</v>
      </c>
      <c r="L182" s="41" t="s">
        <v>42</v>
      </c>
      <c r="M182" s="43" t="s">
        <v>225</v>
      </c>
      <c r="N182" s="39">
        <v>11120</v>
      </c>
      <c r="O182" s="85" t="s">
        <v>68</v>
      </c>
      <c r="P182" s="85"/>
      <c r="Q182" s="39"/>
    </row>
    <row r="183" spans="2:17" x14ac:dyDescent="0.25">
      <c r="B183" s="39" t="s">
        <v>314</v>
      </c>
      <c r="C183" s="43" t="s">
        <v>315</v>
      </c>
      <c r="D183" s="79" t="s">
        <v>200</v>
      </c>
      <c r="E183" s="13" t="s">
        <v>200</v>
      </c>
      <c r="F183" s="13">
        <v>1300000.16512</v>
      </c>
      <c r="G183" s="13">
        <v>943540.11984409601</v>
      </c>
      <c r="H183" s="41" t="s">
        <v>38</v>
      </c>
      <c r="I183" s="40" t="s">
        <v>244</v>
      </c>
      <c r="J183" s="41" t="s">
        <v>40</v>
      </c>
      <c r="K183" s="41" t="s">
        <v>41</v>
      </c>
      <c r="L183" s="41" t="s">
        <v>42</v>
      </c>
      <c r="M183" s="43" t="s">
        <v>81</v>
      </c>
      <c r="N183" s="39">
        <v>23210</v>
      </c>
      <c r="O183" s="85"/>
      <c r="P183" s="85" t="s">
        <v>68</v>
      </c>
      <c r="Q183" s="39"/>
    </row>
    <row r="184" spans="2:17" ht="69" x14ac:dyDescent="0.25">
      <c r="B184" s="39" t="s">
        <v>314</v>
      </c>
      <c r="C184" s="43" t="s">
        <v>316</v>
      </c>
      <c r="D184" s="79" t="s">
        <v>200</v>
      </c>
      <c r="E184" s="13" t="s">
        <v>200</v>
      </c>
      <c r="F184" s="13">
        <v>499998.24170648004</v>
      </c>
      <c r="G184" s="13">
        <v>362898.72383056319</v>
      </c>
      <c r="H184" s="41" t="s">
        <v>38</v>
      </c>
      <c r="I184" s="40" t="s">
        <v>244</v>
      </c>
      <c r="J184" s="41" t="s">
        <v>40</v>
      </c>
      <c r="K184" s="41" t="s">
        <v>41</v>
      </c>
      <c r="L184" s="41" t="s">
        <v>42</v>
      </c>
      <c r="M184" s="43" t="s">
        <v>217</v>
      </c>
      <c r="N184" s="42" t="s">
        <v>317</v>
      </c>
      <c r="O184" s="85"/>
      <c r="P184" s="85"/>
      <c r="Q184" s="39"/>
    </row>
    <row r="185" spans="2:17" ht="23" x14ac:dyDescent="0.25">
      <c r="B185" s="39" t="s">
        <v>314</v>
      </c>
      <c r="C185" s="43" t="s">
        <v>575</v>
      </c>
      <c r="D185" s="79" t="s">
        <v>200</v>
      </c>
      <c r="E185" s="13" t="s">
        <v>200</v>
      </c>
      <c r="F185" s="13">
        <v>83262.98</v>
      </c>
      <c r="G185" s="13">
        <v>60432.270883999998</v>
      </c>
      <c r="H185" s="41" t="s">
        <v>38</v>
      </c>
      <c r="I185" s="40" t="s">
        <v>244</v>
      </c>
      <c r="J185" s="41" t="s">
        <v>40</v>
      </c>
      <c r="K185" s="41" t="s">
        <v>41</v>
      </c>
      <c r="L185" s="41" t="s">
        <v>42</v>
      </c>
      <c r="M185" s="43" t="s">
        <v>576</v>
      </c>
      <c r="N185" s="42" t="s">
        <v>577</v>
      </c>
      <c r="O185" s="85"/>
      <c r="P185" s="85"/>
      <c r="Q185" s="39"/>
    </row>
    <row r="186" spans="2:17" x14ac:dyDescent="0.25">
      <c r="B186" s="39" t="s">
        <v>314</v>
      </c>
      <c r="C186" s="43" t="s">
        <v>578</v>
      </c>
      <c r="D186" s="79" t="s">
        <v>200</v>
      </c>
      <c r="E186" s="13" t="s">
        <v>200</v>
      </c>
      <c r="F186" s="13">
        <v>26081.733360800001</v>
      </c>
      <c r="G186" s="13">
        <v>18930.122073268642</v>
      </c>
      <c r="H186" s="41" t="s">
        <v>38</v>
      </c>
      <c r="I186" s="40" t="s">
        <v>244</v>
      </c>
      <c r="J186" s="41" t="s">
        <v>40</v>
      </c>
      <c r="K186" s="41" t="s">
        <v>41</v>
      </c>
      <c r="L186" s="41" t="s">
        <v>42</v>
      </c>
      <c r="M186" s="43" t="s">
        <v>130</v>
      </c>
      <c r="N186" s="39">
        <v>43010</v>
      </c>
      <c r="O186" s="85"/>
      <c r="P186" s="85"/>
      <c r="Q186" s="39"/>
    </row>
    <row r="187" spans="2:17" x14ac:dyDescent="0.25">
      <c r="B187" s="39" t="s">
        <v>314</v>
      </c>
      <c r="C187" s="43" t="s">
        <v>579</v>
      </c>
      <c r="D187" s="79" t="s">
        <v>200</v>
      </c>
      <c r="E187" s="13" t="s">
        <v>200</v>
      </c>
      <c r="F187" s="13">
        <v>145033.85999999999</v>
      </c>
      <c r="G187" s="13">
        <v>105265.57558799999</v>
      </c>
      <c r="H187" s="41" t="s">
        <v>38</v>
      </c>
      <c r="I187" s="40" t="s">
        <v>244</v>
      </c>
      <c r="J187" s="41" t="s">
        <v>40</v>
      </c>
      <c r="K187" s="41" t="s">
        <v>41</v>
      </c>
      <c r="L187" s="41" t="s">
        <v>159</v>
      </c>
      <c r="M187" s="43" t="s">
        <v>272</v>
      </c>
      <c r="N187" s="39">
        <v>12310</v>
      </c>
      <c r="O187" s="85"/>
      <c r="P187" s="85"/>
      <c r="Q187" s="39"/>
    </row>
    <row r="188" spans="2:17" x14ac:dyDescent="0.25">
      <c r="B188" s="39" t="s">
        <v>314</v>
      </c>
      <c r="C188" s="43" t="s">
        <v>318</v>
      </c>
      <c r="D188" s="79" t="s">
        <v>200</v>
      </c>
      <c r="E188" s="13" t="s">
        <v>200</v>
      </c>
      <c r="F188" s="13">
        <v>39040</v>
      </c>
      <c r="G188" s="13">
        <v>28335.232</v>
      </c>
      <c r="H188" s="41" t="s">
        <v>38</v>
      </c>
      <c r="I188" s="40" t="s">
        <v>244</v>
      </c>
      <c r="J188" s="41" t="s">
        <v>40</v>
      </c>
      <c r="K188" s="41" t="s">
        <v>41</v>
      </c>
      <c r="L188" s="41" t="s">
        <v>130</v>
      </c>
      <c r="M188" s="43" t="s">
        <v>225</v>
      </c>
      <c r="N188" s="39">
        <v>11330</v>
      </c>
      <c r="O188" s="85"/>
      <c r="P188" s="85"/>
      <c r="Q188" s="39"/>
    </row>
    <row r="189" spans="2:17" ht="23" x14ac:dyDescent="0.25">
      <c r="B189" s="39" t="s">
        <v>322</v>
      </c>
      <c r="C189" s="43" t="s">
        <v>323</v>
      </c>
      <c r="D189" s="79" t="s">
        <v>200</v>
      </c>
      <c r="E189" s="13" t="s">
        <v>200</v>
      </c>
      <c r="F189" s="13">
        <v>112054.64</v>
      </c>
      <c r="G189" s="13">
        <v>81329.257712000006</v>
      </c>
      <c r="H189" s="41" t="s">
        <v>38</v>
      </c>
      <c r="I189" s="40" t="s">
        <v>244</v>
      </c>
      <c r="J189" s="41" t="s">
        <v>40</v>
      </c>
      <c r="K189" s="41" t="s">
        <v>41</v>
      </c>
      <c r="L189" s="41" t="s">
        <v>42</v>
      </c>
      <c r="M189" s="43" t="s">
        <v>324</v>
      </c>
      <c r="N189" s="42" t="s">
        <v>580</v>
      </c>
      <c r="O189" s="85"/>
      <c r="P189" s="85"/>
      <c r="Q189" s="39"/>
    </row>
    <row r="190" spans="2:17" x14ac:dyDescent="0.25">
      <c r="B190" s="39" t="s">
        <v>327</v>
      </c>
      <c r="C190" s="43" t="s">
        <v>330</v>
      </c>
      <c r="D190" s="79" t="s">
        <v>200</v>
      </c>
      <c r="E190" s="13" t="s">
        <v>200</v>
      </c>
      <c r="F190" s="13">
        <v>2255555.2130999998</v>
      </c>
      <c r="G190" s="13">
        <v>1637081.9736679799</v>
      </c>
      <c r="H190" s="41" t="s">
        <v>38</v>
      </c>
      <c r="I190" s="40" t="s">
        <v>244</v>
      </c>
      <c r="J190" s="41" t="s">
        <v>40</v>
      </c>
      <c r="K190" s="41" t="s">
        <v>41</v>
      </c>
      <c r="L190" s="41" t="s">
        <v>42</v>
      </c>
      <c r="M190" s="43" t="s">
        <v>262</v>
      </c>
      <c r="N190" s="84">
        <v>21020</v>
      </c>
      <c r="O190" s="85"/>
      <c r="P190" s="85"/>
      <c r="Q190" s="39"/>
    </row>
    <row r="191" spans="2:17" x14ac:dyDescent="0.25">
      <c r="B191" s="39" t="s">
        <v>327</v>
      </c>
      <c r="C191" s="43" t="s">
        <v>331</v>
      </c>
      <c r="D191" s="79" t="s">
        <v>200</v>
      </c>
      <c r="E191" s="13" t="s">
        <v>200</v>
      </c>
      <c r="F191" s="13">
        <v>1396301.7978000003</v>
      </c>
      <c r="G191" s="13">
        <v>1013435.8448432402</v>
      </c>
      <c r="H191" s="41" t="s">
        <v>38</v>
      </c>
      <c r="I191" s="40" t="s">
        <v>244</v>
      </c>
      <c r="J191" s="41" t="s">
        <v>40</v>
      </c>
      <c r="K191" s="41" t="s">
        <v>41</v>
      </c>
      <c r="L191" s="41" t="s">
        <v>42</v>
      </c>
      <c r="M191" s="43" t="s">
        <v>225</v>
      </c>
      <c r="N191" s="84">
        <v>11330</v>
      </c>
      <c r="O191" s="85"/>
      <c r="P191" s="85"/>
      <c r="Q191" s="39"/>
    </row>
    <row r="192" spans="2:17" x14ac:dyDescent="0.25">
      <c r="B192" s="39" t="s">
        <v>327</v>
      </c>
      <c r="C192" s="43" t="s">
        <v>329</v>
      </c>
      <c r="D192" s="79" t="s">
        <v>200</v>
      </c>
      <c r="E192" s="13" t="s">
        <v>200</v>
      </c>
      <c r="F192" s="13">
        <v>853578.38750000007</v>
      </c>
      <c r="G192" s="13">
        <v>619527.19364750001</v>
      </c>
      <c r="H192" s="41" t="s">
        <v>38</v>
      </c>
      <c r="I192" s="40" t="s">
        <v>244</v>
      </c>
      <c r="J192" s="41" t="s">
        <v>40</v>
      </c>
      <c r="K192" s="41" t="s">
        <v>41</v>
      </c>
      <c r="L192" s="41" t="s">
        <v>42</v>
      </c>
      <c r="M192" s="43" t="s">
        <v>225</v>
      </c>
      <c r="N192" s="84">
        <v>11110</v>
      </c>
      <c r="O192" s="85"/>
      <c r="P192" s="85"/>
      <c r="Q192" s="39"/>
    </row>
    <row r="193" spans="2:17" ht="23" x14ac:dyDescent="0.25">
      <c r="B193" s="39" t="s">
        <v>327</v>
      </c>
      <c r="C193" s="43" t="s">
        <v>581</v>
      </c>
      <c r="D193" s="79" t="s">
        <v>200</v>
      </c>
      <c r="E193" s="13" t="s">
        <v>200</v>
      </c>
      <c r="F193" s="13">
        <v>450000</v>
      </c>
      <c r="G193" s="13">
        <v>326610</v>
      </c>
      <c r="H193" s="41" t="s">
        <v>38</v>
      </c>
      <c r="I193" s="40" t="s">
        <v>244</v>
      </c>
      <c r="J193" s="41" t="s">
        <v>40</v>
      </c>
      <c r="K193" s="41" t="s">
        <v>41</v>
      </c>
      <c r="L193" s="41" t="s">
        <v>42</v>
      </c>
      <c r="M193" s="43" t="s">
        <v>217</v>
      </c>
      <c r="N193" s="84">
        <v>15130</v>
      </c>
      <c r="O193" s="85"/>
      <c r="P193" s="85"/>
      <c r="Q193" s="39"/>
    </row>
    <row r="194" spans="2:17" x14ac:dyDescent="0.25">
      <c r="B194" s="39" t="s">
        <v>327</v>
      </c>
      <c r="C194" s="43" t="s">
        <v>332</v>
      </c>
      <c r="D194" s="79" t="s">
        <v>200</v>
      </c>
      <c r="E194" s="13" t="s">
        <v>200</v>
      </c>
      <c r="F194" s="13">
        <v>390000</v>
      </c>
      <c r="G194" s="13">
        <v>283062</v>
      </c>
      <c r="H194" s="41" t="s">
        <v>38</v>
      </c>
      <c r="I194" s="40" t="s">
        <v>244</v>
      </c>
      <c r="J194" s="41" t="s">
        <v>40</v>
      </c>
      <c r="K194" s="41" t="s">
        <v>41</v>
      </c>
      <c r="L194" s="41" t="s">
        <v>42</v>
      </c>
      <c r="M194" s="43" t="s">
        <v>130</v>
      </c>
      <c r="N194" s="84">
        <v>43010</v>
      </c>
      <c r="O194" s="85"/>
      <c r="P194" s="85"/>
      <c r="Q194" s="39"/>
    </row>
    <row r="195" spans="2:17" ht="23" x14ac:dyDescent="0.25">
      <c r="B195" s="39" t="s">
        <v>327</v>
      </c>
      <c r="C195" s="43" t="s">
        <v>582</v>
      </c>
      <c r="D195" s="79" t="s">
        <v>200</v>
      </c>
      <c r="E195" s="13" t="s">
        <v>200</v>
      </c>
      <c r="F195" s="13">
        <v>363377.50309664005</v>
      </c>
      <c r="G195" s="13">
        <v>263739.39174754138</v>
      </c>
      <c r="H195" s="41" t="s">
        <v>38</v>
      </c>
      <c r="I195" s="40" t="s">
        <v>244</v>
      </c>
      <c r="J195" s="41" t="s">
        <v>40</v>
      </c>
      <c r="K195" s="41" t="s">
        <v>41</v>
      </c>
      <c r="L195" s="41" t="s">
        <v>42</v>
      </c>
      <c r="M195" s="43" t="s">
        <v>217</v>
      </c>
      <c r="N195" s="86" t="s">
        <v>583</v>
      </c>
      <c r="O195" s="85"/>
      <c r="P195" s="85"/>
      <c r="Q195" s="39"/>
    </row>
    <row r="196" spans="2:17" x14ac:dyDescent="0.25">
      <c r="B196" s="39" t="s">
        <v>327</v>
      </c>
      <c r="C196" s="43" t="s">
        <v>334</v>
      </c>
      <c r="D196" s="79" t="s">
        <v>200</v>
      </c>
      <c r="E196" s="13" t="s">
        <v>200</v>
      </c>
      <c r="F196" s="13">
        <v>346777.77760000003</v>
      </c>
      <c r="G196" s="13">
        <v>251691.31098208003</v>
      </c>
      <c r="H196" s="41" t="s">
        <v>38</v>
      </c>
      <c r="I196" s="40" t="s">
        <v>244</v>
      </c>
      <c r="J196" s="41" t="s">
        <v>40</v>
      </c>
      <c r="K196" s="41" t="s">
        <v>41</v>
      </c>
      <c r="L196" s="41" t="s">
        <v>42</v>
      </c>
      <c r="M196" s="43" t="s">
        <v>410</v>
      </c>
      <c r="N196" s="84">
        <v>33110</v>
      </c>
      <c r="O196" s="85"/>
      <c r="P196" s="85"/>
      <c r="Q196" s="39"/>
    </row>
    <row r="197" spans="2:17" ht="23" x14ac:dyDescent="0.25">
      <c r="B197" s="39" t="s">
        <v>327</v>
      </c>
      <c r="C197" s="43" t="s">
        <v>328</v>
      </c>
      <c r="D197" s="79" t="s">
        <v>200</v>
      </c>
      <c r="E197" s="13" t="s">
        <v>200</v>
      </c>
      <c r="F197" s="13">
        <v>122396.65230000005</v>
      </c>
      <c r="G197" s="13">
        <v>88835.490239340026</v>
      </c>
      <c r="H197" s="41" t="s">
        <v>38</v>
      </c>
      <c r="I197" s="40" t="s">
        <v>244</v>
      </c>
      <c r="J197" s="41" t="s">
        <v>40</v>
      </c>
      <c r="K197" s="41" t="s">
        <v>41</v>
      </c>
      <c r="L197" s="41" t="s">
        <v>42</v>
      </c>
      <c r="M197" s="43" t="s">
        <v>65</v>
      </c>
      <c r="N197" s="84">
        <v>72010</v>
      </c>
      <c r="O197" s="85"/>
      <c r="P197" s="85"/>
      <c r="Q197" s="39"/>
    </row>
    <row r="198" spans="2:17" x14ac:dyDescent="0.25">
      <c r="B198" s="39" t="s">
        <v>327</v>
      </c>
      <c r="C198" s="43" t="s">
        <v>584</v>
      </c>
      <c r="D198" s="79" t="s">
        <v>200</v>
      </c>
      <c r="E198" s="13" t="s">
        <v>200</v>
      </c>
      <c r="F198" s="13">
        <v>86382.961525000021</v>
      </c>
      <c r="G198" s="13">
        <v>62696.753474845013</v>
      </c>
      <c r="H198" s="41" t="s">
        <v>38</v>
      </c>
      <c r="I198" s="40" t="s">
        <v>244</v>
      </c>
      <c r="J198" s="41" t="s">
        <v>40</v>
      </c>
      <c r="K198" s="41" t="s">
        <v>41</v>
      </c>
      <c r="L198" s="41" t="s">
        <v>42</v>
      </c>
      <c r="M198" s="43" t="s">
        <v>272</v>
      </c>
      <c r="N198" s="84">
        <v>12220</v>
      </c>
      <c r="O198" s="85"/>
      <c r="P198" s="85"/>
      <c r="Q198" s="39"/>
    </row>
    <row r="199" spans="2:17" ht="23" x14ac:dyDescent="0.25">
      <c r="B199" s="39" t="s">
        <v>327</v>
      </c>
      <c r="C199" s="43" t="s">
        <v>585</v>
      </c>
      <c r="D199" s="79" t="s">
        <v>200</v>
      </c>
      <c r="E199" s="13" t="s">
        <v>200</v>
      </c>
      <c r="F199" s="13">
        <v>86188.991999999984</v>
      </c>
      <c r="G199" s="13">
        <v>62555.970393599986</v>
      </c>
      <c r="H199" s="41" t="s">
        <v>38</v>
      </c>
      <c r="I199" s="40" t="s">
        <v>244</v>
      </c>
      <c r="J199" s="41" t="s">
        <v>40</v>
      </c>
      <c r="K199" s="41" t="s">
        <v>41</v>
      </c>
      <c r="L199" s="41" t="s">
        <v>42</v>
      </c>
      <c r="M199" s="43" t="s">
        <v>65</v>
      </c>
      <c r="N199" s="84">
        <v>72050</v>
      </c>
      <c r="O199" s="85"/>
      <c r="P199" s="85"/>
      <c r="Q199" s="39"/>
    </row>
    <row r="200" spans="2:17" ht="23" x14ac:dyDescent="0.25">
      <c r="B200" s="39" t="s">
        <v>327</v>
      </c>
      <c r="C200" s="43" t="s">
        <v>338</v>
      </c>
      <c r="D200" s="79" t="s">
        <v>200</v>
      </c>
      <c r="E200" s="13" t="s">
        <v>200</v>
      </c>
      <c r="F200" s="13">
        <v>38171.649000000012</v>
      </c>
      <c r="G200" s="13">
        <v>27704.982844200007</v>
      </c>
      <c r="H200" s="41" t="s">
        <v>38</v>
      </c>
      <c r="I200" s="40" t="s">
        <v>244</v>
      </c>
      <c r="J200" s="41" t="s">
        <v>40</v>
      </c>
      <c r="K200" s="41" t="s">
        <v>41</v>
      </c>
      <c r="L200" s="41" t="s">
        <v>42</v>
      </c>
      <c r="M200" s="43" t="s">
        <v>65</v>
      </c>
      <c r="N200" s="84">
        <v>72050</v>
      </c>
      <c r="O200" s="85"/>
      <c r="P200" s="85"/>
      <c r="Q200" s="39"/>
    </row>
    <row r="201" spans="2:17" ht="34.5" x14ac:dyDescent="0.25">
      <c r="B201" s="39" t="s">
        <v>867</v>
      </c>
      <c r="C201" s="43" t="s">
        <v>339</v>
      </c>
      <c r="D201" s="79" t="s">
        <v>200</v>
      </c>
      <c r="E201" s="13" t="s">
        <v>200</v>
      </c>
      <c r="F201" s="13">
        <v>1456565.1511393199</v>
      </c>
      <c r="G201" s="13">
        <v>1057174.9866969183</v>
      </c>
      <c r="H201" s="41" t="s">
        <v>38</v>
      </c>
      <c r="I201" s="41" t="s">
        <v>39</v>
      </c>
      <c r="J201" s="41" t="s">
        <v>40</v>
      </c>
      <c r="K201" s="41" t="s">
        <v>41</v>
      </c>
      <c r="L201" s="41" t="s">
        <v>42</v>
      </c>
      <c r="M201" s="43" t="s">
        <v>125</v>
      </c>
      <c r="N201" s="42" t="s">
        <v>586</v>
      </c>
      <c r="O201" s="85"/>
      <c r="P201" s="85"/>
      <c r="Q201" s="39"/>
    </row>
    <row r="202" spans="2:17" ht="34.5" x14ac:dyDescent="0.25">
      <c r="B202" s="39" t="s">
        <v>867</v>
      </c>
      <c r="C202" s="43" t="s">
        <v>587</v>
      </c>
      <c r="D202" s="79" t="s">
        <v>200</v>
      </c>
      <c r="E202" s="13" t="s">
        <v>200</v>
      </c>
      <c r="F202" s="13">
        <v>560785.36</v>
      </c>
      <c r="G202" s="13">
        <v>407018.01428800001</v>
      </c>
      <c r="H202" s="41" t="s">
        <v>38</v>
      </c>
      <c r="I202" s="41" t="s">
        <v>39</v>
      </c>
      <c r="J202" s="41" t="s">
        <v>40</v>
      </c>
      <c r="K202" s="41" t="s">
        <v>41</v>
      </c>
      <c r="L202" s="41" t="s">
        <v>159</v>
      </c>
      <c r="M202" s="43" t="s">
        <v>588</v>
      </c>
      <c r="N202" s="42" t="s">
        <v>589</v>
      </c>
      <c r="O202" s="43"/>
      <c r="P202" s="43"/>
      <c r="Q202" s="39"/>
    </row>
    <row r="203" spans="2:17" ht="34.5" x14ac:dyDescent="0.25">
      <c r="B203" s="39" t="s">
        <v>867</v>
      </c>
      <c r="C203" s="43" t="s">
        <v>587</v>
      </c>
      <c r="D203" s="79" t="s">
        <v>200</v>
      </c>
      <c r="E203" s="13" t="s">
        <v>200</v>
      </c>
      <c r="F203" s="13">
        <v>1121234.32</v>
      </c>
      <c r="G203" s="13">
        <v>813791.86945600004</v>
      </c>
      <c r="H203" s="41" t="s">
        <v>38</v>
      </c>
      <c r="I203" s="41" t="s">
        <v>39</v>
      </c>
      <c r="J203" s="41" t="s">
        <v>40</v>
      </c>
      <c r="K203" s="41" t="s">
        <v>41</v>
      </c>
      <c r="L203" s="41" t="s">
        <v>130</v>
      </c>
      <c r="M203" s="43" t="s">
        <v>588</v>
      </c>
      <c r="N203" s="42" t="s">
        <v>589</v>
      </c>
      <c r="O203" s="43"/>
      <c r="P203" s="43"/>
      <c r="Q203" s="39"/>
    </row>
    <row r="204" spans="2:17" ht="23" x14ac:dyDescent="0.25">
      <c r="B204" s="39" t="s">
        <v>590</v>
      </c>
      <c r="C204" s="43" t="s">
        <v>591</v>
      </c>
      <c r="D204" s="79" t="s">
        <v>200</v>
      </c>
      <c r="E204" s="13" t="s">
        <v>200</v>
      </c>
      <c r="F204" s="13">
        <v>225000</v>
      </c>
      <c r="G204" s="13">
        <v>163305</v>
      </c>
      <c r="H204" s="41" t="s">
        <v>38</v>
      </c>
      <c r="I204" s="41" t="s">
        <v>39</v>
      </c>
      <c r="J204" s="41" t="s">
        <v>40</v>
      </c>
      <c r="K204" s="41" t="s">
        <v>41</v>
      </c>
      <c r="L204" s="41" t="s">
        <v>42</v>
      </c>
      <c r="M204" s="43" t="s">
        <v>45</v>
      </c>
      <c r="N204" s="42" t="s">
        <v>592</v>
      </c>
      <c r="O204" s="43" t="s">
        <v>68</v>
      </c>
      <c r="P204" s="43"/>
      <c r="Q204" s="39"/>
    </row>
    <row r="205" spans="2:17" x14ac:dyDescent="0.25">
      <c r="B205" s="39" t="s">
        <v>593</v>
      </c>
      <c r="C205" s="43" t="s">
        <v>594</v>
      </c>
      <c r="D205" s="79" t="s">
        <v>200</v>
      </c>
      <c r="E205" s="13" t="s">
        <v>200</v>
      </c>
      <c r="F205" s="13">
        <v>408061.98</v>
      </c>
      <c r="G205" s="13">
        <v>296171.38508400001</v>
      </c>
      <c r="H205" s="41" t="s">
        <v>38</v>
      </c>
      <c r="I205" s="41" t="s">
        <v>244</v>
      </c>
      <c r="J205" s="41" t="s">
        <v>40</v>
      </c>
      <c r="K205" s="41" t="s">
        <v>41</v>
      </c>
      <c r="L205" s="41" t="s">
        <v>42</v>
      </c>
      <c r="M205" s="43" t="s">
        <v>45</v>
      </c>
      <c r="N205" s="43">
        <v>14010</v>
      </c>
      <c r="O205" s="43"/>
      <c r="P205" s="43"/>
      <c r="Q205" s="39"/>
    </row>
    <row r="206" spans="2:17" ht="23" x14ac:dyDescent="0.25">
      <c r="B206" s="39" t="s">
        <v>593</v>
      </c>
      <c r="C206" s="43" t="s">
        <v>595</v>
      </c>
      <c r="D206" s="79" t="s">
        <v>200</v>
      </c>
      <c r="E206" s="13" t="s">
        <v>200</v>
      </c>
      <c r="F206" s="13">
        <v>15000</v>
      </c>
      <c r="G206" s="13">
        <v>10887</v>
      </c>
      <c r="H206" s="41" t="s">
        <v>38</v>
      </c>
      <c r="I206" s="41" t="s">
        <v>244</v>
      </c>
      <c r="J206" s="41" t="s">
        <v>40</v>
      </c>
      <c r="K206" s="41" t="s">
        <v>41</v>
      </c>
      <c r="L206" s="41" t="s">
        <v>130</v>
      </c>
      <c r="M206" s="43" t="s">
        <v>596</v>
      </c>
      <c r="N206" s="42" t="s">
        <v>597</v>
      </c>
      <c r="O206" s="43"/>
      <c r="P206" s="43"/>
      <c r="Q206" s="39"/>
    </row>
    <row r="207" spans="2:17" ht="23" x14ac:dyDescent="0.25">
      <c r="B207" s="39" t="s">
        <v>593</v>
      </c>
      <c r="C207" s="43" t="s">
        <v>598</v>
      </c>
      <c r="D207" s="79" t="s">
        <v>200</v>
      </c>
      <c r="E207" s="13" t="s">
        <v>200</v>
      </c>
      <c r="F207" s="13">
        <v>547.34</v>
      </c>
      <c r="G207" s="13">
        <v>397.25937200000004</v>
      </c>
      <c r="H207" s="41" t="s">
        <v>38</v>
      </c>
      <c r="I207" s="41" t="s">
        <v>244</v>
      </c>
      <c r="J207" s="41" t="s">
        <v>40</v>
      </c>
      <c r="K207" s="41" t="s">
        <v>41</v>
      </c>
      <c r="L207" s="41" t="s">
        <v>130</v>
      </c>
      <c r="M207" s="43" t="s">
        <v>217</v>
      </c>
      <c r="N207" s="39">
        <v>15160</v>
      </c>
      <c r="O207" s="43"/>
      <c r="P207" s="43"/>
      <c r="Q207" s="39"/>
    </row>
    <row r="208" spans="2:17" x14ac:dyDescent="0.25">
      <c r="B208" s="39" t="s">
        <v>346</v>
      </c>
      <c r="C208" s="43" t="s">
        <v>599</v>
      </c>
      <c r="D208" s="79" t="s">
        <v>200</v>
      </c>
      <c r="E208" s="13" t="s">
        <v>200</v>
      </c>
      <c r="F208" s="13">
        <v>500556</v>
      </c>
      <c r="G208" s="13">
        <v>363303.54479999997</v>
      </c>
      <c r="H208" s="41" t="s">
        <v>38</v>
      </c>
      <c r="I208" s="41" t="s">
        <v>244</v>
      </c>
      <c r="J208" s="41" t="s">
        <v>40</v>
      </c>
      <c r="K208" s="41" t="s">
        <v>41</v>
      </c>
      <c r="L208" s="41" t="s">
        <v>42</v>
      </c>
      <c r="M208" s="43" t="s">
        <v>272</v>
      </c>
      <c r="N208" s="39">
        <v>12230</v>
      </c>
      <c r="O208" s="43"/>
      <c r="P208" s="43"/>
      <c r="Q208" s="39"/>
    </row>
    <row r="209" spans="2:17" ht="69" x14ac:dyDescent="0.25">
      <c r="B209" s="39" t="s">
        <v>868</v>
      </c>
      <c r="C209" s="43" t="s">
        <v>348</v>
      </c>
      <c r="D209" s="79" t="s">
        <v>200</v>
      </c>
      <c r="E209" s="13" t="s">
        <v>200</v>
      </c>
      <c r="F209" s="13">
        <v>2700000</v>
      </c>
      <c r="G209" s="13">
        <v>1959660</v>
      </c>
      <c r="H209" s="41" t="s">
        <v>38</v>
      </c>
      <c r="I209" s="41" t="s">
        <v>39</v>
      </c>
      <c r="J209" s="41" t="s">
        <v>40</v>
      </c>
      <c r="K209" s="41" t="s">
        <v>41</v>
      </c>
      <c r="L209" s="41" t="s">
        <v>42</v>
      </c>
      <c r="M209" s="43" t="s">
        <v>600</v>
      </c>
      <c r="N209" s="42" t="s">
        <v>350</v>
      </c>
      <c r="O209" s="43" t="s">
        <v>68</v>
      </c>
      <c r="P209" s="43"/>
      <c r="Q209" s="39"/>
    </row>
    <row r="210" spans="2:17" ht="80.5" x14ac:dyDescent="0.25">
      <c r="B210" s="39" t="s">
        <v>868</v>
      </c>
      <c r="C210" s="43" t="s">
        <v>601</v>
      </c>
      <c r="D210" s="79" t="s">
        <v>200</v>
      </c>
      <c r="E210" s="13" t="s">
        <v>200</v>
      </c>
      <c r="F210" s="13">
        <v>2040000</v>
      </c>
      <c r="G210" s="13">
        <v>1480632</v>
      </c>
      <c r="H210" s="41" t="s">
        <v>38</v>
      </c>
      <c r="I210" s="41" t="s">
        <v>39</v>
      </c>
      <c r="J210" s="41" t="s">
        <v>40</v>
      </c>
      <c r="K210" s="41" t="s">
        <v>41</v>
      </c>
      <c r="L210" s="41" t="s">
        <v>42</v>
      </c>
      <c r="M210" s="43" t="s">
        <v>602</v>
      </c>
      <c r="N210" s="42" t="s">
        <v>603</v>
      </c>
      <c r="O210" s="43" t="s">
        <v>68</v>
      </c>
      <c r="P210" s="43"/>
      <c r="Q210" s="39"/>
    </row>
    <row r="211" spans="2:17" ht="34.5" x14ac:dyDescent="0.25">
      <c r="B211" s="39" t="s">
        <v>868</v>
      </c>
      <c r="C211" s="43" t="s">
        <v>604</v>
      </c>
      <c r="D211" s="79" t="s">
        <v>200</v>
      </c>
      <c r="E211" s="13" t="s">
        <v>200</v>
      </c>
      <c r="F211" s="13">
        <v>2000000</v>
      </c>
      <c r="G211" s="13">
        <v>1451600</v>
      </c>
      <c r="H211" s="41" t="s">
        <v>38</v>
      </c>
      <c r="I211" s="41" t="s">
        <v>39</v>
      </c>
      <c r="J211" s="41" t="s">
        <v>40</v>
      </c>
      <c r="K211" s="41" t="s">
        <v>41</v>
      </c>
      <c r="L211" s="41" t="s">
        <v>42</v>
      </c>
      <c r="M211" s="43" t="s">
        <v>605</v>
      </c>
      <c r="N211" s="42" t="s">
        <v>606</v>
      </c>
      <c r="O211" s="43"/>
      <c r="P211" s="43"/>
      <c r="Q211" s="39"/>
    </row>
    <row r="212" spans="2:17" ht="34.5" x14ac:dyDescent="0.25">
      <c r="B212" s="39" t="s">
        <v>868</v>
      </c>
      <c r="C212" s="43" t="s">
        <v>607</v>
      </c>
      <c r="D212" s="79" t="s">
        <v>200</v>
      </c>
      <c r="E212" s="13" t="s">
        <v>200</v>
      </c>
      <c r="F212" s="13">
        <v>697947.60558721516</v>
      </c>
      <c r="G212" s="13">
        <v>506570.37213520077</v>
      </c>
      <c r="H212" s="41" t="s">
        <v>38</v>
      </c>
      <c r="I212" s="41" t="s">
        <v>39</v>
      </c>
      <c r="J212" s="41" t="s">
        <v>40</v>
      </c>
      <c r="K212" s="41" t="s">
        <v>41</v>
      </c>
      <c r="L212" s="41" t="s">
        <v>42</v>
      </c>
      <c r="M212" s="43" t="s">
        <v>366</v>
      </c>
      <c r="N212" s="42" t="s">
        <v>367</v>
      </c>
      <c r="O212" s="43" t="s">
        <v>68</v>
      </c>
      <c r="P212" s="43"/>
      <c r="Q212" s="39"/>
    </row>
    <row r="213" spans="2:17" ht="126.5" x14ac:dyDescent="0.25">
      <c r="B213" s="39" t="s">
        <v>868</v>
      </c>
      <c r="C213" s="43" t="s">
        <v>608</v>
      </c>
      <c r="D213" s="79" t="s">
        <v>200</v>
      </c>
      <c r="E213" s="13" t="s">
        <v>200</v>
      </c>
      <c r="F213" s="13">
        <v>329999.99999999994</v>
      </c>
      <c r="G213" s="13">
        <v>239513.99999999997</v>
      </c>
      <c r="H213" s="41" t="s">
        <v>38</v>
      </c>
      <c r="I213" s="41" t="s">
        <v>39</v>
      </c>
      <c r="J213" s="41" t="s">
        <v>40</v>
      </c>
      <c r="K213" s="41" t="s">
        <v>41</v>
      </c>
      <c r="L213" s="41" t="s">
        <v>42</v>
      </c>
      <c r="M213" s="43" t="s">
        <v>609</v>
      </c>
      <c r="N213" s="42" t="s">
        <v>610</v>
      </c>
      <c r="O213" s="43" t="s">
        <v>68</v>
      </c>
      <c r="P213" s="43" t="s">
        <v>68</v>
      </c>
      <c r="Q213" s="39"/>
    </row>
    <row r="214" spans="2:17" ht="57.5" x14ac:dyDescent="0.25">
      <c r="B214" s="39" t="s">
        <v>868</v>
      </c>
      <c r="C214" s="43" t="s">
        <v>611</v>
      </c>
      <c r="D214" s="79" t="s">
        <v>200</v>
      </c>
      <c r="E214" s="13" t="s">
        <v>200</v>
      </c>
      <c r="F214" s="13">
        <v>299999.99999999994</v>
      </c>
      <c r="G214" s="13">
        <v>217739.99999999997</v>
      </c>
      <c r="H214" s="41" t="s">
        <v>38</v>
      </c>
      <c r="I214" s="41" t="s">
        <v>39</v>
      </c>
      <c r="J214" s="41" t="s">
        <v>40</v>
      </c>
      <c r="K214" s="41" t="s">
        <v>41</v>
      </c>
      <c r="L214" s="41" t="s">
        <v>42</v>
      </c>
      <c r="M214" s="43" t="s">
        <v>612</v>
      </c>
      <c r="N214" s="42" t="s">
        <v>613</v>
      </c>
      <c r="O214" s="43" t="s">
        <v>68</v>
      </c>
      <c r="P214" s="43" t="s">
        <v>68</v>
      </c>
      <c r="Q214" s="39"/>
    </row>
    <row r="215" spans="2:17" x14ac:dyDescent="0.25">
      <c r="B215" s="39" t="s">
        <v>868</v>
      </c>
      <c r="C215" s="43" t="s">
        <v>614</v>
      </c>
      <c r="D215" s="79" t="s">
        <v>200</v>
      </c>
      <c r="E215" s="13" t="s">
        <v>200</v>
      </c>
      <c r="F215" s="13">
        <v>150005.88253950002</v>
      </c>
      <c r="G215" s="13">
        <v>108874.26954716911</v>
      </c>
      <c r="H215" s="41" t="s">
        <v>38</v>
      </c>
      <c r="I215" s="41" t="s">
        <v>39</v>
      </c>
      <c r="J215" s="41" t="s">
        <v>40</v>
      </c>
      <c r="K215" s="41" t="s">
        <v>41</v>
      </c>
      <c r="L215" s="41" t="s">
        <v>42</v>
      </c>
      <c r="M215" s="43" t="s">
        <v>272</v>
      </c>
      <c r="N215" s="39">
        <v>12250</v>
      </c>
      <c r="O215" s="43"/>
      <c r="P215" s="43"/>
      <c r="Q215" s="39"/>
    </row>
    <row r="216" spans="2:17" x14ac:dyDescent="0.25">
      <c r="B216" s="39" t="s">
        <v>868</v>
      </c>
      <c r="C216" s="43" t="s">
        <v>615</v>
      </c>
      <c r="D216" s="79" t="s">
        <v>200</v>
      </c>
      <c r="E216" s="13" t="s">
        <v>200</v>
      </c>
      <c r="F216" s="13">
        <v>82612.667999999976</v>
      </c>
      <c r="G216" s="13">
        <v>59960.27443439998</v>
      </c>
      <c r="H216" s="41" t="s">
        <v>38</v>
      </c>
      <c r="I216" s="41" t="s">
        <v>39</v>
      </c>
      <c r="J216" s="41" t="s">
        <v>40</v>
      </c>
      <c r="K216" s="41" t="s">
        <v>41</v>
      </c>
      <c r="L216" s="41" t="s">
        <v>42</v>
      </c>
      <c r="M216" s="43" t="s">
        <v>364</v>
      </c>
      <c r="N216" s="39">
        <v>99810</v>
      </c>
      <c r="O216" s="43"/>
      <c r="P216" s="43"/>
      <c r="Q216" s="39"/>
    </row>
    <row r="217" spans="2:17" ht="57.5" x14ac:dyDescent="0.25">
      <c r="B217" s="39" t="s">
        <v>868</v>
      </c>
      <c r="C217" s="43" t="s">
        <v>611</v>
      </c>
      <c r="D217" s="79" t="s">
        <v>200</v>
      </c>
      <c r="E217" s="13" t="s">
        <v>200</v>
      </c>
      <c r="F217" s="13">
        <v>1800000</v>
      </c>
      <c r="G217" s="13">
        <v>1306440</v>
      </c>
      <c r="H217" s="41" t="s">
        <v>38</v>
      </c>
      <c r="I217" s="41" t="s">
        <v>39</v>
      </c>
      <c r="J217" s="41" t="s">
        <v>40</v>
      </c>
      <c r="K217" s="41" t="s">
        <v>41</v>
      </c>
      <c r="L217" s="41" t="s">
        <v>159</v>
      </c>
      <c r="M217" s="43" t="s">
        <v>612</v>
      </c>
      <c r="N217" s="42" t="s">
        <v>613</v>
      </c>
      <c r="O217" s="43" t="s">
        <v>68</v>
      </c>
      <c r="P217" s="43" t="s">
        <v>68</v>
      </c>
      <c r="Q217" s="39"/>
    </row>
    <row r="218" spans="2:17" ht="34.5" x14ac:dyDescent="0.25">
      <c r="B218" s="39" t="s">
        <v>868</v>
      </c>
      <c r="C218" s="43" t="s">
        <v>607</v>
      </c>
      <c r="D218" s="79" t="s">
        <v>200</v>
      </c>
      <c r="E218" s="13" t="s">
        <v>200</v>
      </c>
      <c r="F218" s="13">
        <v>53295.08</v>
      </c>
      <c r="G218" s="13">
        <v>38681.569064000003</v>
      </c>
      <c r="H218" s="41" t="s">
        <v>38</v>
      </c>
      <c r="I218" s="41" t="s">
        <v>39</v>
      </c>
      <c r="J218" s="41" t="s">
        <v>40</v>
      </c>
      <c r="K218" s="41" t="s">
        <v>41</v>
      </c>
      <c r="L218" s="41" t="s">
        <v>159</v>
      </c>
      <c r="M218" s="43" t="s">
        <v>366</v>
      </c>
      <c r="N218" s="42" t="s">
        <v>367</v>
      </c>
      <c r="O218" s="43" t="s">
        <v>68</v>
      </c>
      <c r="P218" s="43"/>
      <c r="Q218" s="39"/>
    </row>
    <row r="219" spans="2:17" ht="34.5" x14ac:dyDescent="0.25">
      <c r="B219" s="39" t="s">
        <v>868</v>
      </c>
      <c r="C219" s="43" t="s">
        <v>607</v>
      </c>
      <c r="D219" s="79" t="s">
        <v>200</v>
      </c>
      <c r="E219" s="13" t="s">
        <v>200</v>
      </c>
      <c r="F219" s="13">
        <v>1523308.38</v>
      </c>
      <c r="G219" s="13">
        <v>1105617.222204</v>
      </c>
      <c r="H219" s="41" t="s">
        <v>38</v>
      </c>
      <c r="I219" s="41" t="s">
        <v>39</v>
      </c>
      <c r="J219" s="41" t="s">
        <v>40</v>
      </c>
      <c r="K219" s="41" t="s">
        <v>41</v>
      </c>
      <c r="L219" s="41" t="s">
        <v>130</v>
      </c>
      <c r="M219" s="43" t="s">
        <v>366</v>
      </c>
      <c r="N219" s="42" t="s">
        <v>367</v>
      </c>
      <c r="O219" s="43" t="s">
        <v>68</v>
      </c>
      <c r="P219" s="43"/>
      <c r="Q219" s="39"/>
    </row>
    <row r="220" spans="2:17" ht="34.5" x14ac:dyDescent="0.25">
      <c r="B220" s="39" t="s">
        <v>868</v>
      </c>
      <c r="C220" s="43" t="s">
        <v>616</v>
      </c>
      <c r="D220" s="79" t="s">
        <v>200</v>
      </c>
      <c r="E220" s="13" t="s">
        <v>200</v>
      </c>
      <c r="F220" s="13">
        <v>248852.06</v>
      </c>
      <c r="G220" s="13">
        <v>180616.825148</v>
      </c>
      <c r="H220" s="41" t="s">
        <v>38</v>
      </c>
      <c r="I220" s="41" t="s">
        <v>39</v>
      </c>
      <c r="J220" s="41" t="s">
        <v>40</v>
      </c>
      <c r="K220" s="41" t="s">
        <v>41</v>
      </c>
      <c r="L220" s="41" t="s">
        <v>130</v>
      </c>
      <c r="M220" s="43" t="s">
        <v>605</v>
      </c>
      <c r="N220" s="42" t="s">
        <v>606</v>
      </c>
      <c r="O220" s="43" t="s">
        <v>68</v>
      </c>
      <c r="P220" s="43"/>
      <c r="Q220" s="39"/>
    </row>
    <row r="221" spans="2:17" ht="23" x14ac:dyDescent="0.25">
      <c r="B221" s="39" t="s">
        <v>368</v>
      </c>
      <c r="C221" s="43" t="s">
        <v>369</v>
      </c>
      <c r="D221" s="79" t="s">
        <v>200</v>
      </c>
      <c r="E221" s="13" t="s">
        <v>200</v>
      </c>
      <c r="F221" s="13">
        <v>2654146.4311776701</v>
      </c>
      <c r="G221" s="13">
        <v>1926379.4797487529</v>
      </c>
      <c r="H221" s="41" t="s">
        <v>38</v>
      </c>
      <c r="I221" s="40" t="s">
        <v>244</v>
      </c>
      <c r="J221" s="41" t="s">
        <v>40</v>
      </c>
      <c r="K221" s="41" t="s">
        <v>41</v>
      </c>
      <c r="L221" s="41" t="s">
        <v>42</v>
      </c>
      <c r="M221" s="43" t="s">
        <v>343</v>
      </c>
      <c r="N221" s="84">
        <v>31110</v>
      </c>
      <c r="O221" s="43"/>
      <c r="P221" s="43"/>
      <c r="Q221" s="39"/>
    </row>
    <row r="222" spans="2:17" ht="23" x14ac:dyDescent="0.25">
      <c r="B222" s="39" t="s">
        <v>368</v>
      </c>
      <c r="C222" s="43" t="s">
        <v>370</v>
      </c>
      <c r="D222" s="79" t="s">
        <v>200</v>
      </c>
      <c r="E222" s="13" t="s">
        <v>200</v>
      </c>
      <c r="F222" s="13">
        <v>90194.67</v>
      </c>
      <c r="G222" s="13">
        <v>65463.291486000002</v>
      </c>
      <c r="H222" s="41" t="s">
        <v>38</v>
      </c>
      <c r="I222" s="40" t="s">
        <v>244</v>
      </c>
      <c r="J222" s="41" t="s">
        <v>40</v>
      </c>
      <c r="K222" s="41" t="s">
        <v>41</v>
      </c>
      <c r="L222" s="41" t="s">
        <v>42</v>
      </c>
      <c r="M222" s="43" t="s">
        <v>371</v>
      </c>
      <c r="N222" s="42" t="s">
        <v>372</v>
      </c>
      <c r="O222" s="43"/>
      <c r="P222" s="43"/>
      <c r="Q222" s="39"/>
    </row>
    <row r="223" spans="2:17" ht="23" x14ac:dyDescent="0.25">
      <c r="B223" s="39" t="s">
        <v>368</v>
      </c>
      <c r="C223" s="43" t="s">
        <v>370</v>
      </c>
      <c r="D223" s="79" t="s">
        <v>200</v>
      </c>
      <c r="E223" s="13" t="s">
        <v>200</v>
      </c>
      <c r="F223" s="13">
        <v>1713743.6106106041</v>
      </c>
      <c r="G223" s="13">
        <v>1243835.1125811765</v>
      </c>
      <c r="H223" s="41" t="s">
        <v>38</v>
      </c>
      <c r="I223" s="40" t="s">
        <v>244</v>
      </c>
      <c r="J223" s="41" t="s">
        <v>40</v>
      </c>
      <c r="K223" s="41" t="s">
        <v>41</v>
      </c>
      <c r="L223" s="41" t="s">
        <v>159</v>
      </c>
      <c r="M223" s="43" t="s">
        <v>617</v>
      </c>
      <c r="N223" s="42" t="s">
        <v>372</v>
      </c>
      <c r="O223" s="43"/>
      <c r="P223" s="43"/>
      <c r="Q223" s="39"/>
    </row>
    <row r="224" spans="2:17" x14ac:dyDescent="0.25">
      <c r="B224" s="39" t="s">
        <v>368</v>
      </c>
      <c r="C224" s="43" t="s">
        <v>618</v>
      </c>
      <c r="D224" s="79" t="s">
        <v>200</v>
      </c>
      <c r="E224" s="13" t="s">
        <v>200</v>
      </c>
      <c r="F224" s="13">
        <v>129500</v>
      </c>
      <c r="G224" s="13">
        <v>93991.1</v>
      </c>
      <c r="H224" s="41" t="s">
        <v>38</v>
      </c>
      <c r="I224" s="40" t="s">
        <v>244</v>
      </c>
      <c r="J224" s="41" t="s">
        <v>40</v>
      </c>
      <c r="K224" s="41" t="s">
        <v>41</v>
      </c>
      <c r="L224" s="41" t="s">
        <v>130</v>
      </c>
      <c r="M224" s="43" t="s">
        <v>619</v>
      </c>
      <c r="N224" s="43">
        <v>43010</v>
      </c>
      <c r="O224" s="43"/>
      <c r="P224" s="43"/>
      <c r="Q224" s="39"/>
    </row>
    <row r="225" spans="2:17" ht="34.5" x14ac:dyDescent="0.25">
      <c r="B225" s="39" t="s">
        <v>373</v>
      </c>
      <c r="C225" s="43" t="s">
        <v>374</v>
      </c>
      <c r="D225" s="79" t="s">
        <v>200</v>
      </c>
      <c r="E225" s="13" t="s">
        <v>200</v>
      </c>
      <c r="F225" s="13">
        <v>3656524.65</v>
      </c>
      <c r="G225" s="13">
        <v>2653905.5909699998</v>
      </c>
      <c r="H225" s="41" t="s">
        <v>38</v>
      </c>
      <c r="I225" s="40" t="s">
        <v>244</v>
      </c>
      <c r="J225" s="41" t="s">
        <v>40</v>
      </c>
      <c r="K225" s="41" t="s">
        <v>41</v>
      </c>
      <c r="L225" s="41" t="s">
        <v>42</v>
      </c>
      <c r="M225" s="43" t="s">
        <v>375</v>
      </c>
      <c r="N225" s="42" t="s">
        <v>376</v>
      </c>
      <c r="O225" s="43"/>
      <c r="P225" s="43"/>
      <c r="Q225" s="39"/>
    </row>
    <row r="226" spans="2:17" x14ac:dyDescent="0.25">
      <c r="B226" s="39" t="s">
        <v>373</v>
      </c>
      <c r="C226" s="43" t="s">
        <v>377</v>
      </c>
      <c r="D226" s="79" t="s">
        <v>200</v>
      </c>
      <c r="E226" s="13" t="s">
        <v>200</v>
      </c>
      <c r="F226" s="13">
        <v>513816.92308421998</v>
      </c>
      <c r="G226" s="13">
        <v>372928.32277452684</v>
      </c>
      <c r="H226" s="41" t="s">
        <v>38</v>
      </c>
      <c r="I226" s="40" t="s">
        <v>244</v>
      </c>
      <c r="J226" s="41" t="s">
        <v>40</v>
      </c>
      <c r="K226" s="41" t="s">
        <v>41</v>
      </c>
      <c r="L226" s="41" t="s">
        <v>42</v>
      </c>
      <c r="M226" s="43" t="s">
        <v>57</v>
      </c>
      <c r="N226" s="39">
        <v>74010</v>
      </c>
      <c r="O226" s="43"/>
      <c r="P226" s="43"/>
      <c r="Q226" s="39"/>
    </row>
    <row r="227" spans="2:17" ht="57.5" x14ac:dyDescent="0.25">
      <c r="B227" s="39" t="s">
        <v>373</v>
      </c>
      <c r="C227" s="43" t="s">
        <v>620</v>
      </c>
      <c r="D227" s="79" t="s">
        <v>200</v>
      </c>
      <c r="E227" s="13" t="s">
        <v>200</v>
      </c>
      <c r="F227" s="13">
        <v>50000</v>
      </c>
      <c r="G227" s="13">
        <v>36290</v>
      </c>
      <c r="H227" s="41" t="s">
        <v>38</v>
      </c>
      <c r="I227" s="40" t="s">
        <v>244</v>
      </c>
      <c r="J227" s="41" t="s">
        <v>40</v>
      </c>
      <c r="K227" s="41" t="s">
        <v>41</v>
      </c>
      <c r="L227" s="41" t="s">
        <v>42</v>
      </c>
      <c r="M227" s="43" t="s">
        <v>383</v>
      </c>
      <c r="N227" s="42" t="s">
        <v>384</v>
      </c>
      <c r="O227" s="43"/>
      <c r="P227" s="43"/>
      <c r="Q227" s="39"/>
    </row>
    <row r="228" spans="2:17" ht="34.5" x14ac:dyDescent="0.25">
      <c r="B228" s="39" t="s">
        <v>373</v>
      </c>
      <c r="C228" s="43" t="s">
        <v>621</v>
      </c>
      <c r="D228" s="79" t="s">
        <v>200</v>
      </c>
      <c r="E228" s="13" t="s">
        <v>200</v>
      </c>
      <c r="F228" s="13">
        <v>2282515.1909154598</v>
      </c>
      <c r="G228" s="13">
        <v>1656649.5255664408</v>
      </c>
      <c r="H228" s="41" t="s">
        <v>38</v>
      </c>
      <c r="I228" s="40" t="s">
        <v>244</v>
      </c>
      <c r="J228" s="41" t="s">
        <v>40</v>
      </c>
      <c r="K228" s="41" t="s">
        <v>41</v>
      </c>
      <c r="L228" s="41" t="s">
        <v>159</v>
      </c>
      <c r="M228" s="43" t="s">
        <v>622</v>
      </c>
      <c r="N228" s="42" t="s">
        <v>376</v>
      </c>
      <c r="O228" s="43"/>
      <c r="P228" s="43"/>
      <c r="Q228" s="39"/>
    </row>
    <row r="229" spans="2:17" ht="46" x14ac:dyDescent="0.25">
      <c r="B229" s="39" t="s">
        <v>373</v>
      </c>
      <c r="C229" s="43" t="s">
        <v>385</v>
      </c>
      <c r="D229" s="79" t="s">
        <v>200</v>
      </c>
      <c r="E229" s="13" t="s">
        <v>200</v>
      </c>
      <c r="F229" s="13">
        <v>704941.23008158023</v>
      </c>
      <c r="G229" s="13">
        <v>511646.34479321091</v>
      </c>
      <c r="H229" s="41" t="s">
        <v>38</v>
      </c>
      <c r="I229" s="40" t="s">
        <v>244</v>
      </c>
      <c r="J229" s="41" t="s">
        <v>40</v>
      </c>
      <c r="K229" s="41" t="s">
        <v>41</v>
      </c>
      <c r="L229" s="41" t="s">
        <v>159</v>
      </c>
      <c r="M229" s="43" t="s">
        <v>217</v>
      </c>
      <c r="N229" s="42" t="s">
        <v>386</v>
      </c>
      <c r="O229" s="43"/>
      <c r="P229" s="43"/>
      <c r="Q229" s="39"/>
    </row>
    <row r="230" spans="2:17" ht="23" x14ac:dyDescent="0.25">
      <c r="B230" s="39" t="s">
        <v>373</v>
      </c>
      <c r="C230" s="43" t="s">
        <v>389</v>
      </c>
      <c r="D230" s="79" t="s">
        <v>200</v>
      </c>
      <c r="E230" s="13" t="s">
        <v>200</v>
      </c>
      <c r="F230" s="13">
        <v>699999.96499999985</v>
      </c>
      <c r="G230" s="13">
        <v>508059.97459699988</v>
      </c>
      <c r="H230" s="41" t="s">
        <v>38</v>
      </c>
      <c r="I230" s="40" t="s">
        <v>244</v>
      </c>
      <c r="J230" s="41" t="s">
        <v>40</v>
      </c>
      <c r="K230" s="41" t="s">
        <v>41</v>
      </c>
      <c r="L230" s="41" t="s">
        <v>159</v>
      </c>
      <c r="M230" s="43" t="s">
        <v>623</v>
      </c>
      <c r="N230" s="42" t="s">
        <v>624</v>
      </c>
      <c r="O230" s="43"/>
      <c r="P230" s="43"/>
      <c r="Q230" s="39"/>
    </row>
    <row r="231" spans="2:17" ht="57.5" x14ac:dyDescent="0.25">
      <c r="B231" s="39" t="s">
        <v>373</v>
      </c>
      <c r="C231" s="43" t="s">
        <v>382</v>
      </c>
      <c r="D231" s="79" t="s">
        <v>200</v>
      </c>
      <c r="E231" s="13" t="s">
        <v>200</v>
      </c>
      <c r="F231" s="13">
        <v>650000.00000000012</v>
      </c>
      <c r="G231" s="13">
        <v>471770.00000000006</v>
      </c>
      <c r="H231" s="41" t="s">
        <v>38</v>
      </c>
      <c r="I231" s="40" t="s">
        <v>244</v>
      </c>
      <c r="J231" s="41" t="s">
        <v>40</v>
      </c>
      <c r="K231" s="41" t="s">
        <v>41</v>
      </c>
      <c r="L231" s="41" t="s">
        <v>159</v>
      </c>
      <c r="M231" s="43" t="s">
        <v>383</v>
      </c>
      <c r="N231" s="42" t="s">
        <v>384</v>
      </c>
      <c r="O231" s="43"/>
      <c r="P231" s="43"/>
      <c r="Q231" s="39"/>
    </row>
    <row r="232" spans="2:17" x14ac:dyDescent="0.25">
      <c r="B232" s="39" t="s">
        <v>373</v>
      </c>
      <c r="C232" s="43" t="s">
        <v>393</v>
      </c>
      <c r="D232" s="79" t="s">
        <v>200</v>
      </c>
      <c r="E232" s="13" t="s">
        <v>200</v>
      </c>
      <c r="F232" s="13">
        <v>2521219.7917235009</v>
      </c>
      <c r="G232" s="13">
        <v>1829901.324832917</v>
      </c>
      <c r="H232" s="41" t="s">
        <v>38</v>
      </c>
      <c r="I232" s="40" t="s">
        <v>244</v>
      </c>
      <c r="J232" s="41" t="s">
        <v>40</v>
      </c>
      <c r="K232" s="41" t="s">
        <v>41</v>
      </c>
      <c r="L232" s="41" t="s">
        <v>130</v>
      </c>
      <c r="M232" s="43" t="s">
        <v>43</v>
      </c>
      <c r="N232" s="39">
        <v>31120</v>
      </c>
      <c r="O232" s="43"/>
      <c r="P232" s="43"/>
      <c r="Q232" s="39"/>
    </row>
    <row r="233" spans="2:17" x14ac:dyDescent="0.25">
      <c r="B233" s="39" t="s">
        <v>373</v>
      </c>
      <c r="C233" s="43" t="s">
        <v>378</v>
      </c>
      <c r="D233" s="79" t="s">
        <v>200</v>
      </c>
      <c r="E233" s="13" t="s">
        <v>200</v>
      </c>
      <c r="F233" s="13">
        <v>1050000</v>
      </c>
      <c r="G233" s="13">
        <v>762090</v>
      </c>
      <c r="H233" s="41" t="s">
        <v>38</v>
      </c>
      <c r="I233" s="40" t="s">
        <v>244</v>
      </c>
      <c r="J233" s="41" t="s">
        <v>40</v>
      </c>
      <c r="K233" s="41" t="s">
        <v>41</v>
      </c>
      <c r="L233" s="41" t="s">
        <v>130</v>
      </c>
      <c r="M233" s="43" t="s">
        <v>125</v>
      </c>
      <c r="N233" s="39">
        <v>14022</v>
      </c>
      <c r="O233" s="43"/>
      <c r="P233" s="43"/>
      <c r="Q233" s="39"/>
    </row>
    <row r="234" spans="2:17" ht="46" x14ac:dyDescent="0.25">
      <c r="B234" s="39" t="s">
        <v>373</v>
      </c>
      <c r="C234" s="43" t="s">
        <v>379</v>
      </c>
      <c r="D234" s="79" t="s">
        <v>200</v>
      </c>
      <c r="E234" s="13" t="s">
        <v>200</v>
      </c>
      <c r="F234" s="13">
        <v>773400.00000000012</v>
      </c>
      <c r="G234" s="13">
        <v>561333.72000000009</v>
      </c>
      <c r="H234" s="41" t="s">
        <v>38</v>
      </c>
      <c r="I234" s="40" t="s">
        <v>244</v>
      </c>
      <c r="J234" s="41" t="s">
        <v>40</v>
      </c>
      <c r="K234" s="41" t="s">
        <v>41</v>
      </c>
      <c r="L234" s="41" t="s">
        <v>130</v>
      </c>
      <c r="M234" s="43" t="s">
        <v>380</v>
      </c>
      <c r="N234" s="42" t="s">
        <v>381</v>
      </c>
      <c r="O234" s="43"/>
      <c r="P234" s="43"/>
      <c r="Q234" s="39"/>
    </row>
    <row r="235" spans="2:17" ht="46" x14ac:dyDescent="0.25">
      <c r="B235" s="39" t="s">
        <v>373</v>
      </c>
      <c r="C235" s="43" t="s">
        <v>385</v>
      </c>
      <c r="D235" s="79" t="s">
        <v>200</v>
      </c>
      <c r="E235" s="13" t="s">
        <v>200</v>
      </c>
      <c r="F235" s="13">
        <v>396535.28004588955</v>
      </c>
      <c r="G235" s="13">
        <v>287805.30625730666</v>
      </c>
      <c r="H235" s="41" t="s">
        <v>38</v>
      </c>
      <c r="I235" s="40" t="s">
        <v>244</v>
      </c>
      <c r="J235" s="41" t="s">
        <v>40</v>
      </c>
      <c r="K235" s="41" t="s">
        <v>41</v>
      </c>
      <c r="L235" s="41" t="s">
        <v>130</v>
      </c>
      <c r="M235" s="43" t="s">
        <v>217</v>
      </c>
      <c r="N235" s="42" t="s">
        <v>386</v>
      </c>
      <c r="O235" s="43"/>
      <c r="P235" s="43"/>
      <c r="Q235" s="39"/>
    </row>
    <row r="236" spans="2:17" x14ac:dyDescent="0.25">
      <c r="B236" s="39" t="s">
        <v>394</v>
      </c>
      <c r="C236" s="43" t="s">
        <v>852</v>
      </c>
      <c r="D236" s="79" t="s">
        <v>200</v>
      </c>
      <c r="E236" s="13" t="s">
        <v>200</v>
      </c>
      <c r="F236" s="13">
        <v>60000</v>
      </c>
      <c r="G236" s="13">
        <v>43548</v>
      </c>
      <c r="H236" s="41" t="s">
        <v>38</v>
      </c>
      <c r="I236" s="40" t="s">
        <v>244</v>
      </c>
      <c r="J236" s="41" t="s">
        <v>40</v>
      </c>
      <c r="K236" s="41" t="s">
        <v>41</v>
      </c>
      <c r="L236" s="41" t="s">
        <v>42</v>
      </c>
      <c r="M236" s="43" t="s">
        <v>130</v>
      </c>
      <c r="N236" s="39">
        <v>52010</v>
      </c>
      <c r="O236" s="43"/>
      <c r="P236" s="43"/>
      <c r="Q236" s="39"/>
    </row>
    <row r="237" spans="2:17" ht="23" x14ac:dyDescent="0.25">
      <c r="B237" s="39" t="s">
        <v>395</v>
      </c>
      <c r="C237" s="43" t="s">
        <v>625</v>
      </c>
      <c r="D237" s="79" t="s">
        <v>200</v>
      </c>
      <c r="E237" s="13" t="s">
        <v>200</v>
      </c>
      <c r="F237" s="13">
        <v>1980739.22</v>
      </c>
      <c r="G237" s="13">
        <v>1437620.5258760001</v>
      </c>
      <c r="H237" s="41" t="s">
        <v>38</v>
      </c>
      <c r="I237" s="40" t="s">
        <v>244</v>
      </c>
      <c r="J237" s="41" t="s">
        <v>40</v>
      </c>
      <c r="K237" s="41" t="s">
        <v>41</v>
      </c>
      <c r="L237" s="41" t="s">
        <v>42</v>
      </c>
      <c r="M237" s="43" t="s">
        <v>65</v>
      </c>
      <c r="N237" s="39">
        <v>72010</v>
      </c>
      <c r="O237" s="43"/>
      <c r="P237" s="43"/>
      <c r="Q237" s="39"/>
    </row>
    <row r="238" spans="2:17" x14ac:dyDescent="0.25">
      <c r="B238" s="39" t="s">
        <v>395</v>
      </c>
      <c r="C238" s="43" t="s">
        <v>626</v>
      </c>
      <c r="D238" s="79" t="s">
        <v>200</v>
      </c>
      <c r="E238" s="13" t="s">
        <v>200</v>
      </c>
      <c r="F238" s="13">
        <v>29439.599999999999</v>
      </c>
      <c r="G238" s="13">
        <v>21367.26168</v>
      </c>
      <c r="H238" s="41" t="s">
        <v>38</v>
      </c>
      <c r="I238" s="40" t="s">
        <v>244</v>
      </c>
      <c r="J238" s="41" t="s">
        <v>40</v>
      </c>
      <c r="K238" s="41" t="s">
        <v>41</v>
      </c>
      <c r="L238" s="41" t="s">
        <v>42</v>
      </c>
      <c r="M238" s="43" t="s">
        <v>130</v>
      </c>
      <c r="N238" s="39">
        <v>43081</v>
      </c>
      <c r="O238" s="43"/>
      <c r="P238" s="43"/>
      <c r="Q238" s="39"/>
    </row>
    <row r="239" spans="2:17" ht="23" x14ac:dyDescent="0.25">
      <c r="B239" s="39" t="s">
        <v>395</v>
      </c>
      <c r="C239" s="43" t="s">
        <v>396</v>
      </c>
      <c r="D239" s="79" t="s">
        <v>200</v>
      </c>
      <c r="E239" s="13" t="s">
        <v>200</v>
      </c>
      <c r="F239" s="13">
        <v>22499.8</v>
      </c>
      <c r="G239" s="13">
        <v>16330.35484</v>
      </c>
      <c r="H239" s="41" t="s">
        <v>38</v>
      </c>
      <c r="I239" s="40" t="s">
        <v>244</v>
      </c>
      <c r="J239" s="41" t="s">
        <v>40</v>
      </c>
      <c r="K239" s="41" t="s">
        <v>41</v>
      </c>
      <c r="L239" s="41" t="s">
        <v>42</v>
      </c>
      <c r="M239" s="43" t="s">
        <v>397</v>
      </c>
      <c r="N239" s="39">
        <v>24010</v>
      </c>
      <c r="O239" s="43"/>
      <c r="P239" s="43"/>
      <c r="Q239" s="39"/>
    </row>
    <row r="240" spans="2:17" ht="23" x14ac:dyDescent="0.25">
      <c r="B240" s="39" t="s">
        <v>395</v>
      </c>
      <c r="C240" s="43" t="s">
        <v>396</v>
      </c>
      <c r="D240" s="79" t="s">
        <v>200</v>
      </c>
      <c r="E240" s="13" t="s">
        <v>200</v>
      </c>
      <c r="F240" s="13">
        <v>533549.74</v>
      </c>
      <c r="G240" s="13">
        <v>387250.40129199997</v>
      </c>
      <c r="H240" s="41" t="s">
        <v>38</v>
      </c>
      <c r="I240" s="40" t="s">
        <v>244</v>
      </c>
      <c r="J240" s="41" t="s">
        <v>40</v>
      </c>
      <c r="K240" s="41" t="s">
        <v>41</v>
      </c>
      <c r="L240" s="41" t="s">
        <v>159</v>
      </c>
      <c r="M240" s="43" t="s">
        <v>397</v>
      </c>
      <c r="N240" s="39">
        <v>24010</v>
      </c>
      <c r="O240" s="43"/>
      <c r="P240" s="43"/>
      <c r="Q240" s="39"/>
    </row>
    <row r="241" spans="2:17" x14ac:dyDescent="0.25">
      <c r="B241" s="39" t="s">
        <v>395</v>
      </c>
      <c r="C241" s="43" t="s">
        <v>398</v>
      </c>
      <c r="D241" s="79" t="s">
        <v>200</v>
      </c>
      <c r="E241" s="13" t="s">
        <v>200</v>
      </c>
      <c r="F241" s="13">
        <v>1000000</v>
      </c>
      <c r="G241" s="13">
        <v>725800</v>
      </c>
      <c r="H241" s="41" t="s">
        <v>38</v>
      </c>
      <c r="I241" s="40" t="s">
        <v>244</v>
      </c>
      <c r="J241" s="41" t="s">
        <v>40</v>
      </c>
      <c r="K241" s="41" t="s">
        <v>41</v>
      </c>
      <c r="L241" s="41" t="s">
        <v>42</v>
      </c>
      <c r="M241" s="43" t="s">
        <v>57</v>
      </c>
      <c r="N241" s="39">
        <v>74020</v>
      </c>
      <c r="O241" s="43" t="s">
        <v>68</v>
      </c>
      <c r="P241" s="43" t="s">
        <v>68</v>
      </c>
      <c r="Q241" s="39"/>
    </row>
    <row r="242" spans="2:17" ht="34.5" x14ac:dyDescent="0.25">
      <c r="B242" s="39" t="s">
        <v>399</v>
      </c>
      <c r="C242" s="43" t="s">
        <v>627</v>
      </c>
      <c r="D242" s="79" t="s">
        <v>200</v>
      </c>
      <c r="E242" s="13" t="s">
        <v>200</v>
      </c>
      <c r="F242" s="13">
        <v>1200000.6279092398</v>
      </c>
      <c r="G242" s="13">
        <v>870960.45573652629</v>
      </c>
      <c r="H242" s="41" t="s">
        <v>38</v>
      </c>
      <c r="I242" s="40" t="s">
        <v>244</v>
      </c>
      <c r="J242" s="41" t="s">
        <v>40</v>
      </c>
      <c r="K242" s="41" t="s">
        <v>41</v>
      </c>
      <c r="L242" s="41" t="s">
        <v>42</v>
      </c>
      <c r="M242" s="43" t="s">
        <v>628</v>
      </c>
      <c r="N242" s="86" t="s">
        <v>629</v>
      </c>
      <c r="O242" s="43"/>
      <c r="P242" s="43"/>
      <c r="Q242" s="39"/>
    </row>
    <row r="243" spans="2:17" x14ac:dyDescent="0.25">
      <c r="B243" s="39" t="s">
        <v>399</v>
      </c>
      <c r="C243" s="43" t="s">
        <v>400</v>
      </c>
      <c r="D243" s="79" t="s">
        <v>200</v>
      </c>
      <c r="E243" s="13" t="s">
        <v>200</v>
      </c>
      <c r="F243" s="13">
        <v>1016717.8174839399</v>
      </c>
      <c r="G243" s="13">
        <v>737933.7919298436</v>
      </c>
      <c r="H243" s="41" t="s">
        <v>38</v>
      </c>
      <c r="I243" s="40" t="s">
        <v>244</v>
      </c>
      <c r="J243" s="41" t="s">
        <v>40</v>
      </c>
      <c r="K243" s="41" t="s">
        <v>41</v>
      </c>
      <c r="L243" s="41" t="s">
        <v>42</v>
      </c>
      <c r="M243" s="43" t="s">
        <v>43</v>
      </c>
      <c r="N243" s="94">
        <v>31120</v>
      </c>
      <c r="O243" s="43"/>
      <c r="P243" s="43"/>
      <c r="Q243" s="39"/>
    </row>
    <row r="244" spans="2:17" ht="23" x14ac:dyDescent="0.25">
      <c r="B244" s="39" t="s">
        <v>399</v>
      </c>
      <c r="C244" s="43" t="s">
        <v>630</v>
      </c>
      <c r="D244" s="79" t="s">
        <v>200</v>
      </c>
      <c r="E244" s="13" t="s">
        <v>200</v>
      </c>
      <c r="F244" s="13">
        <v>800000</v>
      </c>
      <c r="G244" s="13">
        <v>580640</v>
      </c>
      <c r="H244" s="41" t="s">
        <v>38</v>
      </c>
      <c r="I244" s="40" t="s">
        <v>244</v>
      </c>
      <c r="J244" s="41" t="s">
        <v>40</v>
      </c>
      <c r="K244" s="41" t="s">
        <v>41</v>
      </c>
      <c r="L244" s="41" t="s">
        <v>42</v>
      </c>
      <c r="M244" s="43" t="s">
        <v>94</v>
      </c>
      <c r="N244" s="39">
        <v>16050</v>
      </c>
      <c r="O244" s="43"/>
      <c r="P244" s="43"/>
      <c r="Q244" s="39"/>
    </row>
    <row r="245" spans="2:17" x14ac:dyDescent="0.25">
      <c r="B245" s="39" t="s">
        <v>399</v>
      </c>
      <c r="C245" s="43" t="s">
        <v>631</v>
      </c>
      <c r="D245" s="79" t="s">
        <v>200</v>
      </c>
      <c r="E245" s="13" t="s">
        <v>200</v>
      </c>
      <c r="F245" s="13">
        <v>106935.81900000003</v>
      </c>
      <c r="G245" s="13">
        <v>77614.017430200023</v>
      </c>
      <c r="H245" s="41" t="s">
        <v>38</v>
      </c>
      <c r="I245" s="40" t="s">
        <v>244</v>
      </c>
      <c r="J245" s="41" t="s">
        <v>40</v>
      </c>
      <c r="K245" s="41" t="s">
        <v>41</v>
      </c>
      <c r="L245" s="41" t="s">
        <v>42</v>
      </c>
      <c r="M245" s="43" t="s">
        <v>632</v>
      </c>
      <c r="N245" s="39">
        <v>22020</v>
      </c>
      <c r="O245" s="43"/>
      <c r="P245" s="43"/>
      <c r="Q245" s="39"/>
    </row>
    <row r="246" spans="2:17" x14ac:dyDescent="0.25">
      <c r="B246" s="39" t="s">
        <v>399</v>
      </c>
      <c r="C246" s="43" t="s">
        <v>528</v>
      </c>
      <c r="D246" s="79" t="s">
        <v>200</v>
      </c>
      <c r="E246" s="13" t="s">
        <v>200</v>
      </c>
      <c r="F246" s="13">
        <v>102451.99168963081</v>
      </c>
      <c r="G246" s="13">
        <v>74359.655568334041</v>
      </c>
      <c r="H246" s="41" t="s">
        <v>38</v>
      </c>
      <c r="I246" s="40" t="s">
        <v>244</v>
      </c>
      <c r="J246" s="41" t="s">
        <v>40</v>
      </c>
      <c r="K246" s="41" t="s">
        <v>41</v>
      </c>
      <c r="L246" s="41" t="s">
        <v>42</v>
      </c>
      <c r="M246" s="43" t="s">
        <v>272</v>
      </c>
      <c r="N246" s="39">
        <v>12250</v>
      </c>
      <c r="O246" s="43"/>
      <c r="P246" s="43"/>
      <c r="Q246" s="39"/>
    </row>
    <row r="247" spans="2:17" x14ac:dyDescent="0.25">
      <c r="B247" s="39" t="s">
        <v>399</v>
      </c>
      <c r="C247" s="43" t="s">
        <v>633</v>
      </c>
      <c r="D247" s="79" t="s">
        <v>200</v>
      </c>
      <c r="E247" s="13" t="s">
        <v>200</v>
      </c>
      <c r="F247" s="13">
        <v>640234.7154000001</v>
      </c>
      <c r="G247" s="13">
        <v>464682.35643732006</v>
      </c>
      <c r="H247" s="41" t="s">
        <v>38</v>
      </c>
      <c r="I247" s="40" t="s">
        <v>244</v>
      </c>
      <c r="J247" s="41" t="s">
        <v>40</v>
      </c>
      <c r="K247" s="41" t="s">
        <v>41</v>
      </c>
      <c r="L247" s="41" t="s">
        <v>130</v>
      </c>
      <c r="M247" s="43" t="s">
        <v>262</v>
      </c>
      <c r="N247" s="39">
        <v>21020</v>
      </c>
      <c r="O247" s="43"/>
      <c r="P247" s="43"/>
      <c r="Q247" s="39"/>
    </row>
    <row r="248" spans="2:17" x14ac:dyDescent="0.25">
      <c r="B248" s="39" t="s">
        <v>399</v>
      </c>
      <c r="C248" s="43" t="s">
        <v>401</v>
      </c>
      <c r="D248" s="79" t="s">
        <v>200</v>
      </c>
      <c r="E248" s="13" t="s">
        <v>200</v>
      </c>
      <c r="F248" s="13">
        <v>67658.344453999991</v>
      </c>
      <c r="G248" s="13">
        <v>49106.426404713195</v>
      </c>
      <c r="H248" s="41" t="s">
        <v>38</v>
      </c>
      <c r="I248" s="40" t="s">
        <v>244</v>
      </c>
      <c r="J248" s="41" t="s">
        <v>40</v>
      </c>
      <c r="K248" s="41" t="s">
        <v>41</v>
      </c>
      <c r="L248" s="41" t="s">
        <v>130</v>
      </c>
      <c r="M248" s="43" t="s">
        <v>74</v>
      </c>
      <c r="N248" s="39">
        <v>25010</v>
      </c>
      <c r="O248" s="43"/>
      <c r="P248" s="43"/>
      <c r="Q248" s="39"/>
    </row>
    <row r="249" spans="2:17" x14ac:dyDescent="0.25">
      <c r="B249" s="39" t="s">
        <v>402</v>
      </c>
      <c r="C249" s="43" t="s">
        <v>634</v>
      </c>
      <c r="D249" s="79" t="s">
        <v>200</v>
      </c>
      <c r="E249" s="13" t="s">
        <v>200</v>
      </c>
      <c r="F249" s="13">
        <v>1127470</v>
      </c>
      <c r="G249" s="13">
        <v>818317.72600000002</v>
      </c>
      <c r="H249" s="41" t="s">
        <v>38</v>
      </c>
      <c r="I249" s="40" t="s">
        <v>244</v>
      </c>
      <c r="J249" s="41" t="s">
        <v>40</v>
      </c>
      <c r="K249" s="41" t="s">
        <v>41</v>
      </c>
      <c r="L249" s="41" t="s">
        <v>42</v>
      </c>
      <c r="M249" s="43" t="s">
        <v>130</v>
      </c>
      <c r="N249" s="39">
        <v>43010</v>
      </c>
      <c r="O249" s="43"/>
      <c r="P249" s="43"/>
      <c r="Q249" s="39"/>
    </row>
    <row r="250" spans="2:17" x14ac:dyDescent="0.25">
      <c r="B250" s="39" t="s">
        <v>402</v>
      </c>
      <c r="C250" s="43" t="s">
        <v>404</v>
      </c>
      <c r="D250" s="79" t="s">
        <v>200</v>
      </c>
      <c r="E250" s="13" t="s">
        <v>200</v>
      </c>
      <c r="F250" s="13">
        <v>438700</v>
      </c>
      <c r="G250" s="13">
        <v>318408.46000000002</v>
      </c>
      <c r="H250" s="41" t="s">
        <v>38</v>
      </c>
      <c r="I250" s="40" t="s">
        <v>244</v>
      </c>
      <c r="J250" s="41" t="s">
        <v>40</v>
      </c>
      <c r="K250" s="41" t="s">
        <v>41</v>
      </c>
      <c r="L250" s="41" t="s">
        <v>42</v>
      </c>
      <c r="M250" s="43" t="s">
        <v>130</v>
      </c>
      <c r="N250" s="39">
        <v>43010</v>
      </c>
      <c r="O250" s="43"/>
      <c r="P250" s="43"/>
      <c r="Q250" s="39"/>
    </row>
    <row r="251" spans="2:17" x14ac:dyDescent="0.25">
      <c r="B251" s="39" t="s">
        <v>402</v>
      </c>
      <c r="C251" s="43" t="s">
        <v>403</v>
      </c>
      <c r="D251" s="79" t="s">
        <v>200</v>
      </c>
      <c r="E251" s="13" t="s">
        <v>200</v>
      </c>
      <c r="F251" s="13">
        <v>271450.5</v>
      </c>
      <c r="G251" s="13">
        <v>197018.77290000001</v>
      </c>
      <c r="H251" s="41" t="s">
        <v>38</v>
      </c>
      <c r="I251" s="40" t="s">
        <v>244</v>
      </c>
      <c r="J251" s="41" t="s">
        <v>40</v>
      </c>
      <c r="K251" s="41" t="s">
        <v>41</v>
      </c>
      <c r="L251" s="41" t="s">
        <v>42</v>
      </c>
      <c r="M251" s="43" t="s">
        <v>262</v>
      </c>
      <c r="N251" s="39">
        <v>21011</v>
      </c>
      <c r="O251" s="43"/>
      <c r="P251" s="43"/>
      <c r="Q251" s="39"/>
    </row>
    <row r="252" spans="2:17" x14ac:dyDescent="0.25">
      <c r="B252" s="39" t="s">
        <v>402</v>
      </c>
      <c r="C252" s="43" t="s">
        <v>635</v>
      </c>
      <c r="D252" s="18">
        <v>43116349</v>
      </c>
      <c r="E252" s="18">
        <v>31293846.104200002</v>
      </c>
      <c r="F252" s="18" t="s">
        <v>200</v>
      </c>
      <c r="G252" s="18" t="s">
        <v>200</v>
      </c>
      <c r="H252" s="41" t="s">
        <v>38</v>
      </c>
      <c r="I252" s="40" t="s">
        <v>244</v>
      </c>
      <c r="J252" s="41" t="s">
        <v>198</v>
      </c>
      <c r="K252" s="41" t="s">
        <v>636</v>
      </c>
      <c r="L252" s="41" t="s">
        <v>557</v>
      </c>
      <c r="M252" s="43" t="s">
        <v>81</v>
      </c>
      <c r="N252" s="39">
        <v>23110</v>
      </c>
      <c r="O252" s="43"/>
      <c r="P252" s="43"/>
      <c r="Q252" s="39"/>
    </row>
    <row r="253" spans="2:17" x14ac:dyDescent="0.25">
      <c r="B253" s="39" t="s">
        <v>402</v>
      </c>
      <c r="C253" s="43" t="s">
        <v>634</v>
      </c>
      <c r="D253" s="13" t="s">
        <v>200</v>
      </c>
      <c r="E253" s="13" t="s">
        <v>200</v>
      </c>
      <c r="F253" s="13">
        <v>89900</v>
      </c>
      <c r="G253" s="13">
        <v>65249.42</v>
      </c>
      <c r="H253" s="41" t="s">
        <v>38</v>
      </c>
      <c r="I253" s="40" t="s">
        <v>244</v>
      </c>
      <c r="J253" s="41" t="s">
        <v>40</v>
      </c>
      <c r="K253" s="41" t="s">
        <v>41</v>
      </c>
      <c r="L253" s="41" t="s">
        <v>130</v>
      </c>
      <c r="M253" s="43" t="s">
        <v>130</v>
      </c>
      <c r="N253" s="39">
        <v>43010</v>
      </c>
      <c r="O253" s="43"/>
      <c r="P253" s="43"/>
      <c r="Q253" s="39"/>
    </row>
    <row r="254" spans="2:17" x14ac:dyDescent="0.25">
      <c r="B254" s="39" t="s">
        <v>405</v>
      </c>
      <c r="C254" s="43" t="s">
        <v>637</v>
      </c>
      <c r="D254" s="13" t="s">
        <v>200</v>
      </c>
      <c r="E254" s="13" t="s">
        <v>200</v>
      </c>
      <c r="F254" s="13">
        <v>1200000</v>
      </c>
      <c r="G254" s="13">
        <v>870960</v>
      </c>
      <c r="H254" s="41" t="s">
        <v>38</v>
      </c>
      <c r="I254" s="41" t="s">
        <v>39</v>
      </c>
      <c r="J254" s="41" t="s">
        <v>40</v>
      </c>
      <c r="K254" s="41" t="s">
        <v>41</v>
      </c>
      <c r="L254" s="41" t="s">
        <v>42</v>
      </c>
      <c r="M254" s="43" t="s">
        <v>43</v>
      </c>
      <c r="N254" s="42">
        <v>31110</v>
      </c>
      <c r="O254" s="43"/>
      <c r="P254" s="43"/>
      <c r="Q254" s="39"/>
    </row>
    <row r="255" spans="2:17" x14ac:dyDescent="0.25">
      <c r="B255" s="39" t="s">
        <v>405</v>
      </c>
      <c r="C255" s="43" t="s">
        <v>638</v>
      </c>
      <c r="D255" s="13" t="s">
        <v>200</v>
      </c>
      <c r="E255" s="13" t="s">
        <v>200</v>
      </c>
      <c r="F255" s="13">
        <v>374112.54790501448</v>
      </c>
      <c r="G255" s="13">
        <v>271530.88726945949</v>
      </c>
      <c r="H255" s="41" t="s">
        <v>38</v>
      </c>
      <c r="I255" s="41" t="s">
        <v>39</v>
      </c>
      <c r="J255" s="41" t="s">
        <v>40</v>
      </c>
      <c r="K255" s="41" t="s">
        <v>41</v>
      </c>
      <c r="L255" s="41" t="s">
        <v>42</v>
      </c>
      <c r="M255" s="43" t="s">
        <v>130</v>
      </c>
      <c r="N255" s="39">
        <v>43010</v>
      </c>
      <c r="O255" s="43"/>
      <c r="P255" s="43"/>
      <c r="Q255" s="39"/>
    </row>
    <row r="256" spans="2:17" ht="34.5" x14ac:dyDescent="0.25">
      <c r="B256" s="39" t="s">
        <v>405</v>
      </c>
      <c r="C256" s="43" t="s">
        <v>406</v>
      </c>
      <c r="D256" s="13" t="s">
        <v>200</v>
      </c>
      <c r="E256" s="13" t="s">
        <v>200</v>
      </c>
      <c r="F256" s="13">
        <v>300000</v>
      </c>
      <c r="G256" s="13">
        <v>217740</v>
      </c>
      <c r="H256" s="41" t="s">
        <v>38</v>
      </c>
      <c r="I256" s="41" t="s">
        <v>39</v>
      </c>
      <c r="J256" s="41" t="s">
        <v>40</v>
      </c>
      <c r="K256" s="41" t="s">
        <v>41</v>
      </c>
      <c r="L256" s="41" t="s">
        <v>42</v>
      </c>
      <c r="M256" s="43" t="s">
        <v>639</v>
      </c>
      <c r="N256" s="42" t="s">
        <v>640</v>
      </c>
      <c r="O256" s="43" t="s">
        <v>68</v>
      </c>
      <c r="P256" s="43" t="s">
        <v>68</v>
      </c>
      <c r="Q256" s="39"/>
    </row>
    <row r="257" spans="2:17" ht="23" x14ac:dyDescent="0.25">
      <c r="B257" s="39" t="s">
        <v>405</v>
      </c>
      <c r="C257" s="43" t="s">
        <v>641</v>
      </c>
      <c r="D257" s="13" t="s">
        <v>200</v>
      </c>
      <c r="E257" s="13" t="s">
        <v>200</v>
      </c>
      <c r="F257" s="13">
        <v>285585</v>
      </c>
      <c r="G257" s="13">
        <v>207277.59299999999</v>
      </c>
      <c r="H257" s="41" t="s">
        <v>38</v>
      </c>
      <c r="I257" s="41" t="s">
        <v>39</v>
      </c>
      <c r="J257" s="41" t="s">
        <v>40</v>
      </c>
      <c r="K257" s="41" t="s">
        <v>41</v>
      </c>
      <c r="L257" s="41" t="s">
        <v>42</v>
      </c>
      <c r="M257" s="43" t="s">
        <v>76</v>
      </c>
      <c r="N257" s="39">
        <v>41081</v>
      </c>
      <c r="O257" s="43" t="s">
        <v>68</v>
      </c>
      <c r="P257" s="43"/>
      <c r="Q257" s="39"/>
    </row>
    <row r="258" spans="2:17" ht="287.5" x14ac:dyDescent="0.25">
      <c r="B258" s="39" t="s">
        <v>405</v>
      </c>
      <c r="C258" s="43" t="s">
        <v>642</v>
      </c>
      <c r="D258" s="13" t="s">
        <v>200</v>
      </c>
      <c r="E258" s="13" t="s">
        <v>200</v>
      </c>
      <c r="F258" s="13">
        <v>54999.270770540505</v>
      </c>
      <c r="G258" s="13">
        <v>39918.470725258296</v>
      </c>
      <c r="H258" s="41" t="s">
        <v>38</v>
      </c>
      <c r="I258" s="41" t="s">
        <v>39</v>
      </c>
      <c r="J258" s="41" t="s">
        <v>40</v>
      </c>
      <c r="K258" s="41" t="s">
        <v>41</v>
      </c>
      <c r="L258" s="41" t="s">
        <v>42</v>
      </c>
      <c r="M258" s="43" t="s">
        <v>643</v>
      </c>
      <c r="N258" s="42" t="s">
        <v>644</v>
      </c>
      <c r="O258" s="43"/>
      <c r="P258" s="43"/>
      <c r="Q258" s="39"/>
    </row>
    <row r="259" spans="2:17" ht="23" x14ac:dyDescent="0.25">
      <c r="B259" s="39" t="s">
        <v>405</v>
      </c>
      <c r="C259" s="43" t="s">
        <v>641</v>
      </c>
      <c r="D259" s="13" t="s">
        <v>200</v>
      </c>
      <c r="E259" s="13" t="s">
        <v>200</v>
      </c>
      <c r="F259" s="13">
        <v>285585</v>
      </c>
      <c r="G259" s="13">
        <v>207277.59299999999</v>
      </c>
      <c r="H259" s="41" t="s">
        <v>38</v>
      </c>
      <c r="I259" s="41" t="s">
        <v>39</v>
      </c>
      <c r="J259" s="41" t="s">
        <v>40</v>
      </c>
      <c r="K259" s="41" t="s">
        <v>41</v>
      </c>
      <c r="L259" s="41" t="s">
        <v>159</v>
      </c>
      <c r="M259" s="43" t="s">
        <v>76</v>
      </c>
      <c r="N259" s="39">
        <v>41081</v>
      </c>
      <c r="O259" s="43" t="s">
        <v>68</v>
      </c>
      <c r="P259" s="43"/>
      <c r="Q259" s="39"/>
    </row>
    <row r="260" spans="2:17" ht="287.5" x14ac:dyDescent="0.25">
      <c r="B260" s="39" t="s">
        <v>405</v>
      </c>
      <c r="C260" s="43" t="s">
        <v>642</v>
      </c>
      <c r="D260" s="13" t="s">
        <v>200</v>
      </c>
      <c r="E260" s="13" t="s">
        <v>200</v>
      </c>
      <c r="F260" s="13">
        <v>143721.46</v>
      </c>
      <c r="G260" s="13">
        <v>104313.035668</v>
      </c>
      <c r="H260" s="41" t="s">
        <v>38</v>
      </c>
      <c r="I260" s="41" t="s">
        <v>39</v>
      </c>
      <c r="J260" s="41" t="s">
        <v>40</v>
      </c>
      <c r="K260" s="41" t="s">
        <v>41</v>
      </c>
      <c r="L260" s="41" t="s">
        <v>159</v>
      </c>
      <c r="M260" s="43" t="s">
        <v>643</v>
      </c>
      <c r="N260" s="42" t="s">
        <v>644</v>
      </c>
      <c r="O260" s="43"/>
      <c r="P260" s="43"/>
      <c r="Q260" s="39"/>
    </row>
    <row r="261" spans="2:17" ht="23" x14ac:dyDescent="0.25">
      <c r="B261" s="39" t="s">
        <v>405</v>
      </c>
      <c r="C261" s="43" t="s">
        <v>645</v>
      </c>
      <c r="D261" s="13" t="s">
        <v>200</v>
      </c>
      <c r="E261" s="13" t="s">
        <v>200</v>
      </c>
      <c r="F261" s="13">
        <v>1585461.87</v>
      </c>
      <c r="G261" s="13">
        <v>1150728.2252460001</v>
      </c>
      <c r="H261" s="41" t="s">
        <v>38</v>
      </c>
      <c r="I261" s="41" t="s">
        <v>39</v>
      </c>
      <c r="J261" s="41" t="s">
        <v>40</v>
      </c>
      <c r="K261" s="41" t="s">
        <v>41</v>
      </c>
      <c r="L261" s="41" t="s">
        <v>130</v>
      </c>
      <c r="M261" s="43" t="s">
        <v>76</v>
      </c>
      <c r="N261" s="39">
        <v>41010</v>
      </c>
      <c r="O261" s="43"/>
      <c r="P261" s="43"/>
      <c r="Q261" s="39"/>
    </row>
    <row r="262" spans="2:17" x14ac:dyDescent="0.25">
      <c r="B262" s="39" t="s">
        <v>405</v>
      </c>
      <c r="C262" s="43" t="s">
        <v>409</v>
      </c>
      <c r="D262" s="13" t="s">
        <v>200</v>
      </c>
      <c r="E262" s="13" t="s">
        <v>200</v>
      </c>
      <c r="F262" s="13">
        <v>10599.65</v>
      </c>
      <c r="G262" s="13">
        <v>7693.2259699999995</v>
      </c>
      <c r="H262" s="41" t="s">
        <v>38</v>
      </c>
      <c r="I262" s="41" t="s">
        <v>39</v>
      </c>
      <c r="J262" s="41" t="s">
        <v>40</v>
      </c>
      <c r="K262" s="41" t="s">
        <v>41</v>
      </c>
      <c r="L262" s="41" t="s">
        <v>130</v>
      </c>
      <c r="M262" s="43" t="s">
        <v>130</v>
      </c>
      <c r="N262" s="39">
        <v>43010</v>
      </c>
      <c r="O262" s="43"/>
      <c r="P262" s="43"/>
      <c r="Q262" s="39"/>
    </row>
    <row r="263" spans="2:17" ht="14.5" x14ac:dyDescent="0.35">
      <c r="B263" s="95"/>
      <c r="C263" s="96"/>
      <c r="D263" s="97"/>
      <c r="E263" s="32"/>
      <c r="F263" s="16"/>
      <c r="G263" s="7"/>
      <c r="H263" s="56"/>
      <c r="I263" s="57"/>
      <c r="J263" s="58"/>
      <c r="K263" s="58"/>
      <c r="L263" s="59"/>
      <c r="M263" s="58"/>
      <c r="N263" s="60"/>
      <c r="O263" s="58"/>
      <c r="P263" s="58"/>
    </row>
    <row r="264" spans="2:17" x14ac:dyDescent="0.25">
      <c r="B264" s="32" t="s">
        <v>411</v>
      </c>
      <c r="C264" s="96"/>
      <c r="D264" s="32"/>
      <c r="E264" s="32"/>
      <c r="F264" s="32"/>
      <c r="G264" s="32"/>
      <c r="H264" s="56"/>
      <c r="I264" s="57"/>
      <c r="J264" s="58"/>
      <c r="K264" s="58"/>
      <c r="L264" s="59"/>
      <c r="M264" s="58"/>
      <c r="N264" s="60"/>
      <c r="O264" s="58"/>
      <c r="P264" s="58"/>
    </row>
    <row r="265" spans="2:17" x14ac:dyDescent="0.25">
      <c r="B265" s="32" t="s">
        <v>412</v>
      </c>
      <c r="C265" s="96"/>
      <c r="D265" s="32"/>
      <c r="E265" s="32"/>
      <c r="F265" s="32"/>
      <c r="G265" s="32"/>
      <c r="H265" s="56"/>
      <c r="I265" s="57"/>
      <c r="J265" s="58"/>
      <c r="K265" s="58"/>
      <c r="L265" s="59"/>
      <c r="M265" s="58"/>
      <c r="N265" s="60"/>
      <c r="O265" s="58"/>
      <c r="P265" s="58"/>
    </row>
    <row r="266" spans="2:17" x14ac:dyDescent="0.25">
      <c r="B266" s="20" t="s">
        <v>413</v>
      </c>
    </row>
    <row r="267" spans="2:17" ht="14" x14ac:dyDescent="0.25">
      <c r="B267" s="61" t="s">
        <v>646</v>
      </c>
      <c r="C267" s="96"/>
      <c r="D267" s="32"/>
      <c r="E267" s="32"/>
      <c r="F267" s="32"/>
      <c r="G267" s="32"/>
      <c r="H267" s="56"/>
      <c r="I267" s="57"/>
      <c r="J267" s="58"/>
      <c r="K267" s="58"/>
      <c r="L267" s="59"/>
      <c r="M267" s="58"/>
      <c r="N267" s="60"/>
      <c r="O267" s="58"/>
      <c r="P267" s="58"/>
    </row>
    <row r="268" spans="2:17" ht="14" x14ac:dyDescent="0.25">
      <c r="B268" s="61" t="s">
        <v>415</v>
      </c>
      <c r="D268" s="62"/>
    </row>
    <row r="269" spans="2:17" ht="14" x14ac:dyDescent="0.25">
      <c r="B269" s="61" t="s">
        <v>416</v>
      </c>
      <c r="C269" s="63"/>
      <c r="D269" s="64"/>
      <c r="E269" s="64"/>
      <c r="F269" s="64"/>
      <c r="G269" s="65"/>
    </row>
    <row r="270" spans="2:17" ht="14" x14ac:dyDescent="0.25">
      <c r="B270" s="61" t="s">
        <v>417</v>
      </c>
      <c r="C270" s="66"/>
    </row>
    <row r="271" spans="2:17" ht="14" x14ac:dyDescent="0.25">
      <c r="B271" s="61" t="s">
        <v>418</v>
      </c>
      <c r="C271" s="66"/>
    </row>
    <row r="272" spans="2:17" ht="14" x14ac:dyDescent="0.25">
      <c r="B272" s="61" t="s">
        <v>419</v>
      </c>
      <c r="C272" s="66"/>
    </row>
    <row r="273" spans="2:16" ht="14" x14ac:dyDescent="0.25">
      <c r="B273" s="61" t="s">
        <v>420</v>
      </c>
      <c r="C273" s="66"/>
    </row>
    <row r="274" spans="2:16" ht="14" x14ac:dyDescent="0.25">
      <c r="B274" s="61" t="s">
        <v>421</v>
      </c>
      <c r="C274" s="66"/>
    </row>
    <row r="275" spans="2:16" ht="14" x14ac:dyDescent="0.25">
      <c r="B275" s="61" t="s">
        <v>647</v>
      </c>
      <c r="C275" s="98"/>
      <c r="D275" s="61"/>
      <c r="E275" s="61"/>
      <c r="F275" s="61"/>
      <c r="G275" s="61"/>
      <c r="H275" s="61"/>
      <c r="I275" s="61"/>
      <c r="J275" s="61"/>
      <c r="K275" s="61"/>
      <c r="L275" s="61"/>
      <c r="M275" s="61"/>
      <c r="N275" s="61"/>
      <c r="O275" s="61"/>
      <c r="P275" s="61"/>
    </row>
    <row r="276" spans="2:16" ht="14" x14ac:dyDescent="0.25">
      <c r="B276" s="61" t="s">
        <v>423</v>
      </c>
      <c r="C276" s="66"/>
    </row>
    <row r="277" spans="2:16" ht="14" x14ac:dyDescent="0.25">
      <c r="B277" s="61" t="s">
        <v>648</v>
      </c>
      <c r="C277" s="66"/>
    </row>
    <row r="278" spans="2:16" x14ac:dyDescent="0.25">
      <c r="B278" s="22"/>
      <c r="C278" s="66"/>
    </row>
    <row r="279" spans="2:16" x14ac:dyDescent="0.25">
      <c r="B279" s="67" t="s">
        <v>425</v>
      </c>
    </row>
    <row r="280" spans="2:16" ht="14" x14ac:dyDescent="0.25">
      <c r="B280" s="68" t="s">
        <v>861</v>
      </c>
    </row>
    <row r="281" spans="2:16" ht="14" x14ac:dyDescent="0.25">
      <c r="B281" s="68" t="s">
        <v>649</v>
      </c>
    </row>
    <row r="282" spans="2:16" ht="14" x14ac:dyDescent="0.25">
      <c r="B282" s="68" t="s">
        <v>650</v>
      </c>
    </row>
    <row r="283" spans="2:16" ht="14" x14ac:dyDescent="0.25">
      <c r="B283" s="68" t="s">
        <v>651</v>
      </c>
    </row>
    <row r="284" spans="2:16" ht="14" x14ac:dyDescent="0.25">
      <c r="B284" s="68" t="s">
        <v>863</v>
      </c>
    </row>
    <row r="285" spans="2:16" x14ac:dyDescent="0.25">
      <c r="B285" s="68"/>
    </row>
    <row r="286" spans="2:16" x14ac:dyDescent="0.25">
      <c r="B286" s="68"/>
    </row>
    <row r="287" spans="2:16" x14ac:dyDescent="0.25">
      <c r="B287" s="68"/>
    </row>
    <row r="288" spans="2:16" ht="14.5" x14ac:dyDescent="0.35">
      <c r="C288" s="99"/>
      <c r="D288" s="73"/>
      <c r="E288" s="73"/>
      <c r="F288" s="73"/>
      <c r="G288" s="73"/>
      <c r="H288" s="73"/>
      <c r="I288" s="73"/>
      <c r="J288" s="73"/>
      <c r="K288" s="73"/>
      <c r="L288" s="73"/>
      <c r="M288" s="73"/>
    </row>
    <row r="289" spans="2:13" ht="14.5" x14ac:dyDescent="0.35">
      <c r="B289" s="100"/>
      <c r="C289" s="72"/>
      <c r="D289" s="73"/>
      <c r="E289" s="73"/>
      <c r="F289" s="73"/>
      <c r="G289" s="73"/>
      <c r="H289" s="73"/>
      <c r="I289" s="73"/>
      <c r="J289" s="73"/>
      <c r="K289" s="73"/>
      <c r="L289" s="73"/>
      <c r="M289" s="73"/>
    </row>
    <row r="290" spans="2:13" ht="14.5" x14ac:dyDescent="0.35">
      <c r="B290" s="74"/>
      <c r="C290" s="75"/>
      <c r="D290" s="73"/>
      <c r="E290" s="73"/>
      <c r="F290" s="73"/>
      <c r="G290" s="73"/>
      <c r="H290" s="73"/>
      <c r="I290" s="73"/>
      <c r="J290" s="73"/>
      <c r="K290" s="73"/>
      <c r="L290" s="73"/>
      <c r="M290" s="73"/>
    </row>
    <row r="298" spans="2:13" ht="14.5" x14ac:dyDescent="0.35">
      <c r="D298" s="101"/>
    </row>
    <row r="299" spans="2:13" x14ac:dyDescent="0.25">
      <c r="D299" s="102"/>
    </row>
    <row r="300" spans="2:13" x14ac:dyDescent="0.25">
      <c r="D300" s="102"/>
    </row>
    <row r="301" spans="2:13" x14ac:dyDescent="0.25">
      <c r="D301" s="102"/>
    </row>
    <row r="302" spans="2:13" x14ac:dyDescent="0.25">
      <c r="D302" s="102"/>
    </row>
    <row r="303" spans="2:13" x14ac:dyDescent="0.25">
      <c r="D303" s="102"/>
    </row>
    <row r="304" spans="2:13" x14ac:dyDescent="0.25">
      <c r="D304" s="102"/>
    </row>
    <row r="305" spans="4:4" x14ac:dyDescent="0.25">
      <c r="D305" s="102"/>
    </row>
    <row r="306" spans="4:4" x14ac:dyDescent="0.25">
      <c r="D306" s="102"/>
    </row>
    <row r="307" spans="4:4" x14ac:dyDescent="0.25">
      <c r="D307" s="102"/>
    </row>
    <row r="308" spans="4:4" x14ac:dyDescent="0.25">
      <c r="D308" s="102"/>
    </row>
    <row r="309" spans="4:4" x14ac:dyDescent="0.25">
      <c r="D309" s="102"/>
    </row>
    <row r="310" spans="4:4" x14ac:dyDescent="0.25">
      <c r="D310" s="102"/>
    </row>
    <row r="311" spans="4:4" x14ac:dyDescent="0.25">
      <c r="D311" s="102"/>
    </row>
  </sheetData>
  <hyperlinks>
    <hyperlink ref="B5" location="'Index sheet'!A1" display="Back to index" xr:uid="{00000000-0004-0000-0100-000000000000}"/>
  </hyperlinks>
  <pageMargins left="0.25" right="0.25" top="0.75" bottom="0.75" header="0.3" footer="0.3"/>
  <pageSetup paperSize="8" scale="69" fitToHeight="0" orientation="landscape" r:id="rId1"/>
  <ignoredErrors>
    <ignoredError sqref="B264:P279 B291:P297 N288:P288 A1:A23 Q1:Q6 B1:P6 N289:P290 B312:P315 B298:C298 E298:K298 B299:C299 E299:P299 M298:P298 B300:C300 E300:P300 B301:C301 E301:P301 B302:C302 E302:P302 B303:C303 E303:P303 B304:C304 E304:P304 B305:C305 E305:P305 B306:C306 E306:P306 B307:C307 E307:P307 B308:C308 E308:P308 B309:C309 E309:P309 B310:C310 E310:P310 B311:C311 E311:P311 Q11:Q23 F280:P280 C281:P281 B8:P9 E7:G7 Q8:Q9 A24:A31 Q24:Q31 A32:A43 Q32:Q43 A44:A51 Q44:Q51 A52:A64 Q52:Q6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69"/>
  <sheetViews>
    <sheetView showGridLines="0" zoomScaleNormal="100" workbookViewId="0">
      <selection activeCell="G6" sqref="A1:XFD1048576"/>
    </sheetView>
  </sheetViews>
  <sheetFormatPr defaultColWidth="9.1796875" defaultRowHeight="12" customHeight="1" x14ac:dyDescent="0.25"/>
  <cols>
    <col min="1" max="1" width="2.26953125" style="20" customWidth="1"/>
    <col min="2" max="2" width="43.54296875" style="20" customWidth="1"/>
    <col min="3" max="6" width="10.7265625" style="20" bestFit="1" customWidth="1"/>
    <col min="7" max="8" width="9.81640625" style="20" bestFit="1" customWidth="1"/>
    <col min="9" max="9" width="13.81640625" style="20" bestFit="1" customWidth="1"/>
    <col min="10" max="10" width="9.81640625" style="20" bestFit="1" customWidth="1"/>
    <col min="11" max="14" width="7.7265625" style="20" customWidth="1"/>
    <col min="15" max="15" width="11" style="20" bestFit="1" customWidth="1"/>
    <col min="16" max="16" width="16.453125" style="20" bestFit="1" customWidth="1"/>
    <col min="17" max="20" width="9.1796875" style="20" customWidth="1"/>
    <col min="21" max="21" width="15.54296875" style="20" customWidth="1"/>
    <col min="22" max="22" width="13.26953125" style="20" customWidth="1"/>
    <col min="23" max="23" width="9.1796875" style="20" customWidth="1"/>
    <col min="24" max="25" width="16.81640625" style="20" customWidth="1"/>
    <col min="26" max="26" width="16.1796875" style="20" customWidth="1"/>
    <col min="27" max="27" width="9.1796875" style="20" customWidth="1"/>
    <col min="28" max="16384" width="9.1796875" style="20"/>
  </cols>
  <sheetData>
    <row r="1" spans="1:26" ht="16" customHeight="1" x14ac:dyDescent="0.3">
      <c r="B1" s="19" t="s">
        <v>652</v>
      </c>
    </row>
    <row r="2" spans="1:26" ht="16" customHeight="1" x14ac:dyDescent="0.3">
      <c r="B2" s="21" t="s">
        <v>15</v>
      </c>
      <c r="J2" s="20" t="s">
        <v>16</v>
      </c>
      <c r="K2" s="20" t="s">
        <v>653</v>
      </c>
    </row>
    <row r="3" spans="1:26" ht="16" customHeight="1" x14ac:dyDescent="0.25">
      <c r="B3" s="23" t="s">
        <v>18</v>
      </c>
      <c r="C3" s="24">
        <v>0.74680000000000002</v>
      </c>
    </row>
    <row r="4" spans="1:26" ht="16" customHeight="1" x14ac:dyDescent="0.25">
      <c r="B4" s="23"/>
      <c r="C4" s="23"/>
    </row>
    <row r="5" spans="1:26" ht="11.5" x14ac:dyDescent="0.25">
      <c r="B5" s="25" t="s">
        <v>19</v>
      </c>
    </row>
    <row r="6" spans="1:26" ht="11.5" x14ac:dyDescent="0.25">
      <c r="B6" s="22"/>
    </row>
    <row r="7" spans="1:26" s="32" customFormat="1" ht="34.5" customHeight="1" x14ac:dyDescent="0.25">
      <c r="B7" s="37" t="s">
        <v>654</v>
      </c>
      <c r="C7" s="103" t="s">
        <v>655</v>
      </c>
      <c r="D7" s="103"/>
      <c r="E7" s="103"/>
      <c r="F7" s="103"/>
      <c r="G7" s="103"/>
      <c r="H7" s="103"/>
      <c r="I7" s="103"/>
      <c r="J7" s="103"/>
      <c r="K7" s="103"/>
      <c r="L7" s="103"/>
      <c r="M7" s="103"/>
      <c r="N7" s="103"/>
      <c r="O7" s="27" t="s">
        <v>656</v>
      </c>
      <c r="P7" s="27" t="s">
        <v>657</v>
      </c>
      <c r="Q7" s="27" t="s">
        <v>23</v>
      </c>
      <c r="R7" s="27" t="s">
        <v>24</v>
      </c>
      <c r="S7" s="27" t="s">
        <v>25</v>
      </c>
      <c r="T7" s="27" t="s">
        <v>658</v>
      </c>
      <c r="U7" s="27" t="s">
        <v>27</v>
      </c>
      <c r="V7" s="27" t="s">
        <v>659</v>
      </c>
      <c r="W7" s="27" t="s">
        <v>660</v>
      </c>
      <c r="X7" s="104" t="s">
        <v>661</v>
      </c>
      <c r="Y7" s="104" t="s">
        <v>662</v>
      </c>
      <c r="Z7" s="27" t="s">
        <v>663</v>
      </c>
    </row>
    <row r="8" spans="1:26" s="32" customFormat="1" ht="18" customHeight="1" x14ac:dyDescent="0.25">
      <c r="B8" s="105"/>
      <c r="C8" s="103" t="s">
        <v>664</v>
      </c>
      <c r="D8" s="103"/>
      <c r="E8" s="103"/>
      <c r="F8" s="103"/>
      <c r="G8" s="103"/>
      <c r="H8" s="103"/>
      <c r="I8" s="103"/>
      <c r="J8" s="103"/>
      <c r="K8" s="103" t="s">
        <v>665</v>
      </c>
      <c r="L8" s="103"/>
      <c r="M8" s="103"/>
      <c r="N8" s="103"/>
      <c r="O8" s="33"/>
      <c r="P8" s="33"/>
      <c r="Q8" s="33"/>
      <c r="R8" s="33"/>
      <c r="S8" s="33"/>
      <c r="T8" s="33"/>
      <c r="U8" s="33"/>
      <c r="V8" s="33"/>
      <c r="W8" s="33"/>
      <c r="X8" s="106"/>
      <c r="Y8" s="106"/>
      <c r="Z8" s="33"/>
    </row>
    <row r="9" spans="1:26" s="32" customFormat="1" ht="29.25" customHeight="1" x14ac:dyDescent="0.25">
      <c r="B9" s="105"/>
      <c r="C9" s="103" t="s">
        <v>666</v>
      </c>
      <c r="D9" s="103"/>
      <c r="E9" s="103"/>
      <c r="F9" s="103"/>
      <c r="G9" s="103" t="s">
        <v>667</v>
      </c>
      <c r="H9" s="103"/>
      <c r="I9" s="103"/>
      <c r="J9" s="103"/>
      <c r="K9" s="103" t="s">
        <v>667</v>
      </c>
      <c r="L9" s="103"/>
      <c r="M9" s="103"/>
      <c r="N9" s="103"/>
      <c r="O9" s="33"/>
      <c r="P9" s="33"/>
      <c r="Q9" s="33"/>
      <c r="R9" s="33"/>
      <c r="S9" s="33"/>
      <c r="T9" s="33"/>
      <c r="U9" s="33"/>
      <c r="V9" s="33"/>
      <c r="W9" s="33"/>
      <c r="X9" s="33"/>
      <c r="Y9" s="36"/>
      <c r="Z9" s="33"/>
    </row>
    <row r="10" spans="1:26" s="32" customFormat="1" ht="23.5" customHeight="1" x14ac:dyDescent="0.25">
      <c r="B10" s="105"/>
      <c r="C10" s="107" t="s">
        <v>33</v>
      </c>
      <c r="D10" s="107"/>
      <c r="E10" s="107" t="s">
        <v>34</v>
      </c>
      <c r="F10" s="107"/>
      <c r="G10" s="107" t="s">
        <v>33</v>
      </c>
      <c r="H10" s="107"/>
      <c r="I10" s="107" t="s">
        <v>34</v>
      </c>
      <c r="J10" s="107"/>
      <c r="K10" s="107" t="s">
        <v>33</v>
      </c>
      <c r="L10" s="107"/>
      <c r="M10" s="107" t="s">
        <v>34</v>
      </c>
      <c r="N10" s="107"/>
      <c r="O10" s="33"/>
      <c r="P10" s="33"/>
      <c r="Q10" s="33"/>
      <c r="R10" s="33"/>
      <c r="S10" s="33"/>
      <c r="T10" s="33"/>
      <c r="U10" s="33"/>
      <c r="V10" s="33"/>
      <c r="W10" s="33"/>
      <c r="X10" s="33"/>
      <c r="Y10" s="36"/>
      <c r="Z10" s="33"/>
    </row>
    <row r="11" spans="1:26" s="32" customFormat="1" ht="24" customHeight="1" x14ac:dyDescent="0.25">
      <c r="B11" s="105"/>
      <c r="C11" s="37" t="s">
        <v>35</v>
      </c>
      <c r="D11" s="38" t="s">
        <v>36</v>
      </c>
      <c r="E11" s="37" t="s">
        <v>35</v>
      </c>
      <c r="F11" s="38" t="s">
        <v>36</v>
      </c>
      <c r="G11" s="37" t="s">
        <v>35</v>
      </c>
      <c r="H11" s="38" t="s">
        <v>36</v>
      </c>
      <c r="I11" s="37" t="s">
        <v>35</v>
      </c>
      <c r="J11" s="38" t="s">
        <v>36</v>
      </c>
      <c r="K11" s="37" t="s">
        <v>35</v>
      </c>
      <c r="L11" s="38" t="s">
        <v>36</v>
      </c>
      <c r="M11" s="37" t="s">
        <v>35</v>
      </c>
      <c r="N11" s="38" t="s">
        <v>36</v>
      </c>
      <c r="O11" s="33"/>
      <c r="P11" s="33"/>
      <c r="Q11" s="33"/>
      <c r="R11" s="33"/>
      <c r="S11" s="33"/>
      <c r="T11" s="33"/>
      <c r="U11" s="33"/>
      <c r="V11" s="33"/>
      <c r="W11" s="33"/>
      <c r="X11" s="33"/>
      <c r="Y11" s="36"/>
      <c r="Z11" s="33"/>
    </row>
    <row r="12" spans="1:26" s="32" customFormat="1" ht="11.5" x14ac:dyDescent="0.25">
      <c r="A12" s="108"/>
      <c r="B12" s="109" t="s">
        <v>668</v>
      </c>
      <c r="C12" s="17"/>
      <c r="D12" s="17"/>
      <c r="E12" s="17"/>
      <c r="F12" s="17"/>
      <c r="G12" s="17"/>
      <c r="H12" s="17"/>
      <c r="I12" s="84"/>
      <c r="J12" s="84"/>
      <c r="K12" s="84"/>
      <c r="L12" s="84"/>
      <c r="M12" s="84"/>
      <c r="N12" s="84"/>
      <c r="O12" s="42"/>
      <c r="P12" s="42"/>
      <c r="Q12" s="42"/>
      <c r="R12" s="42"/>
      <c r="S12" s="42"/>
      <c r="T12" s="42"/>
      <c r="U12" s="42"/>
      <c r="V12" s="42"/>
      <c r="W12" s="40"/>
      <c r="X12" s="40"/>
      <c r="Y12" s="40"/>
      <c r="Z12" s="110"/>
    </row>
    <row r="13" spans="1:26" ht="11.5" x14ac:dyDescent="0.25">
      <c r="A13" s="108"/>
      <c r="B13" s="111" t="s">
        <v>669</v>
      </c>
      <c r="C13" s="112"/>
      <c r="D13" s="112"/>
      <c r="E13" s="112"/>
      <c r="F13" s="112"/>
      <c r="G13" s="112"/>
      <c r="H13" s="113"/>
      <c r="I13" s="114"/>
      <c r="J13" s="115"/>
      <c r="K13" s="115"/>
      <c r="L13" s="116"/>
      <c r="M13" s="115"/>
      <c r="N13" s="116"/>
      <c r="O13" s="115"/>
      <c r="P13" s="115"/>
      <c r="Q13" s="115"/>
      <c r="R13" s="117"/>
      <c r="S13" s="117"/>
      <c r="T13" s="117"/>
      <c r="U13" s="117"/>
      <c r="V13" s="117"/>
      <c r="W13" s="110"/>
      <c r="X13" s="110"/>
      <c r="Y13" s="118"/>
      <c r="Z13" s="110"/>
    </row>
    <row r="14" spans="1:26" ht="11.5" x14ac:dyDescent="0.25">
      <c r="B14" s="111" t="s">
        <v>670</v>
      </c>
      <c r="C14" s="112"/>
      <c r="D14" s="112"/>
      <c r="E14" s="112"/>
      <c r="F14" s="112"/>
      <c r="G14" s="112"/>
      <c r="H14" s="113"/>
      <c r="I14" s="114"/>
      <c r="J14" s="115"/>
      <c r="K14" s="115"/>
      <c r="L14" s="116"/>
      <c r="M14" s="115"/>
      <c r="N14" s="116"/>
      <c r="O14" s="115"/>
      <c r="P14" s="115"/>
      <c r="Q14" s="115"/>
      <c r="R14" s="117"/>
      <c r="S14" s="117"/>
      <c r="T14" s="117"/>
      <c r="U14" s="117"/>
      <c r="V14" s="117"/>
      <c r="W14" s="110"/>
      <c r="X14" s="110"/>
      <c r="Y14" s="118"/>
      <c r="Z14" s="110"/>
    </row>
    <row r="15" spans="1:26" ht="11.5" x14ac:dyDescent="0.25">
      <c r="B15" s="111" t="s">
        <v>671</v>
      </c>
      <c r="C15" s="17" t="s">
        <v>200</v>
      </c>
      <c r="D15" s="17" t="s">
        <v>200</v>
      </c>
      <c r="E15" s="17">
        <v>136516000</v>
      </c>
      <c r="F15" s="17">
        <v>101950148.8</v>
      </c>
      <c r="G15" s="17" t="s">
        <v>200</v>
      </c>
      <c r="H15" s="17" t="s">
        <v>200</v>
      </c>
      <c r="I15" s="17">
        <v>14820176.960000001</v>
      </c>
      <c r="J15" s="17">
        <v>11067708.153728001</v>
      </c>
      <c r="K15" s="17" t="s">
        <v>200</v>
      </c>
      <c r="L15" s="17" t="s">
        <v>200</v>
      </c>
      <c r="M15" s="17" t="s">
        <v>200</v>
      </c>
      <c r="N15" s="17" t="s">
        <v>200</v>
      </c>
      <c r="O15" s="119" t="s">
        <v>865</v>
      </c>
      <c r="P15" s="119" t="s">
        <v>672</v>
      </c>
      <c r="Q15" s="84" t="s">
        <v>38</v>
      </c>
      <c r="R15" s="84" t="s">
        <v>673</v>
      </c>
      <c r="S15" s="84" t="s">
        <v>40</v>
      </c>
      <c r="T15" s="84" t="s">
        <v>41</v>
      </c>
      <c r="U15" s="42" t="s">
        <v>130</v>
      </c>
      <c r="V15" s="84" t="s">
        <v>130</v>
      </c>
      <c r="W15" s="39"/>
      <c r="X15" s="39"/>
      <c r="Y15" s="120"/>
      <c r="Z15" s="110"/>
    </row>
    <row r="16" spans="1:26" ht="12.75" customHeight="1" x14ac:dyDescent="0.25">
      <c r="B16" s="111" t="s">
        <v>674</v>
      </c>
      <c r="C16" s="113"/>
      <c r="D16" s="113"/>
      <c r="E16" s="113"/>
      <c r="F16" s="113"/>
      <c r="G16" s="113"/>
      <c r="H16" s="113"/>
      <c r="I16" s="113"/>
      <c r="J16" s="113"/>
      <c r="K16" s="115"/>
      <c r="L16" s="116"/>
      <c r="M16" s="115"/>
      <c r="N16" s="116"/>
      <c r="O16" s="115"/>
      <c r="P16" s="115"/>
      <c r="Q16" s="115"/>
      <c r="R16" s="84"/>
      <c r="S16" s="84"/>
      <c r="T16" s="84"/>
      <c r="U16" s="84"/>
      <c r="V16" s="84"/>
      <c r="W16" s="110"/>
      <c r="X16" s="110"/>
      <c r="Y16" s="118"/>
      <c r="Z16" s="110"/>
    </row>
    <row r="17" spans="2:26" ht="12.75" customHeight="1" x14ac:dyDescent="0.25">
      <c r="B17" s="111" t="s">
        <v>675</v>
      </c>
      <c r="C17" s="17"/>
      <c r="D17" s="121"/>
      <c r="E17" s="17"/>
      <c r="F17" s="121"/>
      <c r="G17" s="17"/>
      <c r="H17" s="17"/>
      <c r="I17" s="17"/>
      <c r="J17" s="17"/>
      <c r="K17" s="84"/>
      <c r="L17" s="84"/>
      <c r="M17" s="84"/>
      <c r="N17" s="84"/>
      <c r="O17" s="84"/>
      <c r="P17" s="84"/>
      <c r="Q17" s="84"/>
      <c r="R17" s="84"/>
      <c r="S17" s="84"/>
      <c r="T17" s="84"/>
      <c r="U17" s="84"/>
      <c r="V17" s="84"/>
      <c r="W17" s="110"/>
      <c r="X17" s="110"/>
      <c r="Y17" s="118"/>
      <c r="Z17" s="110"/>
    </row>
    <row r="18" spans="2:26" ht="12" customHeight="1" x14ac:dyDescent="0.25">
      <c r="B18" s="111" t="s">
        <v>676</v>
      </c>
      <c r="C18" s="121"/>
      <c r="D18" s="17"/>
      <c r="E18" s="121"/>
      <c r="F18" s="17"/>
      <c r="G18" s="17"/>
      <c r="H18" s="17"/>
      <c r="I18" s="17"/>
      <c r="J18" s="17"/>
      <c r="K18" s="84"/>
      <c r="L18" s="84"/>
      <c r="M18" s="84"/>
      <c r="N18" s="84"/>
      <c r="O18" s="84"/>
      <c r="P18" s="84"/>
      <c r="Q18" s="84"/>
      <c r="R18" s="84"/>
      <c r="S18" s="84"/>
      <c r="T18" s="84"/>
      <c r="U18" s="84"/>
      <c r="V18" s="84"/>
      <c r="W18" s="110"/>
      <c r="X18" s="110"/>
      <c r="Y18" s="118"/>
      <c r="Z18" s="110"/>
    </row>
    <row r="19" spans="2:26" ht="36" customHeight="1" x14ac:dyDescent="0.25">
      <c r="B19" s="111" t="s">
        <v>677</v>
      </c>
      <c r="C19" s="17" t="s">
        <v>200</v>
      </c>
      <c r="D19" s="17" t="s">
        <v>200</v>
      </c>
      <c r="E19" s="121">
        <v>20460000</v>
      </c>
      <c r="F19" s="17">
        <v>15279528</v>
      </c>
      <c r="G19" s="17" t="s">
        <v>200</v>
      </c>
      <c r="H19" s="17" t="s">
        <v>200</v>
      </c>
      <c r="I19" s="17">
        <v>14922910.199999999</v>
      </c>
      <c r="J19" s="17">
        <v>11144429.33736</v>
      </c>
      <c r="K19" s="17" t="s">
        <v>200</v>
      </c>
      <c r="L19" s="17" t="s">
        <v>200</v>
      </c>
      <c r="M19" s="17" t="s">
        <v>200</v>
      </c>
      <c r="N19" s="17" t="s">
        <v>200</v>
      </c>
      <c r="O19" s="119" t="s">
        <v>865</v>
      </c>
      <c r="P19" s="119" t="s">
        <v>672</v>
      </c>
      <c r="Q19" s="84" t="s">
        <v>38</v>
      </c>
      <c r="R19" s="84" t="s">
        <v>673</v>
      </c>
      <c r="S19" s="84" t="s">
        <v>40</v>
      </c>
      <c r="T19" s="84" t="s">
        <v>41</v>
      </c>
      <c r="U19" s="42" t="s">
        <v>130</v>
      </c>
      <c r="V19" s="84" t="s">
        <v>130</v>
      </c>
      <c r="W19" s="110"/>
      <c r="X19" s="110"/>
      <c r="Y19" s="118"/>
      <c r="Z19" s="110"/>
    </row>
    <row r="20" spans="2:26" ht="12.75" customHeight="1" x14ac:dyDescent="0.25">
      <c r="B20" s="111" t="s">
        <v>678</v>
      </c>
      <c r="C20" s="122"/>
      <c r="D20" s="17"/>
      <c r="E20" s="122"/>
      <c r="F20" s="17"/>
      <c r="G20" s="17"/>
      <c r="H20" s="17"/>
      <c r="I20" s="17"/>
      <c r="J20" s="17"/>
      <c r="K20" s="84"/>
      <c r="L20" s="84"/>
      <c r="M20" s="84"/>
      <c r="N20" s="84"/>
      <c r="O20" s="84"/>
      <c r="P20" s="84"/>
      <c r="Q20" s="84"/>
      <c r="R20" s="84"/>
      <c r="S20" s="84"/>
      <c r="T20" s="84"/>
      <c r="U20" s="84"/>
      <c r="V20" s="84"/>
      <c r="W20" s="110"/>
      <c r="X20" s="110"/>
      <c r="Y20" s="118"/>
      <c r="Z20" s="110"/>
    </row>
    <row r="21" spans="2:26" ht="12.75" customHeight="1" x14ac:dyDescent="0.25">
      <c r="B21" s="111" t="s">
        <v>679</v>
      </c>
      <c r="C21" s="122"/>
      <c r="D21" s="17"/>
      <c r="E21" s="122"/>
      <c r="F21" s="17"/>
      <c r="G21" s="17"/>
      <c r="H21" s="17"/>
      <c r="I21" s="17"/>
      <c r="J21" s="17"/>
      <c r="K21" s="84"/>
      <c r="L21" s="84"/>
      <c r="M21" s="84"/>
      <c r="N21" s="84"/>
      <c r="O21" s="84"/>
      <c r="P21" s="84"/>
      <c r="Q21" s="84"/>
      <c r="R21" s="84"/>
      <c r="S21" s="84"/>
      <c r="T21" s="84"/>
      <c r="U21" s="84"/>
      <c r="V21" s="84"/>
      <c r="W21" s="110"/>
      <c r="X21" s="110"/>
      <c r="Y21" s="118"/>
      <c r="Z21" s="110"/>
    </row>
    <row r="22" spans="2:26" ht="39.75" customHeight="1" x14ac:dyDescent="0.25">
      <c r="B22" s="111" t="s">
        <v>680</v>
      </c>
      <c r="C22" s="17" t="s">
        <v>200</v>
      </c>
      <c r="D22" s="17" t="s">
        <v>200</v>
      </c>
      <c r="E22" s="123">
        <v>58497142.859999999</v>
      </c>
      <c r="F22" s="17">
        <v>43685666</v>
      </c>
      <c r="G22" s="17" t="s">
        <v>200</v>
      </c>
      <c r="H22" s="17" t="s">
        <v>200</v>
      </c>
      <c r="I22" s="17">
        <v>17794830.859999999</v>
      </c>
      <c r="J22" s="17">
        <v>13289180</v>
      </c>
      <c r="K22" s="17" t="s">
        <v>200</v>
      </c>
      <c r="L22" s="17" t="s">
        <v>200</v>
      </c>
      <c r="M22" s="17" t="s">
        <v>200</v>
      </c>
      <c r="N22" s="17" t="s">
        <v>200</v>
      </c>
      <c r="O22" s="119" t="s">
        <v>865</v>
      </c>
      <c r="P22" s="119" t="s">
        <v>672</v>
      </c>
      <c r="Q22" s="84" t="s">
        <v>38</v>
      </c>
      <c r="R22" s="84" t="s">
        <v>673</v>
      </c>
      <c r="S22" s="84" t="s">
        <v>198</v>
      </c>
      <c r="T22" s="84" t="s">
        <v>681</v>
      </c>
      <c r="U22" s="42" t="s">
        <v>130</v>
      </c>
      <c r="V22" s="84" t="s">
        <v>130</v>
      </c>
      <c r="W22" s="110"/>
      <c r="X22" s="110"/>
      <c r="Y22" s="118"/>
      <c r="Z22" s="110"/>
    </row>
    <row r="23" spans="2:26" ht="12.75" customHeight="1" x14ac:dyDescent="0.25">
      <c r="B23" s="111" t="s">
        <v>682</v>
      </c>
      <c r="C23" s="122"/>
      <c r="D23" s="17"/>
      <c r="E23" s="122"/>
      <c r="F23" s="17"/>
      <c r="G23" s="17"/>
      <c r="H23" s="17"/>
      <c r="I23" s="17"/>
      <c r="J23" s="17"/>
      <c r="K23" s="84"/>
      <c r="L23" s="84"/>
      <c r="M23" s="84"/>
      <c r="N23" s="84"/>
      <c r="O23" s="84"/>
      <c r="P23" s="84"/>
      <c r="Q23" s="84"/>
      <c r="R23" s="84"/>
      <c r="S23" s="84"/>
      <c r="T23" s="84"/>
      <c r="U23" s="84"/>
      <c r="V23" s="84"/>
      <c r="W23" s="110"/>
      <c r="X23" s="110"/>
      <c r="Y23" s="118"/>
      <c r="Z23" s="110"/>
    </row>
    <row r="24" spans="2:26" ht="12.75" customHeight="1" x14ac:dyDescent="0.25">
      <c r="B24" s="111" t="s">
        <v>683</v>
      </c>
      <c r="C24" s="124"/>
      <c r="D24" s="124"/>
      <c r="E24" s="124"/>
      <c r="F24" s="124"/>
      <c r="G24" s="124"/>
      <c r="H24" s="124"/>
      <c r="I24" s="124"/>
      <c r="J24" s="124"/>
      <c r="K24" s="125"/>
      <c r="L24" s="125"/>
      <c r="M24" s="125"/>
      <c r="N24" s="125"/>
      <c r="O24" s="125"/>
      <c r="P24" s="125"/>
      <c r="Q24" s="125"/>
      <c r="R24" s="84"/>
      <c r="S24" s="84"/>
      <c r="T24" s="84"/>
      <c r="U24" s="84"/>
      <c r="V24" s="84"/>
      <c r="W24" s="110"/>
      <c r="X24" s="110"/>
      <c r="Y24" s="118"/>
      <c r="Z24" s="110"/>
    </row>
    <row r="25" spans="2:26" ht="12.75" customHeight="1" x14ac:dyDescent="0.25">
      <c r="B25" s="111" t="s">
        <v>684</v>
      </c>
      <c r="C25" s="122"/>
      <c r="D25" s="17"/>
      <c r="E25" s="122"/>
      <c r="F25" s="17"/>
      <c r="G25" s="17"/>
      <c r="H25" s="17"/>
      <c r="I25" s="17"/>
      <c r="J25" s="17"/>
      <c r="K25" s="84"/>
      <c r="L25" s="84"/>
      <c r="M25" s="84"/>
      <c r="N25" s="84"/>
      <c r="O25" s="84"/>
      <c r="P25" s="84"/>
      <c r="Q25" s="84"/>
      <c r="R25" s="84"/>
      <c r="S25" s="84"/>
      <c r="T25" s="84"/>
      <c r="U25" s="84"/>
      <c r="V25" s="84"/>
      <c r="W25" s="110"/>
      <c r="X25" s="110"/>
      <c r="Y25" s="118"/>
      <c r="Z25" s="110"/>
    </row>
    <row r="26" spans="2:26" ht="12.75" customHeight="1" x14ac:dyDescent="0.25">
      <c r="B26" s="111" t="s">
        <v>685</v>
      </c>
      <c r="C26" s="17" t="s">
        <v>200</v>
      </c>
      <c r="D26" s="17" t="s">
        <v>200</v>
      </c>
      <c r="E26" s="123">
        <v>12725000</v>
      </c>
      <c r="F26" s="17">
        <v>9503030</v>
      </c>
      <c r="G26" s="17" t="s">
        <v>200</v>
      </c>
      <c r="H26" s="17" t="s">
        <v>200</v>
      </c>
      <c r="I26" s="17">
        <v>3817500.0000000009</v>
      </c>
      <c r="J26" s="17">
        <v>2850909.0000000009</v>
      </c>
      <c r="K26" s="17" t="s">
        <v>200</v>
      </c>
      <c r="L26" s="17" t="s">
        <v>200</v>
      </c>
      <c r="M26" s="17" t="s">
        <v>200</v>
      </c>
      <c r="N26" s="17" t="s">
        <v>200</v>
      </c>
      <c r="O26" s="119" t="s">
        <v>865</v>
      </c>
      <c r="P26" s="119" t="s">
        <v>672</v>
      </c>
      <c r="Q26" s="84" t="s">
        <v>38</v>
      </c>
      <c r="R26" s="84" t="s">
        <v>673</v>
      </c>
      <c r="S26" s="84" t="s">
        <v>40</v>
      </c>
      <c r="T26" s="84" t="s">
        <v>41</v>
      </c>
      <c r="U26" s="42" t="s">
        <v>130</v>
      </c>
      <c r="V26" s="84" t="s">
        <v>130</v>
      </c>
      <c r="W26" s="110"/>
      <c r="X26" s="110"/>
      <c r="Y26" s="118"/>
      <c r="Z26" s="110"/>
    </row>
    <row r="27" spans="2:26" ht="12.75" customHeight="1" x14ac:dyDescent="0.25">
      <c r="B27" s="111" t="s">
        <v>686</v>
      </c>
      <c r="C27" s="17" t="s">
        <v>200</v>
      </c>
      <c r="D27" s="17" t="s">
        <v>200</v>
      </c>
      <c r="E27" s="17">
        <v>500000</v>
      </c>
      <c r="F27" s="17">
        <v>373400</v>
      </c>
      <c r="G27" s="17" t="s">
        <v>200</v>
      </c>
      <c r="H27" s="17" t="s">
        <v>200</v>
      </c>
      <c r="I27" s="17">
        <v>66546.759999999995</v>
      </c>
      <c r="J27" s="17">
        <v>49697.120000000003</v>
      </c>
      <c r="K27" s="17" t="s">
        <v>200</v>
      </c>
      <c r="L27" s="17" t="s">
        <v>200</v>
      </c>
      <c r="M27" s="17" t="s">
        <v>200</v>
      </c>
      <c r="N27" s="17" t="s">
        <v>200</v>
      </c>
      <c r="O27" s="119" t="s">
        <v>865</v>
      </c>
      <c r="P27" s="119" t="s">
        <v>672</v>
      </c>
      <c r="Q27" s="84" t="s">
        <v>38</v>
      </c>
      <c r="R27" s="84" t="s">
        <v>673</v>
      </c>
      <c r="S27" s="84" t="s">
        <v>40</v>
      </c>
      <c r="T27" s="84" t="s">
        <v>41</v>
      </c>
      <c r="U27" s="42" t="s">
        <v>130</v>
      </c>
      <c r="V27" s="84" t="s">
        <v>130</v>
      </c>
      <c r="W27" s="110"/>
      <c r="X27" s="110"/>
      <c r="Y27" s="118"/>
      <c r="Z27" s="110"/>
    </row>
    <row r="28" spans="2:26" ht="11.5" x14ac:dyDescent="0.25">
      <c r="B28" s="111" t="s">
        <v>687</v>
      </c>
      <c r="C28" s="17" t="s">
        <v>200</v>
      </c>
      <c r="D28" s="17" t="s">
        <v>200</v>
      </c>
      <c r="E28" s="17">
        <v>98944000</v>
      </c>
      <c r="F28" s="17">
        <v>73891379.200000003</v>
      </c>
      <c r="G28" s="17" t="s">
        <v>200</v>
      </c>
      <c r="H28" s="17" t="s">
        <v>200</v>
      </c>
      <c r="I28" s="17">
        <v>30951662</v>
      </c>
      <c r="J28" s="17">
        <v>23114701.181600001</v>
      </c>
      <c r="K28" s="17" t="s">
        <v>200</v>
      </c>
      <c r="L28" s="17" t="s">
        <v>200</v>
      </c>
      <c r="M28" s="17" t="s">
        <v>200</v>
      </c>
      <c r="N28" s="17" t="s">
        <v>200</v>
      </c>
      <c r="O28" s="119" t="s">
        <v>865</v>
      </c>
      <c r="P28" s="119" t="s">
        <v>672</v>
      </c>
      <c r="Q28" s="84" t="s">
        <v>38</v>
      </c>
      <c r="R28" s="84" t="s">
        <v>673</v>
      </c>
      <c r="S28" s="84" t="s">
        <v>40</v>
      </c>
      <c r="T28" s="84" t="s">
        <v>41</v>
      </c>
      <c r="U28" s="42" t="s">
        <v>130</v>
      </c>
      <c r="V28" s="84" t="s">
        <v>130</v>
      </c>
      <c r="W28" s="110"/>
      <c r="X28" s="110"/>
      <c r="Y28" s="118"/>
      <c r="Z28" s="110"/>
    </row>
    <row r="29" spans="2:26" ht="11.5" x14ac:dyDescent="0.25">
      <c r="B29" s="111" t="s">
        <v>688</v>
      </c>
      <c r="C29" s="17"/>
      <c r="D29" s="17"/>
      <c r="E29" s="17"/>
      <c r="F29" s="17"/>
      <c r="G29" s="17"/>
      <c r="H29" s="17"/>
      <c r="I29" s="17"/>
      <c r="J29" s="17"/>
      <c r="K29" s="84"/>
      <c r="L29" s="84"/>
      <c r="M29" s="84"/>
      <c r="N29" s="84"/>
      <c r="O29" s="84"/>
      <c r="P29" s="84"/>
      <c r="Q29" s="84"/>
      <c r="R29" s="84"/>
      <c r="S29" s="84"/>
      <c r="T29" s="84"/>
      <c r="U29" s="84"/>
      <c r="V29" s="84"/>
      <c r="W29" s="110"/>
      <c r="X29" s="110"/>
      <c r="Y29" s="118"/>
      <c r="Z29" s="110"/>
    </row>
    <row r="30" spans="2:26" ht="23" x14ac:dyDescent="0.25">
      <c r="B30" s="126" t="s">
        <v>689</v>
      </c>
      <c r="C30" s="17" t="s">
        <v>200</v>
      </c>
      <c r="D30" s="17" t="s">
        <v>200</v>
      </c>
      <c r="E30" s="17">
        <v>13000000</v>
      </c>
      <c r="F30" s="17">
        <v>9708400</v>
      </c>
      <c r="G30" s="17" t="s">
        <v>200</v>
      </c>
      <c r="H30" s="17" t="s">
        <v>200</v>
      </c>
      <c r="I30" s="17">
        <v>1300000</v>
      </c>
      <c r="J30" s="17">
        <v>970840</v>
      </c>
      <c r="K30" s="17" t="s">
        <v>200</v>
      </c>
      <c r="L30" s="17" t="s">
        <v>200</v>
      </c>
      <c r="M30" s="17" t="s">
        <v>200</v>
      </c>
      <c r="N30" s="17" t="s">
        <v>200</v>
      </c>
      <c r="O30" s="119" t="s">
        <v>865</v>
      </c>
      <c r="P30" s="119" t="s">
        <v>672</v>
      </c>
      <c r="Q30" s="84" t="s">
        <v>38</v>
      </c>
      <c r="R30" s="84" t="s">
        <v>673</v>
      </c>
      <c r="S30" s="84" t="s">
        <v>40</v>
      </c>
      <c r="T30" s="84" t="s">
        <v>41</v>
      </c>
      <c r="U30" s="42" t="s">
        <v>42</v>
      </c>
      <c r="V30" s="84" t="s">
        <v>130</v>
      </c>
      <c r="W30" s="110"/>
      <c r="X30" s="110"/>
      <c r="Y30" s="118"/>
      <c r="Z30" s="110"/>
    </row>
    <row r="31" spans="2:26" ht="11.5" x14ac:dyDescent="0.25">
      <c r="B31" s="126" t="s">
        <v>690</v>
      </c>
      <c r="C31" s="17" t="s">
        <v>200</v>
      </c>
      <c r="D31" s="17" t="s">
        <v>200</v>
      </c>
      <c r="E31" s="17">
        <v>265300.42</v>
      </c>
      <c r="F31" s="17">
        <v>198126.35</v>
      </c>
      <c r="G31" s="17" t="s">
        <v>200</v>
      </c>
      <c r="H31" s="17" t="s">
        <v>200</v>
      </c>
      <c r="I31" s="17">
        <v>26530.04</v>
      </c>
      <c r="J31" s="17">
        <v>19812.64</v>
      </c>
      <c r="K31" s="17" t="s">
        <v>200</v>
      </c>
      <c r="L31" s="17" t="s">
        <v>200</v>
      </c>
      <c r="M31" s="17" t="s">
        <v>200</v>
      </c>
      <c r="N31" s="17" t="s">
        <v>200</v>
      </c>
      <c r="O31" s="119" t="s">
        <v>865</v>
      </c>
      <c r="P31" s="119" t="s">
        <v>672</v>
      </c>
      <c r="Q31" s="84" t="s">
        <v>38</v>
      </c>
      <c r="R31" s="84" t="s">
        <v>673</v>
      </c>
      <c r="S31" s="84" t="s">
        <v>40</v>
      </c>
      <c r="T31" s="84" t="s">
        <v>41</v>
      </c>
      <c r="U31" s="42" t="s">
        <v>42</v>
      </c>
      <c r="V31" s="84" t="s">
        <v>130</v>
      </c>
      <c r="W31" s="110"/>
      <c r="X31" s="110"/>
      <c r="Y31" s="118"/>
      <c r="Z31" s="110"/>
    </row>
    <row r="32" spans="2:26" ht="11.5" x14ac:dyDescent="0.25">
      <c r="B32" s="127" t="s">
        <v>691</v>
      </c>
      <c r="C32" s="17" t="s">
        <v>200</v>
      </c>
      <c r="D32" s="17" t="s">
        <v>200</v>
      </c>
      <c r="E32" s="17">
        <v>15342550</v>
      </c>
      <c r="F32" s="17">
        <v>11457816.34</v>
      </c>
      <c r="G32" s="17" t="s">
        <v>200</v>
      </c>
      <c r="H32" s="17" t="s">
        <v>200</v>
      </c>
      <c r="I32" s="17">
        <v>546658.49</v>
      </c>
      <c r="J32" s="17">
        <v>408244.56</v>
      </c>
      <c r="K32" s="17" t="s">
        <v>200</v>
      </c>
      <c r="L32" s="17" t="s">
        <v>200</v>
      </c>
      <c r="M32" s="17" t="s">
        <v>200</v>
      </c>
      <c r="N32" s="17" t="s">
        <v>200</v>
      </c>
      <c r="O32" s="119" t="s">
        <v>865</v>
      </c>
      <c r="P32" s="119" t="s">
        <v>672</v>
      </c>
      <c r="Q32" s="84" t="s">
        <v>38</v>
      </c>
      <c r="R32" s="84" t="s">
        <v>673</v>
      </c>
      <c r="S32" s="84" t="s">
        <v>40</v>
      </c>
      <c r="T32" s="84" t="s">
        <v>41</v>
      </c>
      <c r="U32" s="42" t="s">
        <v>130</v>
      </c>
      <c r="V32" s="84" t="s">
        <v>130</v>
      </c>
      <c r="W32" s="110"/>
      <c r="X32" s="110"/>
      <c r="Y32" s="118"/>
      <c r="Z32" s="110"/>
    </row>
    <row r="33" spans="2:26" ht="11.5" x14ac:dyDescent="0.25">
      <c r="B33" s="126" t="s">
        <v>692</v>
      </c>
      <c r="C33" s="17" t="s">
        <v>200</v>
      </c>
      <c r="D33" s="17" t="s">
        <v>200</v>
      </c>
      <c r="E33" s="17">
        <v>62160802.799999997</v>
      </c>
      <c r="F33" s="17">
        <v>46421688</v>
      </c>
      <c r="G33" s="17" t="s">
        <v>200</v>
      </c>
      <c r="H33" s="17" t="s">
        <v>200</v>
      </c>
      <c r="I33" s="17">
        <v>19200850.379999999</v>
      </c>
      <c r="J33" s="17">
        <v>14339195.060000001</v>
      </c>
      <c r="K33" s="17" t="s">
        <v>200</v>
      </c>
      <c r="L33" s="17" t="s">
        <v>200</v>
      </c>
      <c r="M33" s="17" t="s">
        <v>200</v>
      </c>
      <c r="N33" s="17" t="s">
        <v>200</v>
      </c>
      <c r="O33" s="119" t="s">
        <v>865</v>
      </c>
      <c r="P33" s="119" t="s">
        <v>672</v>
      </c>
      <c r="Q33" s="84" t="s">
        <v>38</v>
      </c>
      <c r="R33" s="84" t="s">
        <v>673</v>
      </c>
      <c r="S33" s="84" t="s">
        <v>198</v>
      </c>
      <c r="T33" s="84" t="s">
        <v>681</v>
      </c>
      <c r="U33" s="42" t="s">
        <v>130</v>
      </c>
      <c r="V33" s="84" t="s">
        <v>130</v>
      </c>
      <c r="W33" s="110"/>
      <c r="X33" s="110"/>
      <c r="Y33" s="118"/>
      <c r="Z33" s="110"/>
    </row>
    <row r="34" spans="2:26" ht="27" customHeight="1" x14ac:dyDescent="0.25">
      <c r="B34" s="128" t="s">
        <v>693</v>
      </c>
      <c r="C34" s="17" t="s">
        <v>200</v>
      </c>
      <c r="D34" s="17" t="s">
        <v>200</v>
      </c>
      <c r="E34" s="17">
        <v>7833905</v>
      </c>
      <c r="F34" s="17">
        <v>5850360.2539999997</v>
      </c>
      <c r="G34" s="17" t="s">
        <v>200</v>
      </c>
      <c r="H34" s="17" t="s">
        <v>200</v>
      </c>
      <c r="I34" s="17">
        <v>7833905</v>
      </c>
      <c r="J34" s="17">
        <v>5850360.2539999997</v>
      </c>
      <c r="K34" s="17" t="s">
        <v>200</v>
      </c>
      <c r="L34" s="17" t="s">
        <v>200</v>
      </c>
      <c r="M34" s="17" t="s">
        <v>200</v>
      </c>
      <c r="N34" s="17" t="s">
        <v>200</v>
      </c>
      <c r="O34" s="119" t="s">
        <v>865</v>
      </c>
      <c r="P34" s="119" t="s">
        <v>672</v>
      </c>
      <c r="Q34" s="84" t="s">
        <v>38</v>
      </c>
      <c r="R34" s="84" t="s">
        <v>673</v>
      </c>
      <c r="S34" s="84" t="s">
        <v>40</v>
      </c>
      <c r="T34" s="84" t="s">
        <v>41</v>
      </c>
      <c r="U34" s="84" t="s">
        <v>130</v>
      </c>
      <c r="V34" s="84" t="s">
        <v>130</v>
      </c>
      <c r="W34" s="110"/>
      <c r="X34" s="110"/>
      <c r="Y34" s="118"/>
      <c r="Z34" s="110"/>
    </row>
    <row r="35" spans="2:26" ht="13.5" customHeight="1" x14ac:dyDescent="0.25">
      <c r="B35" s="128" t="s">
        <v>694</v>
      </c>
      <c r="C35" s="17" t="s">
        <v>200</v>
      </c>
      <c r="D35" s="17" t="s">
        <v>200</v>
      </c>
      <c r="E35" s="17">
        <v>250000</v>
      </c>
      <c r="F35" s="17">
        <v>186700</v>
      </c>
      <c r="G35" s="17" t="s">
        <v>200</v>
      </c>
      <c r="H35" s="17" t="s">
        <v>200</v>
      </c>
      <c r="I35" s="17">
        <v>250000</v>
      </c>
      <c r="J35" s="17">
        <v>186700</v>
      </c>
      <c r="K35" s="17" t="s">
        <v>200</v>
      </c>
      <c r="L35" s="17" t="s">
        <v>200</v>
      </c>
      <c r="M35" s="17" t="s">
        <v>200</v>
      </c>
      <c r="N35" s="17" t="s">
        <v>200</v>
      </c>
      <c r="O35" s="119" t="s">
        <v>865</v>
      </c>
      <c r="P35" s="119" t="s">
        <v>672</v>
      </c>
      <c r="Q35" s="84" t="s">
        <v>38</v>
      </c>
      <c r="R35" s="84" t="s">
        <v>673</v>
      </c>
      <c r="S35" s="84" t="s">
        <v>198</v>
      </c>
      <c r="T35" s="84" t="s">
        <v>41</v>
      </c>
      <c r="U35" s="84" t="s">
        <v>130</v>
      </c>
      <c r="V35" s="84" t="s">
        <v>130</v>
      </c>
      <c r="W35" s="110"/>
      <c r="X35" s="110"/>
      <c r="Y35" s="118"/>
      <c r="Z35" s="110"/>
    </row>
    <row r="36" spans="2:26" ht="13.5" customHeight="1" x14ac:dyDescent="0.25">
      <c r="B36" s="128" t="s">
        <v>695</v>
      </c>
      <c r="C36" s="17" t="s">
        <v>200</v>
      </c>
      <c r="D36" s="17" t="s">
        <v>200</v>
      </c>
      <c r="E36" s="17">
        <v>1076799.53</v>
      </c>
      <c r="F36" s="17">
        <v>804153.889004</v>
      </c>
      <c r="G36" s="17" t="s">
        <v>200</v>
      </c>
      <c r="H36" s="17" t="s">
        <v>200</v>
      </c>
      <c r="I36" s="17">
        <v>1076799.53</v>
      </c>
      <c r="J36" s="17">
        <v>804153.889004</v>
      </c>
      <c r="K36" s="17" t="s">
        <v>200</v>
      </c>
      <c r="L36" s="17" t="s">
        <v>200</v>
      </c>
      <c r="M36" s="17" t="s">
        <v>200</v>
      </c>
      <c r="N36" s="17" t="s">
        <v>200</v>
      </c>
      <c r="O36" s="119" t="s">
        <v>865</v>
      </c>
      <c r="P36" s="119" t="s">
        <v>672</v>
      </c>
      <c r="Q36" s="84" t="s">
        <v>38</v>
      </c>
      <c r="R36" s="84" t="s">
        <v>673</v>
      </c>
      <c r="S36" s="84" t="s">
        <v>198</v>
      </c>
      <c r="T36" s="84" t="s">
        <v>41</v>
      </c>
      <c r="U36" s="84" t="s">
        <v>130</v>
      </c>
      <c r="V36" s="84" t="s">
        <v>130</v>
      </c>
      <c r="W36" s="110"/>
      <c r="X36" s="110"/>
      <c r="Y36" s="118"/>
      <c r="Z36" s="129"/>
    </row>
    <row r="37" spans="2:26" ht="11.5" x14ac:dyDescent="0.25">
      <c r="B37" s="130" t="s">
        <v>696</v>
      </c>
      <c r="C37" s="131"/>
      <c r="D37" s="131"/>
      <c r="E37" s="131">
        <f t="shared" ref="E37:J37" si="0">SUM(E15:E36)</f>
        <v>427571500.61000001</v>
      </c>
      <c r="F37" s="131">
        <f t="shared" si="0"/>
        <v>319310396.833004</v>
      </c>
      <c r="G37" s="131"/>
      <c r="H37" s="131"/>
      <c r="I37" s="131">
        <f t="shared" si="0"/>
        <v>112608370.22</v>
      </c>
      <c r="J37" s="131">
        <f t="shared" si="0"/>
        <v>84095931.195692003</v>
      </c>
      <c r="K37" s="117"/>
      <c r="L37" s="117"/>
      <c r="M37" s="117"/>
      <c r="N37" s="117"/>
      <c r="O37" s="132"/>
      <c r="P37" s="132"/>
      <c r="Q37" s="132"/>
      <c r="R37" s="132"/>
      <c r="S37" s="132"/>
      <c r="T37" s="132"/>
      <c r="U37" s="132"/>
      <c r="V37" s="132"/>
      <c r="W37" s="110"/>
      <c r="X37" s="110"/>
      <c r="Y37" s="118"/>
      <c r="Z37" s="110"/>
    </row>
    <row r="38" spans="2:26" ht="11.5" x14ac:dyDescent="0.25">
      <c r="B38" s="133"/>
      <c r="O38" s="48"/>
      <c r="P38" s="48"/>
      <c r="Q38" s="48"/>
      <c r="R38" s="48"/>
      <c r="S38" s="48"/>
      <c r="T38" s="48"/>
      <c r="U38" s="48"/>
      <c r="V38" s="48"/>
    </row>
    <row r="39" spans="2:26" ht="11.5" x14ac:dyDescent="0.25">
      <c r="B39" s="22"/>
      <c r="I39" s="134"/>
    </row>
    <row r="40" spans="2:26" ht="11.5" x14ac:dyDescent="0.25">
      <c r="B40" s="32" t="s">
        <v>411</v>
      </c>
    </row>
    <row r="41" spans="2:26" ht="11.5" x14ac:dyDescent="0.25">
      <c r="B41" s="32" t="s">
        <v>412</v>
      </c>
    </row>
    <row r="42" spans="2:26" ht="12" customHeight="1" x14ac:dyDescent="0.25">
      <c r="B42" s="135" t="s">
        <v>697</v>
      </c>
    </row>
    <row r="43" spans="2:26" ht="12" customHeight="1" x14ac:dyDescent="0.25">
      <c r="B43" s="136" t="s">
        <v>698</v>
      </c>
    </row>
    <row r="44" spans="2:26" ht="12" customHeight="1" x14ac:dyDescent="0.25">
      <c r="B44" s="136" t="s">
        <v>699</v>
      </c>
    </row>
    <row r="45" spans="2:26" ht="12" customHeight="1" x14ac:dyDescent="0.25">
      <c r="B45" s="136" t="s">
        <v>700</v>
      </c>
    </row>
    <row r="46" spans="2:26" ht="12" customHeight="1" x14ac:dyDescent="0.25">
      <c r="B46" s="136" t="s">
        <v>701</v>
      </c>
    </row>
    <row r="47" spans="2:26" ht="12" customHeight="1" x14ac:dyDescent="0.25">
      <c r="B47" s="136" t="s">
        <v>702</v>
      </c>
    </row>
    <row r="48" spans="2:26" ht="12" customHeight="1" x14ac:dyDescent="0.25">
      <c r="B48" s="136" t="s">
        <v>703</v>
      </c>
    </row>
    <row r="49" spans="2:13" ht="12" customHeight="1" x14ac:dyDescent="0.25">
      <c r="B49" s="136" t="s">
        <v>704</v>
      </c>
    </row>
    <row r="50" spans="2:13" ht="12" customHeight="1" x14ac:dyDescent="0.25">
      <c r="B50" s="136" t="s">
        <v>705</v>
      </c>
    </row>
    <row r="51" spans="2:13" ht="12" customHeight="1" x14ac:dyDescent="0.25">
      <c r="B51" s="136" t="s">
        <v>706</v>
      </c>
    </row>
    <row r="52" spans="2:13" ht="12" customHeight="1" x14ac:dyDescent="0.25">
      <c r="B52" s="136" t="s">
        <v>707</v>
      </c>
    </row>
    <row r="53" spans="2:13" ht="12" customHeight="1" x14ac:dyDescent="0.25">
      <c r="B53" s="136" t="s">
        <v>708</v>
      </c>
    </row>
    <row r="54" spans="2:13" ht="12" customHeight="1" x14ac:dyDescent="0.25">
      <c r="B54" s="136" t="s">
        <v>709</v>
      </c>
    </row>
    <row r="55" spans="2:13" ht="12" customHeight="1" x14ac:dyDescent="0.25">
      <c r="B55" s="22"/>
    </row>
    <row r="56" spans="2:13" ht="12" customHeight="1" x14ac:dyDescent="0.25">
      <c r="B56" s="67" t="s">
        <v>425</v>
      </c>
    </row>
    <row r="57" spans="2:13" ht="12" customHeight="1" x14ac:dyDescent="0.25">
      <c r="B57" s="68" t="s">
        <v>861</v>
      </c>
    </row>
    <row r="58" spans="2:13" ht="12" customHeight="1" x14ac:dyDescent="0.25">
      <c r="B58" s="137" t="s">
        <v>710</v>
      </c>
    </row>
    <row r="59" spans="2:13" ht="12" customHeight="1" x14ac:dyDescent="0.25">
      <c r="B59" s="68" t="s">
        <v>427</v>
      </c>
    </row>
    <row r="60" spans="2:13" ht="16.5" customHeight="1" x14ac:dyDescent="0.35">
      <c r="B60" s="68" t="s">
        <v>711</v>
      </c>
      <c r="L60" s="73"/>
    </row>
    <row r="61" spans="2:13" ht="68.25" customHeight="1" x14ac:dyDescent="0.25">
      <c r="B61" s="138"/>
      <c r="C61" s="138"/>
      <c r="D61" s="138"/>
      <c r="E61" s="138"/>
      <c r="F61" s="138"/>
      <c r="G61" s="138"/>
      <c r="H61" s="138"/>
      <c r="I61" s="138"/>
      <c r="J61" s="138"/>
      <c r="K61" s="138"/>
      <c r="L61" s="138"/>
      <c r="M61" s="138"/>
    </row>
    <row r="62" spans="2:13" ht="77.25" customHeight="1" x14ac:dyDescent="0.25">
      <c r="B62" s="139"/>
      <c r="C62" s="139"/>
      <c r="D62" s="139"/>
      <c r="E62" s="139"/>
      <c r="F62" s="139"/>
      <c r="G62" s="139"/>
      <c r="H62" s="139"/>
      <c r="I62" s="139"/>
      <c r="J62" s="139"/>
      <c r="K62" s="139"/>
      <c r="L62" s="139"/>
      <c r="M62" s="139"/>
    </row>
    <row r="63" spans="2:13" ht="12" customHeight="1" x14ac:dyDescent="0.35">
      <c r="B63" s="100"/>
      <c r="C63" s="72"/>
      <c r="D63" s="73"/>
      <c r="E63" s="73"/>
      <c r="F63" s="73"/>
      <c r="G63" s="73"/>
      <c r="H63" s="73"/>
      <c r="I63" s="73"/>
      <c r="J63" s="73"/>
      <c r="K63" s="73"/>
      <c r="L63" s="73"/>
      <c r="M63" s="73"/>
    </row>
    <row r="64" spans="2:13" ht="14.5" x14ac:dyDescent="0.35">
      <c r="B64" s="100"/>
      <c r="C64" s="72"/>
      <c r="D64" s="73"/>
      <c r="E64" s="73"/>
      <c r="F64" s="73"/>
      <c r="G64" s="73"/>
      <c r="H64" s="73"/>
      <c r="I64" s="73"/>
      <c r="J64" s="73"/>
      <c r="K64" s="73"/>
      <c r="L64" s="73"/>
      <c r="M64" s="73"/>
    </row>
    <row r="65" spans="2:13" ht="12" customHeight="1" x14ac:dyDescent="0.35">
      <c r="B65" s="100"/>
      <c r="C65" s="72"/>
      <c r="D65" s="73"/>
      <c r="E65" s="73"/>
      <c r="F65" s="73"/>
      <c r="G65" s="73"/>
      <c r="H65" s="73"/>
      <c r="I65" s="73"/>
      <c r="J65" s="73"/>
      <c r="K65" s="73"/>
      <c r="L65" s="73"/>
      <c r="M65" s="73"/>
    </row>
    <row r="66" spans="2:13" ht="56.25" customHeight="1" x14ac:dyDescent="0.25">
      <c r="B66" s="139"/>
      <c r="C66" s="139"/>
      <c r="D66" s="139"/>
      <c r="E66" s="139"/>
      <c r="F66" s="139"/>
      <c r="G66" s="139"/>
      <c r="H66" s="139"/>
      <c r="I66" s="139"/>
      <c r="J66" s="139"/>
      <c r="K66" s="139"/>
      <c r="L66" s="139"/>
      <c r="M66" s="139"/>
    </row>
    <row r="67" spans="2:13" ht="54.75" customHeight="1" x14ac:dyDescent="0.25">
      <c r="B67" s="139"/>
      <c r="C67" s="139"/>
      <c r="D67" s="139"/>
      <c r="E67" s="139"/>
      <c r="F67" s="139"/>
      <c r="G67" s="139"/>
      <c r="H67" s="139"/>
      <c r="I67" s="139"/>
      <c r="J67" s="139"/>
      <c r="K67" s="139"/>
      <c r="L67" s="139"/>
      <c r="M67" s="139"/>
    </row>
    <row r="68" spans="2:13" ht="27" customHeight="1" x14ac:dyDescent="0.35">
      <c r="B68" s="140"/>
      <c r="C68" s="140"/>
      <c r="D68" s="140"/>
      <c r="E68" s="140"/>
      <c r="F68" s="140"/>
      <c r="G68" s="140"/>
      <c r="H68" s="140"/>
      <c r="I68" s="140"/>
      <c r="J68" s="140"/>
      <c r="K68" s="140"/>
      <c r="L68" s="140"/>
      <c r="M68" s="73"/>
    </row>
    <row r="69" spans="2:13" ht="12" customHeight="1" x14ac:dyDescent="0.35">
      <c r="B69" s="141"/>
      <c r="C69" s="142"/>
      <c r="D69" s="70"/>
      <c r="E69" s="70"/>
      <c r="F69" s="70"/>
      <c r="G69" s="70"/>
      <c r="H69" s="70"/>
      <c r="I69" s="70"/>
      <c r="J69" s="70"/>
      <c r="K69" s="70"/>
      <c r="L69" s="70"/>
      <c r="M69" s="73"/>
    </row>
  </sheetData>
  <mergeCells count="7">
    <mergeCell ref="X7:X8"/>
    <mergeCell ref="Y7:Y8"/>
    <mergeCell ref="B68:L68"/>
    <mergeCell ref="B61:M61"/>
    <mergeCell ref="B62:M62"/>
    <mergeCell ref="B66:M66"/>
    <mergeCell ref="B67:M67"/>
  </mergeCells>
  <hyperlinks>
    <hyperlink ref="B5" location="'Index sheet'!A1" display="Back to index" xr:uid="{00000000-0004-0000-0400-000000000000}"/>
  </hyperlinks>
  <pageMargins left="0.25" right="0.25" top="0.75" bottom="0.75" header="0.3" footer="0.3"/>
  <pageSetup paperSize="8" scale="65" fitToHeight="0" orientation="landscape" r:id="rId1"/>
  <ignoredErrors>
    <ignoredError sqref="B39:B56 C1:Z1 B1:B6 A34:A41 C38:Z38 I13:X14 K37:X37 K16:X18 W15:X15 K20:X21 W19:X19 K29:P29 W34:X36 C3:Z6 C2:J2 L2:Z2 B8:B11 C10:Z11 D7:N7 D8:J8 D9:F9 H9:J9 L9:Z9 W28:X29 A1:A29 K23:X25 W22:X22 W26:X27 C40:Z41 C39:H39 J39:Z39 L8:W8 Z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70"/>
  <sheetViews>
    <sheetView showGridLines="0" zoomScaleNormal="100" workbookViewId="0">
      <selection activeCell="F4" sqref="A1:XFD1048576"/>
    </sheetView>
  </sheetViews>
  <sheetFormatPr defaultColWidth="9.1796875" defaultRowHeight="12" customHeight="1" x14ac:dyDescent="0.25"/>
  <cols>
    <col min="1" max="1" width="2.26953125" style="20" customWidth="1"/>
    <col min="2" max="2" width="38.26953125" style="20" customWidth="1"/>
    <col min="3" max="4" width="14.7265625" style="20" bestFit="1" customWidth="1"/>
    <col min="5" max="5" width="13.54296875" style="20" customWidth="1"/>
    <col min="6" max="6" width="12" style="20" bestFit="1" customWidth="1"/>
    <col min="7" max="8" width="13.26953125" style="20" customWidth="1"/>
    <col min="9" max="9" width="13.54296875" style="20" customWidth="1"/>
    <col min="10" max="10" width="11.1796875" style="20" bestFit="1" customWidth="1"/>
    <col min="11" max="11" width="8.54296875" style="20" customWidth="1"/>
    <col min="12" max="12" width="12" style="20" customWidth="1"/>
    <col min="13" max="13" width="9.1796875" style="20" customWidth="1"/>
    <col min="14" max="14" width="7.1796875" style="20" customWidth="1"/>
    <col min="15" max="15" width="11.26953125" style="20" customWidth="1"/>
    <col min="16" max="16" width="13.54296875" style="20" customWidth="1"/>
    <col min="17" max="17" width="9.1796875" style="20" customWidth="1"/>
    <col min="18" max="18" width="12.453125" style="20" customWidth="1"/>
    <col min="19" max="20" width="9.1796875" style="20" customWidth="1"/>
    <col min="21" max="21" width="11.1796875" style="20" customWidth="1"/>
    <col min="22" max="22" width="11.54296875" style="20" customWidth="1"/>
    <col min="23" max="23" width="9.1796875" style="20" customWidth="1"/>
    <col min="24" max="24" width="10.1796875" style="20" customWidth="1"/>
    <col min="25" max="25" width="10.26953125" style="20" customWidth="1"/>
    <col min="26" max="26" width="20.453125" style="20" customWidth="1"/>
    <col min="27" max="27" width="9.1796875" style="20" customWidth="1"/>
    <col min="28" max="16384" width="9.1796875" style="20"/>
  </cols>
  <sheetData>
    <row r="1" spans="1:26" ht="16" customHeight="1" x14ac:dyDescent="0.3">
      <c r="B1" s="19" t="s">
        <v>652</v>
      </c>
    </row>
    <row r="2" spans="1:26" ht="16" customHeight="1" x14ac:dyDescent="0.3">
      <c r="B2" s="21" t="s">
        <v>15</v>
      </c>
      <c r="J2" s="20" t="s">
        <v>429</v>
      </c>
      <c r="K2" s="20" t="s">
        <v>653</v>
      </c>
    </row>
    <row r="3" spans="1:26" ht="16" customHeight="1" x14ac:dyDescent="0.25">
      <c r="B3" s="23" t="s">
        <v>18</v>
      </c>
      <c r="C3" s="24">
        <v>0.7258</v>
      </c>
    </row>
    <row r="4" spans="1:26" ht="16" customHeight="1" x14ac:dyDescent="0.25">
      <c r="B4" s="23"/>
      <c r="C4" s="23"/>
    </row>
    <row r="5" spans="1:26" ht="11.5" x14ac:dyDescent="0.25">
      <c r="B5" s="25" t="s">
        <v>19</v>
      </c>
    </row>
    <row r="6" spans="1:26" ht="11.5" x14ac:dyDescent="0.25">
      <c r="B6" s="22"/>
    </row>
    <row r="7" spans="1:26" s="32" customFormat="1" ht="74" x14ac:dyDescent="0.25">
      <c r="B7" s="37" t="s">
        <v>654</v>
      </c>
      <c r="C7" s="103" t="s">
        <v>655</v>
      </c>
      <c r="D7" s="103"/>
      <c r="E7" s="103"/>
      <c r="F7" s="103"/>
      <c r="G7" s="103"/>
      <c r="H7" s="103"/>
      <c r="I7" s="103"/>
      <c r="J7" s="103"/>
      <c r="K7" s="103"/>
      <c r="L7" s="103"/>
      <c r="M7" s="103"/>
      <c r="N7" s="103"/>
      <c r="O7" s="27" t="s">
        <v>656</v>
      </c>
      <c r="P7" s="27" t="s">
        <v>657</v>
      </c>
      <c r="Q7" s="27" t="s">
        <v>23</v>
      </c>
      <c r="R7" s="27" t="s">
        <v>24</v>
      </c>
      <c r="S7" s="27" t="s">
        <v>25</v>
      </c>
      <c r="T7" s="27" t="s">
        <v>658</v>
      </c>
      <c r="U7" s="27" t="s">
        <v>27</v>
      </c>
      <c r="V7" s="27" t="s">
        <v>659</v>
      </c>
      <c r="W7" s="27" t="s">
        <v>660</v>
      </c>
      <c r="X7" s="27" t="s">
        <v>661</v>
      </c>
      <c r="Y7" s="31" t="s">
        <v>662</v>
      </c>
      <c r="Z7" s="27" t="s">
        <v>663</v>
      </c>
    </row>
    <row r="8" spans="1:26" s="32" customFormat="1" ht="14" x14ac:dyDescent="0.25">
      <c r="B8" s="105"/>
      <c r="C8" s="103" t="s">
        <v>664</v>
      </c>
      <c r="D8" s="103"/>
      <c r="E8" s="103"/>
      <c r="F8" s="103"/>
      <c r="G8" s="103"/>
      <c r="H8" s="103"/>
      <c r="I8" s="103"/>
      <c r="J8" s="103"/>
      <c r="K8" s="103" t="s">
        <v>665</v>
      </c>
      <c r="L8" s="103"/>
      <c r="M8" s="103"/>
      <c r="N8" s="103"/>
      <c r="O8" s="33"/>
      <c r="P8" s="33"/>
      <c r="Q8" s="33"/>
      <c r="R8" s="33"/>
      <c r="S8" s="33"/>
      <c r="T8" s="33"/>
      <c r="U8" s="33"/>
      <c r="V8" s="33"/>
      <c r="W8" s="33"/>
      <c r="X8" s="33"/>
      <c r="Y8" s="36"/>
      <c r="Z8" s="33"/>
    </row>
    <row r="9" spans="1:26" s="32" customFormat="1" ht="14" x14ac:dyDescent="0.25">
      <c r="B9" s="105"/>
      <c r="C9" s="103" t="s">
        <v>666</v>
      </c>
      <c r="D9" s="103"/>
      <c r="E9" s="103"/>
      <c r="F9" s="103"/>
      <c r="G9" s="103" t="s">
        <v>667</v>
      </c>
      <c r="H9" s="103"/>
      <c r="I9" s="103"/>
      <c r="J9" s="103"/>
      <c r="K9" s="103" t="s">
        <v>667</v>
      </c>
      <c r="L9" s="103"/>
      <c r="M9" s="103"/>
      <c r="N9" s="103"/>
      <c r="O9" s="33"/>
      <c r="P9" s="33"/>
      <c r="Q9" s="33"/>
      <c r="R9" s="33"/>
      <c r="S9" s="33"/>
      <c r="T9" s="33"/>
      <c r="U9" s="33"/>
      <c r="V9" s="33"/>
      <c r="W9" s="33"/>
      <c r="X9" s="33"/>
      <c r="Y9" s="36"/>
      <c r="Z9" s="33"/>
    </row>
    <row r="10" spans="1:26" s="32" customFormat="1" ht="23" x14ac:dyDescent="0.25">
      <c r="B10" s="105"/>
      <c r="C10" s="107" t="s">
        <v>33</v>
      </c>
      <c r="D10" s="107"/>
      <c r="E10" s="107" t="s">
        <v>34</v>
      </c>
      <c r="F10" s="107"/>
      <c r="G10" s="107" t="s">
        <v>33</v>
      </c>
      <c r="H10" s="107"/>
      <c r="I10" s="107" t="s">
        <v>34</v>
      </c>
      <c r="J10" s="107"/>
      <c r="K10" s="107" t="s">
        <v>33</v>
      </c>
      <c r="L10" s="107"/>
      <c r="M10" s="107" t="s">
        <v>34</v>
      </c>
      <c r="N10" s="107"/>
      <c r="O10" s="33"/>
      <c r="P10" s="33"/>
      <c r="Q10" s="33"/>
      <c r="R10" s="33"/>
      <c r="S10" s="33"/>
      <c r="T10" s="33"/>
      <c r="U10" s="33"/>
      <c r="V10" s="33"/>
      <c r="W10" s="33"/>
      <c r="X10" s="33"/>
      <c r="Y10" s="36"/>
      <c r="Z10" s="33"/>
    </row>
    <row r="11" spans="1:26" s="32" customFormat="1" ht="24" customHeight="1" x14ac:dyDescent="0.25">
      <c r="B11" s="105"/>
      <c r="C11" s="37" t="s">
        <v>35</v>
      </c>
      <c r="D11" s="38" t="s">
        <v>36</v>
      </c>
      <c r="E11" s="37" t="s">
        <v>35</v>
      </c>
      <c r="F11" s="38" t="s">
        <v>36</v>
      </c>
      <c r="G11" s="37" t="s">
        <v>35</v>
      </c>
      <c r="H11" s="38" t="s">
        <v>36</v>
      </c>
      <c r="I11" s="37" t="s">
        <v>35</v>
      </c>
      <c r="J11" s="38" t="s">
        <v>36</v>
      </c>
      <c r="K11" s="37" t="s">
        <v>35</v>
      </c>
      <c r="L11" s="38" t="s">
        <v>36</v>
      </c>
      <c r="M11" s="37" t="s">
        <v>35</v>
      </c>
      <c r="N11" s="38" t="s">
        <v>36</v>
      </c>
      <c r="O11" s="33"/>
      <c r="P11" s="33"/>
      <c r="Q11" s="33"/>
      <c r="R11" s="33"/>
      <c r="S11" s="33"/>
      <c r="T11" s="33"/>
      <c r="U11" s="33"/>
      <c r="V11" s="33"/>
      <c r="W11" s="33"/>
      <c r="X11" s="33"/>
      <c r="Y11" s="36"/>
      <c r="Z11" s="33"/>
    </row>
    <row r="12" spans="1:26" s="32" customFormat="1" ht="11.5" x14ac:dyDescent="0.25">
      <c r="A12" s="108"/>
      <c r="B12" s="143" t="s">
        <v>668</v>
      </c>
      <c r="C12" s="144"/>
      <c r="D12" s="144"/>
      <c r="E12" s="145"/>
      <c r="F12" s="145"/>
      <c r="G12" s="145"/>
      <c r="H12" s="146"/>
      <c r="I12" s="144"/>
      <c r="J12" s="144"/>
      <c r="K12" s="144"/>
      <c r="L12" s="144"/>
      <c r="M12" s="144"/>
      <c r="N12" s="144"/>
      <c r="O12" s="147"/>
      <c r="P12" s="147"/>
      <c r="Q12" s="147"/>
      <c r="R12" s="147"/>
      <c r="S12" s="147"/>
      <c r="T12" s="147"/>
      <c r="U12" s="147"/>
      <c r="V12" s="147"/>
      <c r="W12" s="147"/>
      <c r="X12" s="147"/>
      <c r="Y12" s="147"/>
      <c r="Z12" s="147"/>
    </row>
    <row r="13" spans="1:26" s="32" customFormat="1" ht="11.5" x14ac:dyDescent="0.25">
      <c r="A13" s="108"/>
      <c r="B13" s="143"/>
      <c r="C13" s="144"/>
      <c r="D13" s="144"/>
      <c r="E13" s="148"/>
      <c r="F13" s="148"/>
      <c r="G13" s="148"/>
      <c r="H13" s="149"/>
      <c r="I13" s="41"/>
      <c r="J13" s="41"/>
      <c r="K13" s="41"/>
      <c r="L13" s="41"/>
      <c r="M13" s="41"/>
      <c r="N13" s="41"/>
      <c r="O13" s="40"/>
      <c r="P13" s="40"/>
      <c r="Q13" s="40"/>
      <c r="R13" s="40"/>
      <c r="S13" s="40"/>
      <c r="T13" s="40"/>
      <c r="U13" s="40"/>
      <c r="V13" s="40"/>
      <c r="W13" s="40"/>
      <c r="X13" s="40"/>
      <c r="Y13" s="147"/>
      <c r="Z13" s="147"/>
    </row>
    <row r="14" spans="1:26" ht="11.5" x14ac:dyDescent="0.25">
      <c r="A14" s="108"/>
      <c r="B14" s="150" t="s">
        <v>669</v>
      </c>
      <c r="C14" s="144"/>
      <c r="D14" s="144"/>
      <c r="E14" s="148"/>
      <c r="F14" s="148"/>
      <c r="G14" s="148"/>
      <c r="H14" s="149"/>
      <c r="I14" s="151"/>
      <c r="J14" s="41"/>
      <c r="K14" s="41"/>
      <c r="L14" s="41"/>
      <c r="M14" s="41"/>
      <c r="N14" s="41"/>
      <c r="O14" s="41"/>
      <c r="P14" s="41"/>
      <c r="Q14" s="41"/>
      <c r="R14" s="41"/>
      <c r="S14" s="41"/>
      <c r="T14" s="41"/>
      <c r="U14" s="41"/>
      <c r="V14" s="41"/>
      <c r="W14" s="41"/>
      <c r="X14" s="41"/>
      <c r="Y14" s="144"/>
      <c r="Z14" s="144"/>
    </row>
    <row r="15" spans="1:26" ht="11.5" x14ac:dyDescent="0.25">
      <c r="A15" s="108"/>
      <c r="B15" s="150" t="s">
        <v>670</v>
      </c>
      <c r="C15" s="144"/>
      <c r="D15" s="144"/>
      <c r="E15" s="148"/>
      <c r="F15" s="148"/>
      <c r="G15" s="148"/>
      <c r="H15" s="152"/>
      <c r="I15" s="153"/>
      <c r="J15" s="154"/>
      <c r="K15" s="154"/>
      <c r="L15" s="155"/>
      <c r="M15" s="154"/>
      <c r="N15" s="155"/>
      <c r="O15" s="154"/>
      <c r="P15" s="154"/>
      <c r="Q15" s="154"/>
      <c r="R15" s="41"/>
      <c r="S15" s="41"/>
      <c r="T15" s="41"/>
      <c r="U15" s="41"/>
      <c r="V15" s="41"/>
      <c r="W15" s="41"/>
      <c r="X15" s="41"/>
      <c r="Y15" s="144"/>
      <c r="Z15" s="144"/>
    </row>
    <row r="16" spans="1:26" ht="11.5" x14ac:dyDescent="0.25">
      <c r="B16" s="150" t="s">
        <v>671</v>
      </c>
      <c r="C16" s="144" t="s">
        <v>200</v>
      </c>
      <c r="D16" s="144" t="s">
        <v>200</v>
      </c>
      <c r="E16" s="148">
        <v>100107610.0000001</v>
      </c>
      <c r="F16" s="148">
        <v>72658103.338000074</v>
      </c>
      <c r="G16" s="41" t="s">
        <v>200</v>
      </c>
      <c r="H16" s="41" t="s">
        <v>200</v>
      </c>
      <c r="I16" s="148">
        <v>19327776.262700018</v>
      </c>
      <c r="J16" s="156">
        <v>14028100.011467673</v>
      </c>
      <c r="K16" s="157" t="s">
        <v>200</v>
      </c>
      <c r="L16" s="157" t="s">
        <v>200</v>
      </c>
      <c r="M16" s="157" t="s">
        <v>200</v>
      </c>
      <c r="N16" s="157" t="s">
        <v>200</v>
      </c>
      <c r="O16" s="157" t="s">
        <v>865</v>
      </c>
      <c r="P16" s="157" t="s">
        <v>672</v>
      </c>
      <c r="Q16" s="41" t="s">
        <v>38</v>
      </c>
      <c r="R16" s="41" t="s">
        <v>673</v>
      </c>
      <c r="S16" s="41" t="s">
        <v>40</v>
      </c>
      <c r="T16" s="41" t="s">
        <v>41</v>
      </c>
      <c r="U16" s="40" t="s">
        <v>130</v>
      </c>
      <c r="V16" s="40" t="s">
        <v>130</v>
      </c>
      <c r="W16" s="40" t="s">
        <v>200</v>
      </c>
      <c r="X16" s="41" t="s">
        <v>200</v>
      </c>
      <c r="Y16" s="144"/>
      <c r="Z16" s="144"/>
    </row>
    <row r="17" spans="2:26" ht="11.5" x14ac:dyDescent="0.25">
      <c r="B17" s="150" t="s">
        <v>674</v>
      </c>
      <c r="C17" s="144"/>
      <c r="D17" s="144"/>
      <c r="E17" s="148"/>
      <c r="F17" s="148"/>
      <c r="G17" s="148"/>
      <c r="H17" s="149"/>
      <c r="I17" s="148"/>
      <c r="J17" s="149"/>
      <c r="K17" s="41"/>
      <c r="L17" s="41"/>
      <c r="M17" s="41"/>
      <c r="N17" s="41"/>
      <c r="O17" s="41"/>
      <c r="P17" s="41"/>
      <c r="Q17" s="158"/>
      <c r="R17" s="158"/>
      <c r="S17" s="41"/>
      <c r="T17" s="41"/>
      <c r="U17" s="158"/>
      <c r="V17" s="41"/>
      <c r="W17" s="41"/>
      <c r="X17" s="41"/>
      <c r="Y17" s="144"/>
      <c r="Z17" s="144"/>
    </row>
    <row r="18" spans="2:26" ht="12.75" customHeight="1" x14ac:dyDescent="0.25">
      <c r="B18" s="150" t="s">
        <v>675</v>
      </c>
      <c r="C18" s="144"/>
      <c r="D18" s="144"/>
      <c r="E18" s="148"/>
      <c r="F18" s="148"/>
      <c r="G18" s="148"/>
      <c r="H18" s="152"/>
      <c r="I18" s="148"/>
      <c r="J18" s="152"/>
      <c r="K18" s="154"/>
      <c r="L18" s="155"/>
      <c r="M18" s="154"/>
      <c r="N18" s="155"/>
      <c r="O18" s="154"/>
      <c r="P18" s="154"/>
      <c r="Q18" s="158"/>
      <c r="R18" s="158"/>
      <c r="S18" s="41"/>
      <c r="T18" s="41"/>
      <c r="U18" s="158"/>
      <c r="V18" s="41"/>
      <c r="W18" s="41"/>
      <c r="X18" s="41"/>
      <c r="Y18" s="144"/>
      <c r="Z18" s="144"/>
    </row>
    <row r="19" spans="2:26" ht="12.75" customHeight="1" x14ac:dyDescent="0.25">
      <c r="B19" s="150" t="s">
        <v>676</v>
      </c>
      <c r="C19" s="144"/>
      <c r="D19" s="144"/>
      <c r="E19" s="148"/>
      <c r="F19" s="159"/>
      <c r="G19" s="148"/>
      <c r="H19" s="149"/>
      <c r="I19" s="148"/>
      <c r="J19" s="149"/>
      <c r="K19" s="41"/>
      <c r="L19" s="41"/>
      <c r="M19" s="41"/>
      <c r="N19" s="41"/>
      <c r="O19" s="41"/>
      <c r="P19" s="41"/>
      <c r="Q19" s="158"/>
      <c r="R19" s="158"/>
      <c r="S19" s="41"/>
      <c r="T19" s="41"/>
      <c r="U19" s="158"/>
      <c r="V19" s="41"/>
      <c r="W19" s="41"/>
      <c r="X19" s="41"/>
      <c r="Y19" s="144"/>
      <c r="Z19" s="144"/>
    </row>
    <row r="20" spans="2:26" ht="36.75" customHeight="1" x14ac:dyDescent="0.25">
      <c r="B20" s="150" t="s">
        <v>677</v>
      </c>
      <c r="C20" s="144" t="s">
        <v>200</v>
      </c>
      <c r="D20" s="144" t="s">
        <v>200</v>
      </c>
      <c r="E20" s="159">
        <v>19530000</v>
      </c>
      <c r="F20" s="148">
        <v>14174874</v>
      </c>
      <c r="G20" s="41" t="s">
        <v>200</v>
      </c>
      <c r="H20" s="41" t="s">
        <v>200</v>
      </c>
      <c r="I20" s="148">
        <v>12288666.6</v>
      </c>
      <c r="J20" s="148">
        <v>8919114.2182800006</v>
      </c>
      <c r="K20" s="157" t="s">
        <v>200</v>
      </c>
      <c r="L20" s="157" t="s">
        <v>200</v>
      </c>
      <c r="M20" s="157" t="s">
        <v>200</v>
      </c>
      <c r="N20" s="157" t="s">
        <v>200</v>
      </c>
      <c r="O20" s="157" t="s">
        <v>865</v>
      </c>
      <c r="P20" s="157" t="s">
        <v>672</v>
      </c>
      <c r="Q20" s="41" t="s">
        <v>38</v>
      </c>
      <c r="R20" s="41" t="s">
        <v>673</v>
      </c>
      <c r="S20" s="41" t="s">
        <v>40</v>
      </c>
      <c r="T20" s="41" t="s">
        <v>41</v>
      </c>
      <c r="U20" s="40" t="s">
        <v>130</v>
      </c>
      <c r="V20" s="40" t="s">
        <v>130</v>
      </c>
      <c r="W20" s="40" t="s">
        <v>200</v>
      </c>
      <c r="X20" s="41" t="s">
        <v>200</v>
      </c>
      <c r="Y20" s="144"/>
      <c r="Z20" s="144"/>
    </row>
    <row r="21" spans="2:26" ht="12.75" customHeight="1" x14ac:dyDescent="0.25">
      <c r="B21" s="160" t="s">
        <v>678</v>
      </c>
      <c r="C21" s="144"/>
      <c r="D21" s="144"/>
      <c r="E21" s="161"/>
      <c r="F21" s="148"/>
      <c r="G21" s="148"/>
      <c r="H21" s="149"/>
      <c r="I21" s="148"/>
      <c r="J21" s="149"/>
      <c r="K21" s="41"/>
      <c r="L21" s="41"/>
      <c r="M21" s="41"/>
      <c r="N21" s="41"/>
      <c r="O21" s="41"/>
      <c r="P21" s="41"/>
      <c r="Q21" s="158"/>
      <c r="R21" s="158"/>
      <c r="S21" s="41"/>
      <c r="T21" s="41"/>
      <c r="U21" s="158"/>
      <c r="V21" s="41"/>
      <c r="W21" s="41"/>
      <c r="X21" s="41"/>
      <c r="Y21" s="144"/>
      <c r="Z21" s="144"/>
    </row>
    <row r="22" spans="2:26" ht="12.75" customHeight="1" x14ac:dyDescent="0.25">
      <c r="B22" s="160" t="s">
        <v>679</v>
      </c>
      <c r="C22" s="144"/>
      <c r="D22" s="144"/>
      <c r="E22" s="161"/>
      <c r="F22" s="148"/>
      <c r="G22" s="148"/>
      <c r="H22" s="149"/>
      <c r="I22" s="148"/>
      <c r="J22" s="149"/>
      <c r="K22" s="41"/>
      <c r="L22" s="41"/>
      <c r="M22" s="41"/>
      <c r="N22" s="41"/>
      <c r="O22" s="41"/>
      <c r="P22" s="41"/>
      <c r="Q22" s="41"/>
      <c r="R22" s="41"/>
      <c r="S22" s="41"/>
      <c r="T22" s="41"/>
      <c r="U22" s="41"/>
      <c r="V22" s="41"/>
      <c r="W22" s="41"/>
      <c r="X22" s="41"/>
      <c r="Y22" s="144"/>
      <c r="Z22" s="144"/>
    </row>
    <row r="23" spans="2:26" ht="38.25" customHeight="1" x14ac:dyDescent="0.25">
      <c r="B23" s="160" t="s">
        <v>680</v>
      </c>
      <c r="C23" s="144" t="s">
        <v>200</v>
      </c>
      <c r="D23" s="144" t="s">
        <v>200</v>
      </c>
      <c r="E23" s="162">
        <v>29248571.43</v>
      </c>
      <c r="F23" s="148">
        <v>21228613.143893998</v>
      </c>
      <c r="G23" s="41" t="s">
        <v>200</v>
      </c>
      <c r="H23" s="41" t="s">
        <v>200</v>
      </c>
      <c r="I23" s="148">
        <v>10881346.029999999</v>
      </c>
      <c r="J23" s="148">
        <v>7897680.9485739991</v>
      </c>
      <c r="K23" s="157" t="s">
        <v>200</v>
      </c>
      <c r="L23" s="157" t="s">
        <v>200</v>
      </c>
      <c r="M23" s="157" t="s">
        <v>200</v>
      </c>
      <c r="N23" s="157" t="s">
        <v>200</v>
      </c>
      <c r="O23" s="157" t="s">
        <v>865</v>
      </c>
      <c r="P23" s="157" t="s">
        <v>672</v>
      </c>
      <c r="Q23" s="41" t="s">
        <v>38</v>
      </c>
      <c r="R23" s="41" t="s">
        <v>673</v>
      </c>
      <c r="S23" s="41" t="s">
        <v>198</v>
      </c>
      <c r="T23" s="41" t="s">
        <v>681</v>
      </c>
      <c r="U23" s="40" t="s">
        <v>130</v>
      </c>
      <c r="V23" s="40" t="s">
        <v>130</v>
      </c>
      <c r="W23" s="40" t="s">
        <v>200</v>
      </c>
      <c r="X23" s="41" t="s">
        <v>200</v>
      </c>
      <c r="Y23" s="144"/>
      <c r="Z23" s="144"/>
    </row>
    <row r="24" spans="2:26" ht="12.75" customHeight="1" x14ac:dyDescent="0.25">
      <c r="B24" s="160" t="s">
        <v>682</v>
      </c>
      <c r="C24" s="144"/>
      <c r="D24" s="144"/>
      <c r="E24" s="161"/>
      <c r="F24" s="148"/>
      <c r="G24" s="148"/>
      <c r="H24" s="149"/>
      <c r="I24" s="148"/>
      <c r="J24" s="149"/>
      <c r="K24" s="41"/>
      <c r="L24" s="41"/>
      <c r="M24" s="41"/>
      <c r="N24" s="41"/>
      <c r="O24" s="41"/>
      <c r="P24" s="41"/>
      <c r="Q24" s="41"/>
      <c r="R24" s="41"/>
      <c r="S24" s="41"/>
      <c r="T24" s="41"/>
      <c r="U24" s="41"/>
      <c r="V24" s="41"/>
      <c r="W24" s="41"/>
      <c r="X24" s="41"/>
      <c r="Y24" s="144"/>
      <c r="Z24" s="144"/>
    </row>
    <row r="25" spans="2:26" ht="12.75" customHeight="1" x14ac:dyDescent="0.25">
      <c r="B25" s="160" t="s">
        <v>683</v>
      </c>
      <c r="C25" s="144"/>
      <c r="D25" s="144"/>
      <c r="E25" s="161"/>
      <c r="F25" s="148"/>
      <c r="G25" s="148"/>
      <c r="H25" s="149"/>
      <c r="I25" s="148"/>
      <c r="J25" s="149"/>
      <c r="K25" s="41"/>
      <c r="L25" s="41"/>
      <c r="M25" s="41"/>
      <c r="N25" s="41"/>
      <c r="O25" s="41"/>
      <c r="P25" s="41"/>
      <c r="Q25" s="41"/>
      <c r="R25" s="41"/>
      <c r="S25" s="41"/>
      <c r="T25" s="41"/>
      <c r="U25" s="41"/>
      <c r="V25" s="41"/>
      <c r="W25" s="41"/>
      <c r="X25" s="41"/>
      <c r="Y25" s="144"/>
      <c r="Z25" s="144"/>
    </row>
    <row r="26" spans="2:26" ht="12.75" customHeight="1" x14ac:dyDescent="0.25">
      <c r="B26" s="160" t="s">
        <v>684</v>
      </c>
      <c r="C26" s="144"/>
      <c r="D26" s="144"/>
      <c r="E26" s="163"/>
      <c r="F26" s="163"/>
      <c r="G26" s="163"/>
      <c r="H26" s="164"/>
      <c r="I26" s="163"/>
      <c r="J26" s="164"/>
      <c r="K26" s="164"/>
      <c r="L26" s="164"/>
      <c r="M26" s="164"/>
      <c r="N26" s="164"/>
      <c r="O26" s="164"/>
      <c r="P26" s="164"/>
      <c r="Q26" s="41"/>
      <c r="R26" s="41"/>
      <c r="S26" s="41"/>
      <c r="T26" s="41"/>
      <c r="U26" s="41"/>
      <c r="V26" s="41"/>
      <c r="W26" s="41"/>
      <c r="X26" s="41"/>
      <c r="Y26" s="144"/>
      <c r="Z26" s="144"/>
    </row>
    <row r="27" spans="2:26" ht="12.75" customHeight="1" x14ac:dyDescent="0.25">
      <c r="B27" s="160" t="s">
        <v>685</v>
      </c>
      <c r="C27" s="144" t="s">
        <v>200</v>
      </c>
      <c r="D27" s="144" t="s">
        <v>200</v>
      </c>
      <c r="E27" s="162">
        <v>12725000</v>
      </c>
      <c r="F27" s="148">
        <v>9235805</v>
      </c>
      <c r="G27" s="41" t="s">
        <v>200</v>
      </c>
      <c r="H27" s="41" t="s">
        <v>200</v>
      </c>
      <c r="I27" s="148">
        <v>3817500</v>
      </c>
      <c r="J27" s="148">
        <v>2770741.5</v>
      </c>
      <c r="K27" s="157" t="s">
        <v>200</v>
      </c>
      <c r="L27" s="157" t="s">
        <v>200</v>
      </c>
      <c r="M27" s="157" t="s">
        <v>200</v>
      </c>
      <c r="N27" s="157" t="s">
        <v>200</v>
      </c>
      <c r="O27" s="157" t="s">
        <v>865</v>
      </c>
      <c r="P27" s="157" t="s">
        <v>672</v>
      </c>
      <c r="Q27" s="41" t="s">
        <v>38</v>
      </c>
      <c r="R27" s="41" t="s">
        <v>673</v>
      </c>
      <c r="S27" s="41" t="s">
        <v>40</v>
      </c>
      <c r="T27" s="41" t="s">
        <v>41</v>
      </c>
      <c r="U27" s="165" t="s">
        <v>130</v>
      </c>
      <c r="V27" s="40" t="s">
        <v>130</v>
      </c>
      <c r="W27" s="40" t="s">
        <v>200</v>
      </c>
      <c r="X27" s="41" t="s">
        <v>200</v>
      </c>
      <c r="Y27" s="144"/>
      <c r="Z27" s="144"/>
    </row>
    <row r="28" spans="2:26" ht="12.75" customHeight="1" x14ac:dyDescent="0.25">
      <c r="B28" s="160" t="s">
        <v>686</v>
      </c>
      <c r="C28" s="144" t="s">
        <v>200</v>
      </c>
      <c r="D28" s="144" t="s">
        <v>200</v>
      </c>
      <c r="E28" s="162">
        <v>800000</v>
      </c>
      <c r="F28" s="148">
        <v>580640</v>
      </c>
      <c r="G28" s="41" t="s">
        <v>200</v>
      </c>
      <c r="H28" s="41" t="s">
        <v>200</v>
      </c>
      <c r="I28" s="148">
        <v>106480</v>
      </c>
      <c r="J28" s="148">
        <v>77283.183999999994</v>
      </c>
      <c r="K28" s="157" t="s">
        <v>200</v>
      </c>
      <c r="L28" s="157" t="s">
        <v>200</v>
      </c>
      <c r="M28" s="157" t="s">
        <v>200</v>
      </c>
      <c r="N28" s="157" t="s">
        <v>200</v>
      </c>
      <c r="O28" s="157" t="s">
        <v>865</v>
      </c>
      <c r="P28" s="157" t="s">
        <v>672</v>
      </c>
      <c r="Q28" s="41" t="s">
        <v>38</v>
      </c>
      <c r="R28" s="41" t="s">
        <v>673</v>
      </c>
      <c r="S28" s="41" t="s">
        <v>40</v>
      </c>
      <c r="T28" s="41" t="s">
        <v>41</v>
      </c>
      <c r="U28" s="165" t="s">
        <v>42</v>
      </c>
      <c r="V28" s="40" t="s">
        <v>130</v>
      </c>
      <c r="W28" s="40" t="s">
        <v>200</v>
      </c>
      <c r="X28" s="41" t="s">
        <v>200</v>
      </c>
      <c r="Y28" s="144"/>
      <c r="Z28" s="144"/>
    </row>
    <row r="29" spans="2:26" ht="25.5" customHeight="1" x14ac:dyDescent="0.25">
      <c r="B29" s="160" t="s">
        <v>687</v>
      </c>
      <c r="C29" s="144" t="s">
        <v>200</v>
      </c>
      <c r="D29" s="144" t="s">
        <v>200</v>
      </c>
      <c r="E29" s="148">
        <v>158616665.99999994</v>
      </c>
      <c r="F29" s="148">
        <v>115123976.18279995</v>
      </c>
      <c r="G29" s="41" t="s">
        <v>200</v>
      </c>
      <c r="H29" s="41" t="s">
        <v>200</v>
      </c>
      <c r="I29" s="148">
        <v>55322320.767479979</v>
      </c>
      <c r="J29" s="148">
        <v>40152940.413036965</v>
      </c>
      <c r="K29" s="157" t="s">
        <v>200</v>
      </c>
      <c r="L29" s="157" t="s">
        <v>200</v>
      </c>
      <c r="M29" s="157" t="s">
        <v>200</v>
      </c>
      <c r="N29" s="157" t="s">
        <v>200</v>
      </c>
      <c r="O29" s="157" t="s">
        <v>865</v>
      </c>
      <c r="P29" s="157" t="s">
        <v>672</v>
      </c>
      <c r="Q29" s="41" t="s">
        <v>38</v>
      </c>
      <c r="R29" s="41" t="s">
        <v>673</v>
      </c>
      <c r="S29" s="41" t="s">
        <v>40</v>
      </c>
      <c r="T29" s="41" t="s">
        <v>41</v>
      </c>
      <c r="U29" s="40" t="s">
        <v>130</v>
      </c>
      <c r="V29" s="40" t="s">
        <v>130</v>
      </c>
      <c r="W29" s="40" t="s">
        <v>200</v>
      </c>
      <c r="X29" s="41" t="s">
        <v>200</v>
      </c>
      <c r="Y29" s="144"/>
      <c r="Z29" s="144"/>
    </row>
    <row r="30" spans="2:26" ht="11.5" x14ac:dyDescent="0.25">
      <c r="B30" s="160" t="s">
        <v>688</v>
      </c>
      <c r="C30" s="144"/>
      <c r="D30" s="144"/>
      <c r="E30" s="148"/>
      <c r="F30" s="148"/>
      <c r="G30" s="148"/>
      <c r="H30" s="149"/>
      <c r="I30" s="148"/>
      <c r="J30" s="149"/>
      <c r="K30" s="41"/>
      <c r="L30" s="41"/>
      <c r="M30" s="41"/>
      <c r="N30" s="41"/>
      <c r="O30" s="41"/>
      <c r="P30" s="41"/>
      <c r="Q30" s="41"/>
      <c r="R30" s="41"/>
      <c r="S30" s="41"/>
      <c r="T30" s="41"/>
      <c r="U30" s="165"/>
      <c r="V30" s="41"/>
      <c r="W30" s="41"/>
      <c r="X30" s="41"/>
      <c r="Y30" s="144"/>
      <c r="Z30" s="144"/>
    </row>
    <row r="31" spans="2:26" ht="23" x14ac:dyDescent="0.25">
      <c r="B31" s="126" t="s">
        <v>689</v>
      </c>
      <c r="C31" s="144" t="s">
        <v>200</v>
      </c>
      <c r="D31" s="144" t="s">
        <v>200</v>
      </c>
      <c r="E31" s="148">
        <v>13000000</v>
      </c>
      <c r="F31" s="148">
        <v>9435400</v>
      </c>
      <c r="G31" s="41" t="s">
        <v>200</v>
      </c>
      <c r="H31" s="41" t="s">
        <v>200</v>
      </c>
      <c r="I31" s="148">
        <v>1110000</v>
      </c>
      <c r="J31" s="148">
        <v>805638</v>
      </c>
      <c r="K31" s="41" t="s">
        <v>200</v>
      </c>
      <c r="L31" s="41" t="s">
        <v>200</v>
      </c>
      <c r="M31" s="41" t="s">
        <v>200</v>
      </c>
      <c r="N31" s="41" t="s">
        <v>200</v>
      </c>
      <c r="O31" s="157" t="s">
        <v>865</v>
      </c>
      <c r="P31" s="157" t="s">
        <v>672</v>
      </c>
      <c r="Q31" s="41" t="s">
        <v>38</v>
      </c>
      <c r="R31" s="41" t="s">
        <v>673</v>
      </c>
      <c r="S31" s="41" t="s">
        <v>40</v>
      </c>
      <c r="T31" s="41" t="s">
        <v>41</v>
      </c>
      <c r="U31" s="165" t="s">
        <v>130</v>
      </c>
      <c r="V31" s="40" t="s">
        <v>130</v>
      </c>
      <c r="W31" s="40" t="s">
        <v>200</v>
      </c>
      <c r="X31" s="41" t="s">
        <v>200</v>
      </c>
      <c r="Y31" s="144"/>
      <c r="Z31" s="144"/>
    </row>
    <row r="32" spans="2:26" ht="23" x14ac:dyDescent="0.25">
      <c r="B32" s="126" t="s">
        <v>690</v>
      </c>
      <c r="C32" s="144" t="s">
        <v>200</v>
      </c>
      <c r="D32" s="144" t="s">
        <v>200</v>
      </c>
      <c r="E32" s="148">
        <v>265300</v>
      </c>
      <c r="F32" s="148">
        <v>192554.74</v>
      </c>
      <c r="G32" s="41" t="s">
        <v>200</v>
      </c>
      <c r="H32" s="41" t="s">
        <v>200</v>
      </c>
      <c r="I32" s="148">
        <v>26530</v>
      </c>
      <c r="J32" s="148">
        <v>19255.473999999998</v>
      </c>
      <c r="K32" s="41" t="s">
        <v>200</v>
      </c>
      <c r="L32" s="41" t="s">
        <v>200</v>
      </c>
      <c r="M32" s="41" t="s">
        <v>200</v>
      </c>
      <c r="N32" s="41" t="s">
        <v>200</v>
      </c>
      <c r="O32" s="157" t="s">
        <v>865</v>
      </c>
      <c r="P32" s="157" t="s">
        <v>672</v>
      </c>
      <c r="Q32" s="41" t="s">
        <v>38</v>
      </c>
      <c r="R32" s="41" t="s">
        <v>673</v>
      </c>
      <c r="S32" s="41" t="s">
        <v>40</v>
      </c>
      <c r="T32" s="41" t="s">
        <v>41</v>
      </c>
      <c r="U32" s="165" t="s">
        <v>42</v>
      </c>
      <c r="V32" s="40" t="s">
        <v>130</v>
      </c>
      <c r="W32" s="40" t="s">
        <v>200</v>
      </c>
      <c r="X32" s="41" t="s">
        <v>200</v>
      </c>
      <c r="Y32" s="144"/>
      <c r="Z32" s="144"/>
    </row>
    <row r="33" spans="2:26" ht="11.5" x14ac:dyDescent="0.25">
      <c r="B33" s="127" t="s">
        <v>691</v>
      </c>
      <c r="C33" s="144" t="s">
        <v>200</v>
      </c>
      <c r="D33" s="144" t="s">
        <v>200</v>
      </c>
      <c r="E33" s="148">
        <v>12235000</v>
      </c>
      <c r="F33" s="148">
        <v>8880163</v>
      </c>
      <c r="G33" s="41" t="s">
        <v>200</v>
      </c>
      <c r="H33" s="41" t="s">
        <v>200</v>
      </c>
      <c r="I33" s="148">
        <v>435933.05000000005</v>
      </c>
      <c r="J33" s="148">
        <v>316400.20769000001</v>
      </c>
      <c r="K33" s="41" t="s">
        <v>200</v>
      </c>
      <c r="L33" s="41" t="s">
        <v>200</v>
      </c>
      <c r="M33" s="41" t="s">
        <v>200</v>
      </c>
      <c r="N33" s="41" t="s">
        <v>200</v>
      </c>
      <c r="O33" s="157" t="s">
        <v>865</v>
      </c>
      <c r="P33" s="157" t="s">
        <v>672</v>
      </c>
      <c r="Q33" s="41" t="s">
        <v>38</v>
      </c>
      <c r="R33" s="41" t="s">
        <v>673</v>
      </c>
      <c r="S33" s="41" t="s">
        <v>40</v>
      </c>
      <c r="T33" s="41" t="s">
        <v>41</v>
      </c>
      <c r="U33" s="165" t="s">
        <v>130</v>
      </c>
      <c r="V33" s="40" t="s">
        <v>130</v>
      </c>
      <c r="W33" s="40" t="s">
        <v>200</v>
      </c>
      <c r="X33" s="41" t="s">
        <v>200</v>
      </c>
      <c r="Y33" s="144"/>
      <c r="Z33" s="144"/>
    </row>
    <row r="34" spans="2:26" ht="23" x14ac:dyDescent="0.25">
      <c r="B34" s="166" t="s">
        <v>692</v>
      </c>
      <c r="C34" s="144" t="s">
        <v>200</v>
      </c>
      <c r="D34" s="144" t="s">
        <v>200</v>
      </c>
      <c r="E34" s="148">
        <v>31080401.399999999</v>
      </c>
      <c r="F34" s="148">
        <v>22558155.336119998</v>
      </c>
      <c r="G34" s="41" t="s">
        <v>200</v>
      </c>
      <c r="H34" s="41" t="s">
        <v>200</v>
      </c>
      <c r="I34" s="148">
        <v>11891983.18</v>
      </c>
      <c r="J34" s="148">
        <v>8631201.3920440003</v>
      </c>
      <c r="K34" s="157" t="s">
        <v>200</v>
      </c>
      <c r="L34" s="157" t="s">
        <v>200</v>
      </c>
      <c r="M34" s="157" t="s">
        <v>200</v>
      </c>
      <c r="N34" s="157" t="s">
        <v>200</v>
      </c>
      <c r="O34" s="157" t="s">
        <v>865</v>
      </c>
      <c r="P34" s="157" t="s">
        <v>672</v>
      </c>
      <c r="Q34" s="41" t="s">
        <v>38</v>
      </c>
      <c r="R34" s="41" t="s">
        <v>673</v>
      </c>
      <c r="S34" s="41" t="s">
        <v>198</v>
      </c>
      <c r="T34" s="41" t="s">
        <v>681</v>
      </c>
      <c r="U34" s="40" t="s">
        <v>130</v>
      </c>
      <c r="V34" s="40" t="s">
        <v>130</v>
      </c>
      <c r="W34" s="40" t="s">
        <v>200</v>
      </c>
      <c r="X34" s="41" t="s">
        <v>200</v>
      </c>
      <c r="Y34" s="144"/>
      <c r="Z34" s="144"/>
    </row>
    <row r="35" spans="2:26" ht="23" x14ac:dyDescent="0.25">
      <c r="B35" s="167" t="s">
        <v>693</v>
      </c>
      <c r="C35" s="144" t="s">
        <v>200</v>
      </c>
      <c r="D35" s="144" t="s">
        <v>200</v>
      </c>
      <c r="E35" s="148">
        <v>7833905</v>
      </c>
      <c r="F35" s="148">
        <v>5685848.2489999998</v>
      </c>
      <c r="G35" s="41" t="s">
        <v>200</v>
      </c>
      <c r="H35" s="41" t="s">
        <v>200</v>
      </c>
      <c r="I35" s="148">
        <v>7833905</v>
      </c>
      <c r="J35" s="148">
        <v>5685848.2489999998</v>
      </c>
      <c r="K35" s="157" t="s">
        <v>200</v>
      </c>
      <c r="L35" s="157" t="s">
        <v>200</v>
      </c>
      <c r="M35" s="157" t="s">
        <v>200</v>
      </c>
      <c r="N35" s="157" t="s">
        <v>200</v>
      </c>
      <c r="O35" s="157" t="s">
        <v>865</v>
      </c>
      <c r="P35" s="157" t="s">
        <v>672</v>
      </c>
      <c r="Q35" s="41" t="s">
        <v>38</v>
      </c>
      <c r="R35" s="41" t="s">
        <v>673</v>
      </c>
      <c r="S35" s="41" t="s">
        <v>40</v>
      </c>
      <c r="T35" s="41" t="s">
        <v>41</v>
      </c>
      <c r="U35" s="41" t="s">
        <v>130</v>
      </c>
      <c r="V35" s="40" t="s">
        <v>130</v>
      </c>
      <c r="W35" s="40" t="s">
        <v>200</v>
      </c>
      <c r="X35" s="41" t="s">
        <v>200</v>
      </c>
      <c r="Y35" s="144"/>
      <c r="Z35" s="144"/>
    </row>
    <row r="36" spans="2:26" ht="13.5" customHeight="1" x14ac:dyDescent="0.25">
      <c r="B36" s="167" t="s">
        <v>694</v>
      </c>
      <c r="C36" s="144" t="s">
        <v>200</v>
      </c>
      <c r="D36" s="144" t="s">
        <v>200</v>
      </c>
      <c r="E36" s="148">
        <v>130000</v>
      </c>
      <c r="F36" s="148">
        <v>94354</v>
      </c>
      <c r="G36" s="41" t="s">
        <v>200</v>
      </c>
      <c r="H36" s="41" t="s">
        <v>200</v>
      </c>
      <c r="I36" s="148">
        <v>130000</v>
      </c>
      <c r="J36" s="148">
        <v>94354</v>
      </c>
      <c r="K36" s="157" t="s">
        <v>200</v>
      </c>
      <c r="L36" s="157" t="s">
        <v>200</v>
      </c>
      <c r="M36" s="157" t="s">
        <v>200</v>
      </c>
      <c r="N36" s="157" t="s">
        <v>200</v>
      </c>
      <c r="O36" s="157" t="s">
        <v>865</v>
      </c>
      <c r="P36" s="41" t="s">
        <v>672</v>
      </c>
      <c r="Q36" s="41" t="s">
        <v>38</v>
      </c>
      <c r="R36" s="41" t="s">
        <v>673</v>
      </c>
      <c r="S36" s="41" t="s">
        <v>198</v>
      </c>
      <c r="T36" s="41" t="s">
        <v>41</v>
      </c>
      <c r="U36" s="41" t="s">
        <v>130</v>
      </c>
      <c r="V36" s="40" t="s">
        <v>130</v>
      </c>
      <c r="W36" s="40" t="s">
        <v>200</v>
      </c>
      <c r="X36" s="41" t="s">
        <v>200</v>
      </c>
      <c r="Y36" s="144"/>
      <c r="Z36" s="144"/>
    </row>
    <row r="37" spans="2:26" ht="13.5" customHeight="1" x14ac:dyDescent="0.25">
      <c r="B37" s="168" t="s">
        <v>695</v>
      </c>
      <c r="C37" s="144" t="s">
        <v>200</v>
      </c>
      <c r="D37" s="144" t="s">
        <v>200</v>
      </c>
      <c r="E37" s="148">
        <v>1096381.96</v>
      </c>
      <c r="F37" s="148">
        <v>795754.02656799997</v>
      </c>
      <c r="G37" s="41" t="s">
        <v>200</v>
      </c>
      <c r="H37" s="41" t="s">
        <v>200</v>
      </c>
      <c r="I37" s="148">
        <v>1096381.96</v>
      </c>
      <c r="J37" s="148">
        <v>795754.02656799997</v>
      </c>
      <c r="K37" s="157" t="s">
        <v>200</v>
      </c>
      <c r="L37" s="157" t="s">
        <v>200</v>
      </c>
      <c r="M37" s="157" t="s">
        <v>200</v>
      </c>
      <c r="N37" s="157" t="s">
        <v>200</v>
      </c>
      <c r="O37" s="157" t="s">
        <v>865</v>
      </c>
      <c r="P37" s="157" t="s">
        <v>672</v>
      </c>
      <c r="Q37" s="41" t="s">
        <v>38</v>
      </c>
      <c r="R37" s="41" t="s">
        <v>673</v>
      </c>
      <c r="S37" s="41" t="s">
        <v>198</v>
      </c>
      <c r="T37" s="41" t="s">
        <v>41</v>
      </c>
      <c r="U37" s="41" t="s">
        <v>130</v>
      </c>
      <c r="V37" s="40" t="s">
        <v>130</v>
      </c>
      <c r="W37" s="40" t="s">
        <v>200</v>
      </c>
      <c r="X37" s="41" t="s">
        <v>200</v>
      </c>
      <c r="Y37" s="144"/>
      <c r="Z37" s="144"/>
    </row>
    <row r="38" spans="2:26" ht="13.5" customHeight="1" x14ac:dyDescent="0.25">
      <c r="B38" s="169" t="s">
        <v>696</v>
      </c>
      <c r="C38" s="144"/>
      <c r="D38" s="144"/>
      <c r="E38" s="170">
        <f>SUM(E16:E37)</f>
        <v>386668835.79000002</v>
      </c>
      <c r="F38" s="170">
        <f>SUM(F16:F37)</f>
        <v>280644241.01638204</v>
      </c>
      <c r="G38" s="171"/>
      <c r="H38" s="171"/>
      <c r="I38" s="170">
        <f t="shared" ref="I38:J38" si="0">SUM(I16:I37)</f>
        <v>124268822.85017999</v>
      </c>
      <c r="J38" s="170">
        <f t="shared" si="0"/>
        <v>90194311.624660656</v>
      </c>
      <c r="K38" s="172"/>
      <c r="L38" s="172"/>
      <c r="M38" s="172"/>
      <c r="N38" s="172"/>
      <c r="O38" s="172"/>
      <c r="P38" s="144"/>
      <c r="Q38" s="144"/>
      <c r="R38" s="144"/>
      <c r="S38" s="144"/>
      <c r="T38" s="144"/>
      <c r="U38" s="144"/>
      <c r="V38" s="144"/>
      <c r="W38" s="144"/>
      <c r="X38" s="144"/>
      <c r="Y38" s="144"/>
      <c r="Z38" s="144"/>
    </row>
    <row r="39" spans="2:26" ht="11.5" x14ac:dyDescent="0.25">
      <c r="B39" s="22"/>
      <c r="I39" s="173"/>
    </row>
    <row r="40" spans="2:26" ht="11.5" x14ac:dyDescent="0.25">
      <c r="B40" s="32" t="s">
        <v>411</v>
      </c>
    </row>
    <row r="41" spans="2:26" ht="11.5" x14ac:dyDescent="0.25">
      <c r="B41" s="32" t="s">
        <v>412</v>
      </c>
    </row>
    <row r="42" spans="2:26" ht="12" customHeight="1" x14ac:dyDescent="0.25">
      <c r="B42" s="135" t="s">
        <v>697</v>
      </c>
    </row>
    <row r="43" spans="2:26" ht="12" customHeight="1" x14ac:dyDescent="0.25">
      <c r="B43" s="136" t="s">
        <v>698</v>
      </c>
    </row>
    <row r="44" spans="2:26" ht="12" customHeight="1" x14ac:dyDescent="0.25">
      <c r="B44" s="136" t="s">
        <v>699</v>
      </c>
    </row>
    <row r="45" spans="2:26" ht="12" customHeight="1" x14ac:dyDescent="0.25">
      <c r="B45" s="136" t="s">
        <v>700</v>
      </c>
    </row>
    <row r="46" spans="2:26" ht="12" customHeight="1" x14ac:dyDescent="0.25">
      <c r="B46" s="136" t="s">
        <v>701</v>
      </c>
    </row>
    <row r="47" spans="2:26" ht="12" customHeight="1" x14ac:dyDescent="0.25">
      <c r="B47" s="136" t="s">
        <v>702</v>
      </c>
    </row>
    <row r="48" spans="2:26" ht="12" customHeight="1" x14ac:dyDescent="0.25">
      <c r="B48" s="136" t="s">
        <v>703</v>
      </c>
    </row>
    <row r="49" spans="2:13" ht="12" customHeight="1" x14ac:dyDescent="0.25">
      <c r="B49" s="136" t="s">
        <v>704</v>
      </c>
    </row>
    <row r="50" spans="2:13" ht="12" customHeight="1" x14ac:dyDescent="0.25">
      <c r="B50" s="136" t="s">
        <v>705</v>
      </c>
    </row>
    <row r="51" spans="2:13" ht="12" customHeight="1" x14ac:dyDescent="0.25">
      <c r="B51" s="136" t="s">
        <v>706</v>
      </c>
    </row>
    <row r="52" spans="2:13" ht="12" customHeight="1" x14ac:dyDescent="0.25">
      <c r="B52" s="136" t="s">
        <v>707</v>
      </c>
    </row>
    <row r="53" spans="2:13" ht="12" customHeight="1" x14ac:dyDescent="0.25">
      <c r="B53" s="136" t="s">
        <v>708</v>
      </c>
    </row>
    <row r="54" spans="2:13" ht="12" customHeight="1" x14ac:dyDescent="0.25">
      <c r="B54" s="136" t="s">
        <v>709</v>
      </c>
    </row>
    <row r="55" spans="2:13" ht="12" customHeight="1" x14ac:dyDescent="0.25">
      <c r="B55" s="22"/>
    </row>
    <row r="56" spans="2:13" ht="12" customHeight="1" x14ac:dyDescent="0.25">
      <c r="B56" s="67" t="s">
        <v>425</v>
      </c>
    </row>
    <row r="57" spans="2:13" ht="12" customHeight="1" x14ac:dyDescent="0.25">
      <c r="B57" s="68" t="s">
        <v>861</v>
      </c>
    </row>
    <row r="58" spans="2:13" ht="12" customHeight="1" x14ac:dyDescent="0.25">
      <c r="B58" s="68" t="s">
        <v>649</v>
      </c>
    </row>
    <row r="59" spans="2:13" ht="12" customHeight="1" x14ac:dyDescent="0.25">
      <c r="B59" s="68" t="s">
        <v>650</v>
      </c>
    </row>
    <row r="60" spans="2:13" ht="12" customHeight="1" x14ac:dyDescent="0.25">
      <c r="B60" s="68" t="s">
        <v>714</v>
      </c>
    </row>
    <row r="61" spans="2:13" ht="12" customHeight="1" x14ac:dyDescent="0.25">
      <c r="B61" s="68"/>
    </row>
    <row r="62" spans="2:13" ht="66.75" customHeight="1" x14ac:dyDescent="0.25">
      <c r="B62" s="138"/>
      <c r="C62" s="138"/>
      <c r="D62" s="138"/>
      <c r="E62" s="138"/>
      <c r="F62" s="138"/>
      <c r="G62" s="138"/>
      <c r="H62" s="138"/>
      <c r="I62" s="138"/>
      <c r="J62" s="138"/>
      <c r="K62" s="138"/>
      <c r="L62" s="138"/>
      <c r="M62" s="138"/>
    </row>
    <row r="63" spans="2:13" ht="66.75" customHeight="1" x14ac:dyDescent="0.25">
      <c r="B63" s="139"/>
      <c r="C63" s="139"/>
      <c r="D63" s="139"/>
      <c r="E63" s="139"/>
      <c r="F63" s="139"/>
      <c r="G63" s="139"/>
      <c r="H63" s="139"/>
      <c r="I63" s="139"/>
      <c r="J63" s="139"/>
      <c r="K63" s="139"/>
      <c r="L63" s="139"/>
      <c r="M63" s="139"/>
    </row>
    <row r="64" spans="2:13" ht="12" customHeight="1" x14ac:dyDescent="0.35">
      <c r="B64" s="100"/>
      <c r="C64" s="72"/>
      <c r="D64" s="73"/>
      <c r="E64" s="73"/>
      <c r="F64" s="73"/>
      <c r="G64" s="73"/>
      <c r="H64" s="73"/>
      <c r="I64" s="73"/>
      <c r="J64" s="73"/>
      <c r="K64" s="73"/>
      <c r="L64" s="73"/>
      <c r="M64" s="73"/>
    </row>
    <row r="65" spans="2:13" ht="12" customHeight="1" x14ac:dyDescent="0.35">
      <c r="B65" s="100"/>
      <c r="C65" s="72"/>
      <c r="D65" s="73"/>
      <c r="E65" s="73"/>
      <c r="F65" s="73"/>
      <c r="G65" s="73"/>
      <c r="H65" s="73"/>
      <c r="I65" s="73"/>
      <c r="J65" s="73"/>
      <c r="K65" s="73"/>
      <c r="L65" s="73"/>
      <c r="M65" s="73"/>
    </row>
    <row r="66" spans="2:13" ht="33" customHeight="1" x14ac:dyDescent="0.35">
      <c r="B66" s="100"/>
      <c r="C66" s="72"/>
      <c r="D66" s="73"/>
      <c r="E66" s="73"/>
      <c r="F66" s="73"/>
      <c r="G66" s="73"/>
      <c r="H66" s="73"/>
      <c r="I66" s="73"/>
      <c r="J66" s="73"/>
      <c r="K66" s="73"/>
      <c r="L66" s="73"/>
      <c r="M66" s="73"/>
    </row>
    <row r="67" spans="2:13" ht="54" customHeight="1" x14ac:dyDescent="0.25">
      <c r="B67" s="139"/>
      <c r="C67" s="139"/>
      <c r="D67" s="139"/>
      <c r="E67" s="139"/>
      <c r="F67" s="139"/>
      <c r="G67" s="139"/>
      <c r="H67" s="139"/>
      <c r="I67" s="139"/>
      <c r="J67" s="139"/>
      <c r="K67" s="139"/>
      <c r="L67" s="139"/>
      <c r="M67" s="139"/>
    </row>
    <row r="68" spans="2:13" ht="54.75" customHeight="1" x14ac:dyDescent="0.25">
      <c r="B68" s="139"/>
      <c r="C68" s="139"/>
      <c r="D68" s="139"/>
      <c r="E68" s="139"/>
      <c r="F68" s="139"/>
      <c r="G68" s="139"/>
      <c r="H68" s="139"/>
      <c r="I68" s="139"/>
      <c r="J68" s="139"/>
      <c r="K68" s="139"/>
      <c r="L68" s="139"/>
      <c r="M68" s="139"/>
    </row>
    <row r="69" spans="2:13" ht="27" customHeight="1" x14ac:dyDescent="0.35">
      <c r="B69" s="140"/>
      <c r="C69" s="140"/>
      <c r="D69" s="140"/>
      <c r="E69" s="140"/>
      <c r="F69" s="140"/>
      <c r="G69" s="140"/>
      <c r="H69" s="140"/>
      <c r="I69" s="140"/>
      <c r="J69" s="140"/>
      <c r="K69" s="140"/>
      <c r="L69" s="140"/>
      <c r="M69" s="73"/>
    </row>
    <row r="70" spans="2:13" ht="12" customHeight="1" x14ac:dyDescent="0.35">
      <c r="B70" s="141"/>
      <c r="C70" s="142"/>
      <c r="D70" s="70"/>
      <c r="E70" s="70"/>
      <c r="F70" s="70"/>
      <c r="G70" s="70"/>
      <c r="H70" s="70"/>
      <c r="I70" s="70"/>
      <c r="J70" s="70"/>
      <c r="K70" s="70"/>
      <c r="L70" s="70"/>
      <c r="M70" s="73"/>
    </row>
  </sheetData>
  <mergeCells count="5">
    <mergeCell ref="B69:L69"/>
    <mergeCell ref="B62:M62"/>
    <mergeCell ref="B63:M63"/>
    <mergeCell ref="B67:M67"/>
    <mergeCell ref="B68:M68"/>
  </mergeCells>
  <hyperlinks>
    <hyperlink ref="B5" location="'Index sheet'!A1" display="Back to index" xr:uid="{00000000-0004-0000-0300-000000000000}"/>
  </hyperlinks>
  <pageMargins left="0.25" right="0.25" top="0.75" bottom="0.75" header="0.3" footer="0.3"/>
  <pageSetup paperSize="8" scale="63" fitToHeight="0" orientation="landscape" r:id="rId1"/>
  <ignoredErrors>
    <ignoredError sqref="B39:B56 A1:A12 B1:Z6 A35:A38 G14 K17:P19 K21:P22 K30:P30 C40:Z41 P38:Z38 W17:Z19 Y16:Z16 W21:Z22 Y20:Z20 W30:Z30 Y29:Z29 I14:Z15 Y35:Z37 C10:Z11 C7:N7 C8:J8 C9:F9 H9:J9 L8:Z9 B8:B11 A14:A30 K24:P26 W24:Z26 Y23:Z23 Y28:Z28 Y27:Z27 A39:A41 C39:H39 J39:Z3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Z28"/>
  <sheetViews>
    <sheetView showGridLines="0" zoomScaleNormal="100" workbookViewId="0">
      <selection activeCell="F5" sqref="A1:XFD1048576"/>
    </sheetView>
  </sheetViews>
  <sheetFormatPr defaultColWidth="9.1796875" defaultRowHeight="12" customHeight="1" x14ac:dyDescent="0.25"/>
  <cols>
    <col min="1" max="1" width="2.26953125" style="20" customWidth="1"/>
    <col min="2" max="7" width="15.81640625" style="20" customWidth="1"/>
    <col min="8" max="8" width="15.1796875" style="20" customWidth="1"/>
    <col min="9" max="11" width="15.81640625" style="20" customWidth="1"/>
    <col min="12" max="12" width="19.1796875" style="20" customWidth="1"/>
    <col min="13" max="14" width="15.81640625" style="20" customWidth="1"/>
    <col min="15" max="15" width="20.453125" style="20" customWidth="1"/>
    <col min="16" max="16" width="9.1796875" style="20" customWidth="1"/>
    <col min="17" max="16384" width="9.1796875" style="20"/>
  </cols>
  <sheetData>
    <row r="1" spans="2:26" s="174" customFormat="1" ht="16" customHeight="1" x14ac:dyDescent="0.35">
      <c r="B1" s="19" t="s">
        <v>715</v>
      </c>
      <c r="C1" s="19"/>
      <c r="D1" s="19"/>
    </row>
    <row r="2" spans="2:26" s="174" customFormat="1" ht="15" customHeight="1" x14ac:dyDescent="0.35">
      <c r="B2" s="19" t="s">
        <v>716</v>
      </c>
      <c r="C2" s="19"/>
      <c r="D2" s="19"/>
      <c r="E2" s="19"/>
      <c r="F2" s="19"/>
      <c r="G2" s="19"/>
      <c r="H2" s="19"/>
      <c r="I2" s="20" t="s">
        <v>16</v>
      </c>
      <c r="J2" s="19"/>
      <c r="K2" s="19"/>
      <c r="L2" s="19"/>
    </row>
    <row r="3" spans="2:26" ht="16" customHeight="1" x14ac:dyDescent="0.25">
      <c r="B3" s="23" t="s">
        <v>18</v>
      </c>
      <c r="C3" s="24">
        <v>0.74680000000000002</v>
      </c>
    </row>
    <row r="4" spans="2:26" ht="16" customHeight="1" x14ac:dyDescent="0.25">
      <c r="B4" s="23"/>
      <c r="C4" s="23"/>
    </row>
    <row r="5" spans="2:26" ht="11.5" x14ac:dyDescent="0.25">
      <c r="B5" s="25" t="s">
        <v>19</v>
      </c>
      <c r="C5" s="175"/>
      <c r="D5" s="176"/>
      <c r="E5" s="177"/>
    </row>
    <row r="6" spans="2:26" ht="11.5" x14ac:dyDescent="0.25">
      <c r="B6" s="22"/>
      <c r="C6" s="22"/>
      <c r="D6" s="22"/>
    </row>
    <row r="7" spans="2:26" ht="36.75" customHeight="1" x14ac:dyDescent="0.25">
      <c r="B7" s="27" t="s">
        <v>717</v>
      </c>
      <c r="C7" s="27" t="s">
        <v>718</v>
      </c>
      <c r="D7" s="178" t="s">
        <v>719</v>
      </c>
      <c r="E7" s="179" t="s">
        <v>720</v>
      </c>
      <c r="F7" s="180"/>
      <c r="G7" s="180"/>
      <c r="H7" s="180"/>
      <c r="I7" s="181" t="s">
        <v>721</v>
      </c>
      <c r="J7" s="182"/>
      <c r="K7" s="27" t="s">
        <v>722</v>
      </c>
      <c r="L7" s="27" t="s">
        <v>723</v>
      </c>
      <c r="M7" s="27" t="s">
        <v>28</v>
      </c>
      <c r="N7" s="27" t="s">
        <v>724</v>
      </c>
      <c r="O7" s="27" t="s">
        <v>725</v>
      </c>
    </row>
    <row r="8" spans="2:26" ht="11.5" x14ac:dyDescent="0.25">
      <c r="B8" s="33"/>
      <c r="C8" s="33"/>
      <c r="D8" s="183"/>
      <c r="E8" s="184" t="s">
        <v>33</v>
      </c>
      <c r="F8" s="184"/>
      <c r="G8" s="184" t="s">
        <v>34</v>
      </c>
      <c r="H8" s="184"/>
      <c r="I8" s="185"/>
      <c r="J8" s="186"/>
      <c r="K8" s="33"/>
      <c r="L8" s="33"/>
      <c r="M8" s="33"/>
      <c r="N8" s="36"/>
      <c r="O8" s="33"/>
    </row>
    <row r="9" spans="2:26" ht="24" customHeight="1" x14ac:dyDescent="0.25">
      <c r="B9" s="187"/>
      <c r="C9" s="187"/>
      <c r="D9" s="188"/>
      <c r="E9" s="189" t="s">
        <v>35</v>
      </c>
      <c r="F9" s="190" t="s">
        <v>36</v>
      </c>
      <c r="G9" s="189" t="s">
        <v>35</v>
      </c>
      <c r="H9" s="190" t="s">
        <v>36</v>
      </c>
      <c r="I9" s="189" t="s">
        <v>35</v>
      </c>
      <c r="J9" s="190" t="s">
        <v>36</v>
      </c>
      <c r="K9" s="187"/>
      <c r="L9" s="187"/>
      <c r="M9" s="187"/>
      <c r="N9" s="191"/>
      <c r="O9" s="33"/>
    </row>
    <row r="10" spans="2:26" ht="11.5" x14ac:dyDescent="0.25">
      <c r="B10" s="133" t="s">
        <v>200</v>
      </c>
      <c r="C10" s="133" t="s">
        <v>200</v>
      </c>
      <c r="D10" s="133" t="s">
        <v>200</v>
      </c>
      <c r="E10" s="133" t="s">
        <v>200</v>
      </c>
      <c r="F10" s="133" t="s">
        <v>200</v>
      </c>
      <c r="G10" s="133" t="s">
        <v>200</v>
      </c>
      <c r="H10" s="133" t="s">
        <v>200</v>
      </c>
      <c r="I10" s="133" t="s">
        <v>200</v>
      </c>
      <c r="J10" s="133" t="s">
        <v>200</v>
      </c>
      <c r="K10" s="133" t="s">
        <v>200</v>
      </c>
      <c r="L10" s="133" t="s">
        <v>200</v>
      </c>
      <c r="M10" s="133" t="s">
        <v>200</v>
      </c>
      <c r="N10" s="133" t="s">
        <v>200</v>
      </c>
      <c r="O10" s="133" t="s">
        <v>200</v>
      </c>
    </row>
    <row r="11" spans="2:26" ht="11.5" x14ac:dyDescent="0.25">
      <c r="B11" s="22"/>
      <c r="C11" s="22"/>
      <c r="D11" s="22"/>
    </row>
    <row r="12" spans="2:26" ht="11.5" x14ac:dyDescent="0.25">
      <c r="B12" s="32" t="s">
        <v>412</v>
      </c>
      <c r="C12" s="32"/>
      <c r="D12" s="32"/>
      <c r="E12" s="32"/>
      <c r="F12" s="32"/>
      <c r="G12" s="32"/>
      <c r="H12" s="56"/>
      <c r="I12" s="57"/>
      <c r="J12" s="58"/>
      <c r="K12" s="58"/>
      <c r="L12" s="59"/>
      <c r="M12" s="58"/>
      <c r="N12" s="60"/>
      <c r="O12" s="58"/>
    </row>
    <row r="13" spans="2:26" ht="11.5" x14ac:dyDescent="0.25">
      <c r="B13" s="135" t="s">
        <v>726</v>
      </c>
      <c r="C13" s="135"/>
      <c r="D13" s="135"/>
      <c r="E13" s="135"/>
      <c r="F13" s="135"/>
      <c r="G13" s="135"/>
      <c r="H13" s="135"/>
      <c r="I13" s="135"/>
      <c r="J13" s="135"/>
      <c r="K13" s="135"/>
      <c r="L13" s="135"/>
      <c r="M13" s="135"/>
      <c r="N13" s="135"/>
      <c r="O13" s="135"/>
    </row>
    <row r="14" spans="2:26" ht="12.75" customHeight="1" x14ac:dyDescent="0.25">
      <c r="B14" s="136" t="s">
        <v>727</v>
      </c>
      <c r="C14" s="136"/>
      <c r="D14" s="136"/>
      <c r="E14" s="136"/>
      <c r="F14" s="136"/>
      <c r="G14" s="136"/>
      <c r="H14" s="136"/>
      <c r="I14" s="136"/>
      <c r="J14" s="136"/>
      <c r="K14" s="136"/>
      <c r="L14" s="136"/>
      <c r="M14" s="136"/>
      <c r="N14" s="136"/>
      <c r="O14" s="136"/>
      <c r="P14" s="58"/>
      <c r="Q14" s="58"/>
    </row>
    <row r="15" spans="2:26" ht="12" customHeight="1" x14ac:dyDescent="0.25">
      <c r="B15" s="20" t="s">
        <v>728</v>
      </c>
      <c r="C15" s="192"/>
      <c r="D15" s="192"/>
      <c r="P15" s="192"/>
      <c r="Q15" s="192"/>
      <c r="R15" s="192"/>
      <c r="S15" s="192"/>
      <c r="T15" s="192"/>
      <c r="U15" s="192"/>
      <c r="V15" s="192"/>
      <c r="W15" s="192"/>
      <c r="X15" s="192"/>
      <c r="Y15" s="192"/>
      <c r="Z15" s="192"/>
    </row>
    <row r="16" spans="2:26" ht="12" customHeight="1" x14ac:dyDescent="0.25">
      <c r="B16" s="20" t="s">
        <v>729</v>
      </c>
      <c r="C16" s="192"/>
      <c r="D16" s="192"/>
    </row>
    <row r="17" spans="2:13" ht="12" customHeight="1" x14ac:dyDescent="0.25">
      <c r="B17" s="20" t="s">
        <v>730</v>
      </c>
      <c r="C17" s="192"/>
      <c r="D17" s="192"/>
    </row>
    <row r="18" spans="2:13" ht="12" customHeight="1" x14ac:dyDescent="0.25">
      <c r="B18" s="20" t="s">
        <v>731</v>
      </c>
      <c r="C18" s="192"/>
      <c r="D18" s="192"/>
    </row>
    <row r="19" spans="2:13" ht="12" customHeight="1" x14ac:dyDescent="0.25">
      <c r="B19" s="20" t="s">
        <v>732</v>
      </c>
      <c r="C19" s="192"/>
      <c r="D19" s="192"/>
    </row>
    <row r="20" spans="2:13" ht="12" customHeight="1" x14ac:dyDescent="0.25">
      <c r="B20" s="20" t="s">
        <v>733</v>
      </c>
      <c r="C20" s="192"/>
      <c r="D20" s="192"/>
    </row>
    <row r="21" spans="2:13" ht="12" customHeight="1" x14ac:dyDescent="0.25">
      <c r="B21" s="20" t="s">
        <v>734</v>
      </c>
      <c r="C21" s="192"/>
      <c r="D21" s="192"/>
    </row>
    <row r="22" spans="2:13" ht="12" customHeight="1" x14ac:dyDescent="0.25">
      <c r="B22" s="20" t="s">
        <v>735</v>
      </c>
      <c r="C22" s="192"/>
      <c r="D22" s="192"/>
    </row>
    <row r="23" spans="2:13" ht="12" customHeight="1" x14ac:dyDescent="0.25">
      <c r="B23" s="193"/>
      <c r="C23" s="192"/>
      <c r="D23" s="192"/>
    </row>
    <row r="24" spans="2:13" ht="11.5" x14ac:dyDescent="0.25">
      <c r="B24" s="67" t="s">
        <v>425</v>
      </c>
      <c r="C24" s="67"/>
    </row>
    <row r="25" spans="2:13" ht="13.5" customHeight="1" x14ac:dyDescent="0.25">
      <c r="B25" s="20" t="s">
        <v>864</v>
      </c>
    </row>
    <row r="26" spans="2:13" ht="14" x14ac:dyDescent="0.25">
      <c r="B26" s="20" t="s">
        <v>736</v>
      </c>
    </row>
    <row r="27" spans="2:13" ht="27" customHeight="1" x14ac:dyDescent="0.35">
      <c r="B27" s="194"/>
      <c r="C27" s="194"/>
      <c r="D27" s="194"/>
      <c r="E27" s="194"/>
      <c r="F27" s="194"/>
      <c r="G27" s="194"/>
      <c r="H27" s="194"/>
      <c r="I27" s="194"/>
      <c r="J27" s="194"/>
      <c r="K27" s="194"/>
      <c r="L27" s="194"/>
      <c r="M27" s="73"/>
    </row>
    <row r="28" spans="2:13" ht="12" customHeight="1" x14ac:dyDescent="0.35">
      <c r="B28" s="141"/>
      <c r="C28" s="142"/>
      <c r="D28" s="70"/>
      <c r="E28" s="70"/>
      <c r="F28" s="70"/>
      <c r="G28" s="70"/>
      <c r="H28" s="70"/>
      <c r="I28" s="70"/>
      <c r="J28" s="70"/>
      <c r="K28" s="70"/>
      <c r="L28" s="70"/>
      <c r="M28" s="73"/>
    </row>
  </sheetData>
  <mergeCells count="1">
    <mergeCell ref="B27:L27"/>
  </mergeCells>
  <hyperlinks>
    <hyperlink ref="B5" location="'Index sheet'!A1" display="Back to index" xr:uid="{00000000-0004-0000-0600-000000000000}"/>
  </hyperlinks>
  <pageMargins left="0.25" right="0.25" top="0.75" bottom="0.75" header="0.3" footer="0.3"/>
  <pageSetup paperSize="8" scale="71" fitToHeight="0" orientation="landscape" r:id="rId1"/>
  <ignoredErrors>
    <ignoredError sqref="B1:Z9 B11:Z24 P10:Z10 C26:D26 C25:Z25 F26:Z2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Z30"/>
  <sheetViews>
    <sheetView showGridLines="0" zoomScaleNormal="100" workbookViewId="0">
      <selection activeCell="B29" sqref="A1:XFD1048576"/>
    </sheetView>
  </sheetViews>
  <sheetFormatPr defaultColWidth="9.1796875" defaultRowHeight="12" customHeight="1" x14ac:dyDescent="0.25"/>
  <cols>
    <col min="1" max="1" width="2.26953125" style="20" customWidth="1"/>
    <col min="2" max="2" width="15.81640625" style="20" customWidth="1"/>
    <col min="3" max="3" width="29.453125" style="20" bestFit="1" customWidth="1"/>
    <col min="4" max="7" width="15.81640625" style="20" customWidth="1"/>
    <col min="8" max="8" width="15.1796875" style="20" customWidth="1"/>
    <col min="9" max="14" width="15.81640625" style="20" customWidth="1"/>
    <col min="15" max="15" width="26.54296875" style="20" customWidth="1"/>
    <col min="16" max="16" width="9.1796875" style="20" customWidth="1"/>
    <col min="17" max="16384" width="9.1796875" style="20"/>
  </cols>
  <sheetData>
    <row r="1" spans="2:26" s="174" customFormat="1" ht="16" customHeight="1" x14ac:dyDescent="0.35">
      <c r="B1" s="19" t="s">
        <v>715</v>
      </c>
      <c r="C1" s="19"/>
      <c r="D1" s="19"/>
    </row>
    <row r="2" spans="2:26" s="174" customFormat="1" ht="15" customHeight="1" x14ac:dyDescent="0.35">
      <c r="B2" s="19" t="s">
        <v>716</v>
      </c>
      <c r="C2" s="19"/>
      <c r="D2" s="19"/>
      <c r="E2" s="19"/>
      <c r="F2" s="19"/>
      <c r="G2" s="19"/>
      <c r="H2" s="19"/>
      <c r="I2" s="20" t="s">
        <v>429</v>
      </c>
      <c r="J2" s="19"/>
      <c r="K2" s="19"/>
      <c r="L2" s="19"/>
    </row>
    <row r="3" spans="2:26" ht="16" customHeight="1" x14ac:dyDescent="0.25">
      <c r="B3" s="23" t="s">
        <v>18</v>
      </c>
      <c r="C3" s="24">
        <v>0.7258</v>
      </c>
    </row>
    <row r="4" spans="2:26" ht="16" customHeight="1" x14ac:dyDescent="0.25">
      <c r="B4" s="23"/>
      <c r="C4" s="23"/>
    </row>
    <row r="5" spans="2:26" ht="11.5" x14ac:dyDescent="0.25">
      <c r="B5" s="25" t="s">
        <v>19</v>
      </c>
      <c r="C5" s="175"/>
      <c r="D5" s="176"/>
      <c r="E5" s="177"/>
    </row>
    <row r="6" spans="2:26" ht="11.5" x14ac:dyDescent="0.25">
      <c r="B6" s="22"/>
      <c r="C6" s="22"/>
      <c r="D6" s="22"/>
    </row>
    <row r="7" spans="2:26" ht="36.75" customHeight="1" x14ac:dyDescent="0.25">
      <c r="B7" s="27" t="s">
        <v>717</v>
      </c>
      <c r="C7" s="27" t="s">
        <v>718</v>
      </c>
      <c r="D7" s="178" t="s">
        <v>719</v>
      </c>
      <c r="E7" s="179" t="s">
        <v>720</v>
      </c>
      <c r="F7" s="180"/>
      <c r="G7" s="180"/>
      <c r="H7" s="180"/>
      <c r="I7" s="181" t="s">
        <v>721</v>
      </c>
      <c r="J7" s="182"/>
      <c r="K7" s="27" t="s">
        <v>722</v>
      </c>
      <c r="L7" s="27" t="s">
        <v>723</v>
      </c>
      <c r="M7" s="27" t="s">
        <v>28</v>
      </c>
      <c r="N7" s="27" t="s">
        <v>724</v>
      </c>
      <c r="O7" s="27" t="s">
        <v>725</v>
      </c>
    </row>
    <row r="8" spans="2:26" ht="11.5" x14ac:dyDescent="0.25">
      <c r="B8" s="33"/>
      <c r="C8" s="33"/>
      <c r="D8" s="183"/>
      <c r="E8" s="184" t="s">
        <v>33</v>
      </c>
      <c r="F8" s="184"/>
      <c r="G8" s="184" t="s">
        <v>34</v>
      </c>
      <c r="H8" s="184"/>
      <c r="I8" s="185"/>
      <c r="J8" s="186"/>
      <c r="K8" s="33"/>
      <c r="L8" s="33"/>
      <c r="M8" s="33"/>
      <c r="N8" s="36"/>
      <c r="O8" s="33"/>
    </row>
    <row r="9" spans="2:26" ht="24" customHeight="1" x14ac:dyDescent="0.25">
      <c r="B9" s="33"/>
      <c r="C9" s="33"/>
      <c r="D9" s="183"/>
      <c r="E9" s="178" t="s">
        <v>35</v>
      </c>
      <c r="F9" s="195" t="s">
        <v>36</v>
      </c>
      <c r="G9" s="178" t="s">
        <v>35</v>
      </c>
      <c r="H9" s="195" t="s">
        <v>36</v>
      </c>
      <c r="I9" s="178" t="s">
        <v>35</v>
      </c>
      <c r="J9" s="195" t="s">
        <v>36</v>
      </c>
      <c r="K9" s="33"/>
      <c r="L9" s="33"/>
      <c r="M9" s="33"/>
      <c r="N9" s="36"/>
      <c r="O9" s="33"/>
    </row>
    <row r="10" spans="2:26" ht="34.5" x14ac:dyDescent="0.25">
      <c r="B10" s="39" t="s">
        <v>868</v>
      </c>
      <c r="C10" s="10" t="s">
        <v>737</v>
      </c>
      <c r="D10" s="9" t="s">
        <v>39</v>
      </c>
      <c r="E10" s="10">
        <v>126170000</v>
      </c>
      <c r="F10" s="10">
        <v>91574186</v>
      </c>
      <c r="G10" s="43" t="s">
        <v>200</v>
      </c>
      <c r="H10" s="43" t="s">
        <v>200</v>
      </c>
      <c r="I10" s="196">
        <v>14547000</v>
      </c>
      <c r="J10" s="196">
        <v>10558212.6</v>
      </c>
      <c r="K10" s="9" t="s">
        <v>41</v>
      </c>
      <c r="L10" s="9" t="s">
        <v>130</v>
      </c>
      <c r="M10" s="9" t="s">
        <v>738</v>
      </c>
      <c r="N10" s="39" t="s">
        <v>200</v>
      </c>
      <c r="O10" s="43" t="s">
        <v>739</v>
      </c>
    </row>
    <row r="11" spans="2:26" ht="11.5" x14ac:dyDescent="0.25">
      <c r="B11" s="22"/>
      <c r="C11" s="22"/>
      <c r="D11" s="22"/>
    </row>
    <row r="12" spans="2:26" ht="11.5" x14ac:dyDescent="0.25">
      <c r="B12" s="32" t="s">
        <v>412</v>
      </c>
      <c r="C12" s="32"/>
      <c r="D12" s="32"/>
      <c r="E12" s="32"/>
      <c r="F12" s="32"/>
      <c r="G12" s="32"/>
      <c r="H12" s="56"/>
      <c r="I12" s="57"/>
      <c r="J12" s="58"/>
      <c r="K12" s="58"/>
      <c r="L12" s="59"/>
      <c r="M12" s="58"/>
      <c r="N12" s="60"/>
      <c r="O12" s="58"/>
    </row>
    <row r="13" spans="2:26" ht="11.5" x14ac:dyDescent="0.25">
      <c r="B13" s="135" t="s">
        <v>726</v>
      </c>
      <c r="C13" s="135"/>
      <c r="D13" s="135"/>
      <c r="E13" s="135"/>
      <c r="F13" s="135"/>
      <c r="G13" s="135"/>
      <c r="H13" s="135"/>
      <c r="I13" s="135"/>
      <c r="J13" s="135"/>
      <c r="K13" s="135"/>
      <c r="L13" s="135"/>
      <c r="M13" s="135"/>
      <c r="N13" s="135"/>
      <c r="O13" s="135"/>
    </row>
    <row r="14" spans="2:26" ht="12.75" customHeight="1" x14ac:dyDescent="0.25">
      <c r="B14" s="136" t="s">
        <v>727</v>
      </c>
      <c r="C14" s="136"/>
      <c r="D14" s="136"/>
      <c r="E14" s="136"/>
      <c r="F14" s="136"/>
      <c r="G14" s="136"/>
      <c r="H14" s="136"/>
      <c r="I14" s="136"/>
      <c r="J14" s="136"/>
      <c r="K14" s="136"/>
      <c r="L14" s="136"/>
      <c r="M14" s="136"/>
      <c r="N14" s="136"/>
      <c r="O14" s="136"/>
      <c r="P14" s="58"/>
      <c r="Q14" s="58"/>
    </row>
    <row r="15" spans="2:26" ht="12" customHeight="1" x14ac:dyDescent="0.25">
      <c r="B15" s="20" t="s">
        <v>728</v>
      </c>
      <c r="C15" s="192"/>
      <c r="D15" s="192"/>
      <c r="P15" s="192"/>
      <c r="Q15" s="192"/>
      <c r="R15" s="192"/>
      <c r="S15" s="192"/>
      <c r="T15" s="192"/>
      <c r="U15" s="192"/>
      <c r="V15" s="192"/>
      <c r="W15" s="192"/>
      <c r="X15" s="192"/>
      <c r="Y15" s="192"/>
      <c r="Z15" s="192"/>
    </row>
    <row r="16" spans="2:26" ht="12" customHeight="1" x14ac:dyDescent="0.25">
      <c r="B16" s="20" t="s">
        <v>729</v>
      </c>
      <c r="C16" s="192"/>
      <c r="D16" s="192"/>
    </row>
    <row r="17" spans="2:15" ht="12" customHeight="1" x14ac:dyDescent="0.25">
      <c r="B17" s="20" t="s">
        <v>730</v>
      </c>
      <c r="C17" s="192"/>
      <c r="D17" s="192"/>
    </row>
    <row r="18" spans="2:15" ht="12" customHeight="1" x14ac:dyDescent="0.25">
      <c r="B18" s="20" t="s">
        <v>731</v>
      </c>
      <c r="C18" s="192"/>
      <c r="D18" s="192"/>
    </row>
    <row r="19" spans="2:15" ht="12" customHeight="1" x14ac:dyDescent="0.25">
      <c r="B19" s="20" t="s">
        <v>732</v>
      </c>
      <c r="C19" s="192"/>
      <c r="D19" s="192"/>
    </row>
    <row r="20" spans="2:15" ht="12" customHeight="1" x14ac:dyDescent="0.25">
      <c r="B20" s="20" t="s">
        <v>733</v>
      </c>
      <c r="C20" s="192"/>
      <c r="D20" s="192"/>
    </row>
    <row r="21" spans="2:15" ht="12" customHeight="1" x14ac:dyDescent="0.25">
      <c r="B21" s="20" t="s">
        <v>734</v>
      </c>
      <c r="C21" s="192"/>
      <c r="D21" s="192"/>
    </row>
    <row r="22" spans="2:15" ht="12" customHeight="1" x14ac:dyDescent="0.25">
      <c r="B22" s="20" t="s">
        <v>735</v>
      </c>
      <c r="C22" s="192"/>
      <c r="D22" s="192"/>
    </row>
    <row r="23" spans="2:15" ht="12" customHeight="1" x14ac:dyDescent="0.25">
      <c r="B23" s="193"/>
      <c r="C23" s="192"/>
      <c r="D23" s="192"/>
    </row>
    <row r="24" spans="2:15" ht="11.5" x14ac:dyDescent="0.25">
      <c r="B24" s="67" t="s">
        <v>425</v>
      </c>
      <c r="C24" s="67"/>
      <c r="O24" s="20" t="s">
        <v>860</v>
      </c>
    </row>
    <row r="25" spans="2:15" ht="13.5" customHeight="1" x14ac:dyDescent="0.25">
      <c r="B25" s="68" t="s">
        <v>861</v>
      </c>
      <c r="C25" s="69"/>
    </row>
    <row r="26" spans="2:15" ht="13.5" customHeight="1" x14ac:dyDescent="0.25">
      <c r="B26" s="68" t="s">
        <v>649</v>
      </c>
      <c r="C26" s="69"/>
    </row>
    <row r="27" spans="2:15" ht="14" x14ac:dyDescent="0.25">
      <c r="B27" s="68" t="s">
        <v>650</v>
      </c>
      <c r="C27" s="69"/>
    </row>
    <row r="28" spans="2:15" ht="66.75" customHeight="1" x14ac:dyDescent="0.25">
      <c r="B28" s="68"/>
      <c r="C28" s="69"/>
    </row>
    <row r="29" spans="2:15" ht="27" customHeight="1" x14ac:dyDescent="0.35">
      <c r="B29" s="194"/>
      <c r="C29" s="194"/>
      <c r="D29" s="194"/>
      <c r="E29" s="194"/>
      <c r="F29" s="194"/>
      <c r="G29" s="194"/>
      <c r="H29" s="194"/>
      <c r="I29" s="194"/>
      <c r="J29" s="194"/>
      <c r="K29" s="194"/>
      <c r="L29" s="194"/>
      <c r="M29" s="73"/>
    </row>
    <row r="30" spans="2:15" ht="12" customHeight="1" x14ac:dyDescent="0.35">
      <c r="B30" s="141"/>
      <c r="C30" s="142"/>
      <c r="D30" s="70"/>
      <c r="E30" s="70"/>
      <c r="F30" s="70"/>
      <c r="G30" s="70"/>
      <c r="H30" s="70"/>
      <c r="I30" s="70"/>
      <c r="J30" s="70"/>
      <c r="K30" s="70"/>
      <c r="L30" s="70"/>
      <c r="M30" s="73"/>
    </row>
  </sheetData>
  <mergeCells count="1">
    <mergeCell ref="B29:L29"/>
  </mergeCells>
  <hyperlinks>
    <hyperlink ref="B5" location="'Index sheet'!A1" display="Back to index" xr:uid="{00000000-0004-0000-0500-000000000000}"/>
  </hyperlinks>
  <pageMargins left="0.25" right="0.25" top="0.75" bottom="0.75" header="0.3" footer="0.3"/>
  <pageSetup paperSize="8" scale="71" fitToHeight="0" orientation="landscape" r:id="rId1"/>
  <ignoredErrors>
    <ignoredError sqref="B1:Z9 B11:Z23 P10:Z10 R26:Z27 R25:Z25 B24:N24 P24:Z2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41"/>
  <sheetViews>
    <sheetView showGridLines="0" zoomScale="108" zoomScaleNormal="108" workbookViewId="0">
      <selection activeCell="D5" sqref="A1:XFD1048576"/>
    </sheetView>
  </sheetViews>
  <sheetFormatPr defaultColWidth="9.1796875" defaultRowHeight="12" customHeight="1" x14ac:dyDescent="0.25"/>
  <cols>
    <col min="1" max="1" width="2.26953125" style="20" customWidth="1"/>
    <col min="2" max="2" width="23.7265625" style="20" customWidth="1"/>
    <col min="3" max="3" width="14.81640625" style="20" customWidth="1"/>
    <col min="4" max="4" width="69.7265625" style="20" customWidth="1"/>
    <col min="5" max="5" width="14.81640625" style="20" customWidth="1"/>
    <col min="6" max="6" width="27.81640625" style="20" customWidth="1"/>
    <col min="7" max="7" width="14.81640625" style="20" customWidth="1"/>
    <col min="8" max="8" width="20.1796875" style="20" customWidth="1"/>
    <col min="9" max="10" width="14.81640625" style="20" customWidth="1"/>
    <col min="11" max="11" width="20.453125" style="20" customWidth="1"/>
    <col min="12" max="12" width="8.81640625" style="20" customWidth="1"/>
    <col min="13" max="13" width="9.1796875" style="20" customWidth="1"/>
    <col min="14" max="16384" width="9.1796875" style="20"/>
  </cols>
  <sheetData>
    <row r="1" spans="1:19" ht="15.75" customHeight="1" x14ac:dyDescent="0.25">
      <c r="B1" s="208" t="s">
        <v>740</v>
      </c>
      <c r="C1" s="208"/>
      <c r="D1" s="208"/>
      <c r="E1" s="208"/>
      <c r="F1" s="208"/>
      <c r="G1" s="208"/>
      <c r="H1" s="208"/>
      <c r="I1" s="208"/>
      <c r="J1" s="208"/>
      <c r="K1" s="208"/>
      <c r="M1" s="209"/>
      <c r="N1" s="209"/>
      <c r="O1" s="210"/>
      <c r="P1" s="210"/>
      <c r="R1" s="211"/>
      <c r="S1" s="209"/>
    </row>
    <row r="2" spans="1:19" ht="18.75" customHeight="1" x14ac:dyDescent="0.3">
      <c r="B2" s="19" t="s">
        <v>741</v>
      </c>
      <c r="C2" s="19"/>
      <c r="D2" s="19"/>
      <c r="E2" s="19"/>
      <c r="F2" s="19"/>
      <c r="G2" s="19"/>
      <c r="H2" s="19"/>
      <c r="I2" s="19"/>
      <c r="J2" s="19"/>
      <c r="K2" s="19"/>
      <c r="S2" s="32"/>
    </row>
    <row r="3" spans="1:19" ht="11.5" x14ac:dyDescent="0.25">
      <c r="B3" s="212"/>
      <c r="C3" s="212"/>
      <c r="D3" s="212"/>
      <c r="E3" s="212"/>
      <c r="F3" s="212"/>
      <c r="G3" s="212"/>
      <c r="H3" s="212"/>
      <c r="I3" s="212"/>
      <c r="J3" s="212"/>
      <c r="K3" s="212"/>
      <c r="R3" s="211"/>
      <c r="S3" s="209"/>
    </row>
    <row r="4" spans="1:19" ht="11.5" x14ac:dyDescent="0.25">
      <c r="B4" s="25" t="s">
        <v>19</v>
      </c>
      <c r="C4" s="25"/>
      <c r="D4" s="197"/>
      <c r="E4" s="25"/>
      <c r="F4" s="25"/>
      <c r="G4" s="25"/>
      <c r="H4" s="25"/>
      <c r="I4" s="25"/>
      <c r="J4" s="198"/>
      <c r="K4" s="198"/>
    </row>
    <row r="5" spans="1:19" ht="11.5" x14ac:dyDescent="0.25">
      <c r="A5" s="67"/>
    </row>
    <row r="6" spans="1:19" s="32" customFormat="1" ht="24.75" customHeight="1" x14ac:dyDescent="0.25">
      <c r="B6" s="199" t="s">
        <v>742</v>
      </c>
      <c r="C6" s="199" t="s">
        <v>743</v>
      </c>
      <c r="D6" s="200" t="s">
        <v>744</v>
      </c>
      <c r="E6" s="200" t="s">
        <v>745</v>
      </c>
      <c r="F6" s="199" t="s">
        <v>746</v>
      </c>
      <c r="G6" s="200" t="s">
        <v>747</v>
      </c>
      <c r="H6" s="200" t="s">
        <v>748</v>
      </c>
      <c r="I6" s="200" t="s">
        <v>749</v>
      </c>
      <c r="J6" s="200" t="s">
        <v>750</v>
      </c>
      <c r="K6" s="27" t="s">
        <v>751</v>
      </c>
    </row>
    <row r="7" spans="1:19" ht="74.5" customHeight="1" x14ac:dyDescent="0.25">
      <c r="B7" s="133" t="s">
        <v>46</v>
      </c>
      <c r="C7" s="133" t="s">
        <v>865</v>
      </c>
      <c r="D7" s="133" t="s">
        <v>752</v>
      </c>
      <c r="E7" s="201" t="s">
        <v>42</v>
      </c>
      <c r="F7" s="12" t="s">
        <v>47</v>
      </c>
      <c r="G7" s="42" t="s">
        <v>48</v>
      </c>
      <c r="H7" s="133" t="s">
        <v>753</v>
      </c>
      <c r="I7" s="201" t="s">
        <v>754</v>
      </c>
      <c r="J7" s="202" t="s">
        <v>755</v>
      </c>
      <c r="K7" s="133"/>
    </row>
    <row r="8" spans="1:19" ht="128.5" customHeight="1" x14ac:dyDescent="0.25">
      <c r="B8" s="133" t="s">
        <v>856</v>
      </c>
      <c r="C8" s="133" t="s">
        <v>865</v>
      </c>
      <c r="D8" s="133" t="s">
        <v>858</v>
      </c>
      <c r="E8" s="133" t="s">
        <v>712</v>
      </c>
      <c r="F8" s="203" t="s">
        <v>43</v>
      </c>
      <c r="G8" s="42">
        <v>31182</v>
      </c>
      <c r="H8" s="133" t="s">
        <v>857</v>
      </c>
      <c r="I8" s="201" t="s">
        <v>754</v>
      </c>
      <c r="J8" s="202" t="s">
        <v>755</v>
      </c>
      <c r="K8" s="27"/>
    </row>
    <row r="9" spans="1:19" ht="109.5" customHeight="1" x14ac:dyDescent="0.25">
      <c r="B9" s="133" t="s">
        <v>205</v>
      </c>
      <c r="C9" s="133" t="s">
        <v>866</v>
      </c>
      <c r="D9" s="133" t="s">
        <v>853</v>
      </c>
      <c r="E9" s="133" t="s">
        <v>342</v>
      </c>
      <c r="F9" s="133" t="s">
        <v>206</v>
      </c>
      <c r="G9" s="42" t="s">
        <v>207</v>
      </c>
      <c r="H9" s="204" t="s">
        <v>756</v>
      </c>
      <c r="I9" s="201" t="s">
        <v>754</v>
      </c>
      <c r="J9" s="202" t="s">
        <v>755</v>
      </c>
      <c r="K9" s="133"/>
    </row>
    <row r="10" spans="1:19" ht="75" customHeight="1" x14ac:dyDescent="0.25">
      <c r="B10" s="133" t="s">
        <v>199</v>
      </c>
      <c r="C10" s="133" t="s">
        <v>866</v>
      </c>
      <c r="D10" s="133" t="s">
        <v>757</v>
      </c>
      <c r="E10" s="133" t="s">
        <v>854</v>
      </c>
      <c r="F10" s="40" t="s">
        <v>76</v>
      </c>
      <c r="G10" s="84">
        <v>41010</v>
      </c>
      <c r="H10" s="133" t="s">
        <v>758</v>
      </c>
      <c r="I10" s="201" t="s">
        <v>759</v>
      </c>
      <c r="J10" s="202" t="s">
        <v>755</v>
      </c>
      <c r="K10" s="133"/>
    </row>
    <row r="11" spans="1:19" ht="115" x14ac:dyDescent="0.25">
      <c r="B11" s="133" t="s">
        <v>219</v>
      </c>
      <c r="C11" s="133" t="s">
        <v>866</v>
      </c>
      <c r="D11" s="133" t="s">
        <v>760</v>
      </c>
      <c r="E11" s="201" t="s">
        <v>42</v>
      </c>
      <c r="F11" s="40" t="s">
        <v>76</v>
      </c>
      <c r="G11" s="84">
        <v>41030</v>
      </c>
      <c r="H11" s="133" t="s">
        <v>761</v>
      </c>
      <c r="I11" s="201" t="s">
        <v>759</v>
      </c>
      <c r="J11" s="202" t="s">
        <v>755</v>
      </c>
      <c r="K11" s="133"/>
    </row>
    <row r="12" spans="1:19" ht="103.5" x14ac:dyDescent="0.25">
      <c r="B12" s="133" t="s">
        <v>212</v>
      </c>
      <c r="C12" s="133" t="s">
        <v>866</v>
      </c>
      <c r="D12" s="133" t="s">
        <v>762</v>
      </c>
      <c r="E12" s="201" t="s">
        <v>42</v>
      </c>
      <c r="F12" s="133" t="s">
        <v>43</v>
      </c>
      <c r="G12" s="205">
        <v>31120</v>
      </c>
      <c r="H12" s="133" t="s">
        <v>763</v>
      </c>
      <c r="I12" s="201" t="s">
        <v>754</v>
      </c>
      <c r="J12" s="202" t="s">
        <v>755</v>
      </c>
      <c r="K12" s="133"/>
    </row>
    <row r="13" spans="1:19" ht="119.15" customHeight="1" x14ac:dyDescent="0.25">
      <c r="B13" s="133" t="s">
        <v>234</v>
      </c>
      <c r="C13" s="133" t="s">
        <v>866</v>
      </c>
      <c r="D13" s="133" t="s">
        <v>764</v>
      </c>
      <c r="E13" s="201" t="s">
        <v>130</v>
      </c>
      <c r="F13" s="40" t="s">
        <v>76</v>
      </c>
      <c r="G13" s="42" t="s">
        <v>235</v>
      </c>
      <c r="H13" s="133" t="s">
        <v>765</v>
      </c>
      <c r="I13" s="201" t="s">
        <v>754</v>
      </c>
      <c r="J13" s="202" t="s">
        <v>755</v>
      </c>
      <c r="K13" s="133"/>
    </row>
    <row r="14" spans="1:19" ht="64.5" customHeight="1" x14ac:dyDescent="0.25">
      <c r="B14" s="133" t="s">
        <v>250</v>
      </c>
      <c r="C14" s="133" t="s">
        <v>238</v>
      </c>
      <c r="D14" s="133" t="s">
        <v>766</v>
      </c>
      <c r="E14" s="201" t="s">
        <v>42</v>
      </c>
      <c r="F14" s="40" t="s">
        <v>57</v>
      </c>
      <c r="G14" s="42">
        <v>43060</v>
      </c>
      <c r="H14" s="133" t="s">
        <v>767</v>
      </c>
      <c r="I14" s="201" t="s">
        <v>754</v>
      </c>
      <c r="J14" s="202" t="s">
        <v>755</v>
      </c>
      <c r="K14" s="133"/>
    </row>
    <row r="15" spans="1:19" ht="109" customHeight="1" x14ac:dyDescent="0.25">
      <c r="B15" s="133" t="s">
        <v>263</v>
      </c>
      <c r="C15" s="133" t="s">
        <v>260</v>
      </c>
      <c r="D15" s="133" t="s">
        <v>768</v>
      </c>
      <c r="E15" s="133" t="s">
        <v>769</v>
      </c>
      <c r="F15" s="133" t="s">
        <v>770</v>
      </c>
      <c r="G15" s="42" t="s">
        <v>554</v>
      </c>
      <c r="H15" s="133" t="s">
        <v>771</v>
      </c>
      <c r="I15" s="201" t="s">
        <v>754</v>
      </c>
      <c r="J15" s="202" t="s">
        <v>755</v>
      </c>
      <c r="K15" s="133"/>
    </row>
    <row r="16" spans="1:19" ht="65.150000000000006" customHeight="1" x14ac:dyDescent="0.25">
      <c r="B16" s="133" t="s">
        <v>291</v>
      </c>
      <c r="C16" s="133" t="s">
        <v>266</v>
      </c>
      <c r="D16" s="133" t="s">
        <v>772</v>
      </c>
      <c r="E16" s="201" t="s">
        <v>159</v>
      </c>
      <c r="F16" s="133" t="s">
        <v>81</v>
      </c>
      <c r="G16" s="84">
        <v>23110</v>
      </c>
      <c r="H16" s="133" t="s">
        <v>773</v>
      </c>
      <c r="I16" s="201" t="s">
        <v>759</v>
      </c>
      <c r="J16" s="202" t="s">
        <v>755</v>
      </c>
      <c r="K16" s="133"/>
    </row>
    <row r="17" spans="2:19" ht="66" customHeight="1" x14ac:dyDescent="0.25">
      <c r="B17" s="133" t="s">
        <v>315</v>
      </c>
      <c r="C17" s="133" t="s">
        <v>314</v>
      </c>
      <c r="D17" s="133" t="s">
        <v>774</v>
      </c>
      <c r="E17" s="201" t="s">
        <v>42</v>
      </c>
      <c r="F17" s="133" t="s">
        <v>81</v>
      </c>
      <c r="G17" s="42">
        <v>23210</v>
      </c>
      <c r="H17" s="133" t="s">
        <v>775</v>
      </c>
      <c r="I17" s="201" t="s">
        <v>759</v>
      </c>
      <c r="J17" s="202" t="s">
        <v>755</v>
      </c>
      <c r="K17" s="133"/>
    </row>
    <row r="18" spans="2:19" ht="97.5" customHeight="1" x14ac:dyDescent="0.25">
      <c r="B18" s="133" t="s">
        <v>320</v>
      </c>
      <c r="C18" s="133" t="s">
        <v>314</v>
      </c>
      <c r="D18" s="133" t="s">
        <v>776</v>
      </c>
      <c r="E18" s="201" t="s">
        <v>42</v>
      </c>
      <c r="F18" s="40" t="s">
        <v>57</v>
      </c>
      <c r="G18" s="84">
        <v>74010</v>
      </c>
      <c r="H18" s="133" t="s">
        <v>777</v>
      </c>
      <c r="I18" s="201" t="s">
        <v>754</v>
      </c>
      <c r="J18" s="202" t="s">
        <v>755</v>
      </c>
      <c r="K18" s="133"/>
    </row>
    <row r="19" spans="2:19" ht="85" customHeight="1" x14ac:dyDescent="0.25">
      <c r="B19" s="206" t="s">
        <v>778</v>
      </c>
      <c r="C19" s="207" t="s">
        <v>868</v>
      </c>
      <c r="D19" s="206" t="s">
        <v>779</v>
      </c>
      <c r="E19" s="201" t="s">
        <v>42</v>
      </c>
      <c r="F19" s="43" t="s">
        <v>609</v>
      </c>
      <c r="G19" s="42" t="s">
        <v>610</v>
      </c>
      <c r="H19" s="133" t="s">
        <v>780</v>
      </c>
      <c r="I19" s="201" t="s">
        <v>754</v>
      </c>
      <c r="J19" s="202" t="s">
        <v>755</v>
      </c>
      <c r="K19" s="133"/>
    </row>
    <row r="20" spans="2:19" ht="117" customHeight="1" x14ac:dyDescent="0.25">
      <c r="B20" s="133" t="s">
        <v>611</v>
      </c>
      <c r="C20" s="207" t="s">
        <v>868</v>
      </c>
      <c r="D20" s="133" t="s">
        <v>781</v>
      </c>
      <c r="E20" s="133" t="s">
        <v>712</v>
      </c>
      <c r="F20" s="40" t="s">
        <v>612</v>
      </c>
      <c r="G20" s="42" t="s">
        <v>613</v>
      </c>
      <c r="H20" s="133" t="s">
        <v>782</v>
      </c>
      <c r="I20" s="201" t="s">
        <v>754</v>
      </c>
      <c r="J20" s="202" t="s">
        <v>755</v>
      </c>
      <c r="K20" s="133"/>
    </row>
    <row r="21" spans="2:19" ht="128.5" customHeight="1" x14ac:dyDescent="0.25">
      <c r="B21" s="133" t="s">
        <v>393</v>
      </c>
      <c r="C21" s="133" t="s">
        <v>373</v>
      </c>
      <c r="D21" s="133" t="s">
        <v>783</v>
      </c>
      <c r="E21" s="201" t="s">
        <v>130</v>
      </c>
      <c r="F21" s="133" t="s">
        <v>43</v>
      </c>
      <c r="G21" s="205">
        <v>31120</v>
      </c>
      <c r="H21" s="133" t="s">
        <v>784</v>
      </c>
      <c r="I21" s="201" t="s">
        <v>754</v>
      </c>
      <c r="J21" s="202" t="s">
        <v>755</v>
      </c>
      <c r="K21" s="133"/>
    </row>
    <row r="22" spans="2:19" ht="120" customHeight="1" x14ac:dyDescent="0.25">
      <c r="B22" s="133" t="s">
        <v>406</v>
      </c>
      <c r="C22" s="133" t="s">
        <v>405</v>
      </c>
      <c r="D22" s="133" t="s">
        <v>785</v>
      </c>
      <c r="E22" s="201" t="s">
        <v>42</v>
      </c>
      <c r="F22" s="40" t="s">
        <v>639</v>
      </c>
      <c r="G22" s="42" t="s">
        <v>640</v>
      </c>
      <c r="H22" s="133" t="s">
        <v>786</v>
      </c>
      <c r="I22" s="201" t="s">
        <v>759</v>
      </c>
      <c r="J22" s="202" t="s">
        <v>755</v>
      </c>
      <c r="K22" s="133"/>
    </row>
    <row r="23" spans="2:19" ht="134.5" customHeight="1" x14ac:dyDescent="0.25">
      <c r="B23" s="133" t="s">
        <v>259</v>
      </c>
      <c r="C23" s="133" t="s">
        <v>258</v>
      </c>
      <c r="D23" s="133" t="s">
        <v>787</v>
      </c>
      <c r="E23" s="201" t="s">
        <v>42</v>
      </c>
      <c r="F23" s="40" t="s">
        <v>225</v>
      </c>
      <c r="G23" s="86">
        <v>11110</v>
      </c>
      <c r="H23" s="133" t="s">
        <v>788</v>
      </c>
      <c r="I23" s="201" t="s">
        <v>754</v>
      </c>
      <c r="J23" s="202" t="s">
        <v>755</v>
      </c>
      <c r="K23" s="133"/>
    </row>
    <row r="24" spans="2:19" ht="85.5" customHeight="1" x14ac:dyDescent="0.25">
      <c r="B24" s="133" t="s">
        <v>398</v>
      </c>
      <c r="C24" s="133" t="s">
        <v>395</v>
      </c>
      <c r="D24" s="133" t="s">
        <v>789</v>
      </c>
      <c r="E24" s="133" t="s">
        <v>42</v>
      </c>
      <c r="F24" s="40" t="s">
        <v>57</v>
      </c>
      <c r="G24" s="205">
        <v>74020</v>
      </c>
      <c r="H24" s="133" t="s">
        <v>790</v>
      </c>
      <c r="I24" s="201" t="s">
        <v>754</v>
      </c>
      <c r="J24" s="202" t="s">
        <v>755</v>
      </c>
      <c r="K24" s="133"/>
    </row>
    <row r="25" spans="2:19" ht="11.5" x14ac:dyDescent="0.25">
      <c r="B25" s="213"/>
      <c r="C25" s="213"/>
      <c r="D25" s="213"/>
      <c r="E25" s="213"/>
      <c r="F25" s="213"/>
      <c r="G25" s="213"/>
      <c r="H25" s="213"/>
      <c r="I25" s="213"/>
      <c r="J25" s="213"/>
      <c r="K25" s="192"/>
    </row>
    <row r="26" spans="2:19" ht="11.5" x14ac:dyDescent="0.25"/>
    <row r="27" spans="2:19" ht="11.5" x14ac:dyDescent="0.25">
      <c r="B27" s="32" t="s">
        <v>412</v>
      </c>
      <c r="C27" s="214"/>
      <c r="D27" s="214"/>
      <c r="E27" s="214"/>
      <c r="F27" s="214"/>
      <c r="G27" s="214"/>
      <c r="H27" s="214"/>
      <c r="I27" s="214"/>
      <c r="J27" s="214"/>
      <c r="K27" s="214"/>
    </row>
    <row r="28" spans="2:19" ht="12.75" customHeight="1" x14ac:dyDescent="0.25">
      <c r="B28" s="213" t="s">
        <v>791</v>
      </c>
      <c r="C28" s="213"/>
      <c r="D28" s="213"/>
      <c r="E28" s="213"/>
      <c r="F28" s="213"/>
      <c r="G28" s="213"/>
      <c r="H28" s="213"/>
      <c r="I28" s="213"/>
      <c r="J28" s="213"/>
      <c r="K28" s="213"/>
    </row>
    <row r="29" spans="2:19" ht="12.75" customHeight="1" x14ac:dyDescent="0.25">
      <c r="B29" s="20" t="s">
        <v>792</v>
      </c>
      <c r="C29" s="215"/>
      <c r="D29" s="215"/>
      <c r="E29" s="215"/>
      <c r="F29" s="215"/>
      <c r="G29" s="215"/>
      <c r="H29" s="215"/>
      <c r="I29" s="215"/>
      <c r="J29" s="215"/>
      <c r="K29" s="215"/>
    </row>
    <row r="30" spans="2:19" ht="12.75" customHeight="1" x14ac:dyDescent="0.25">
      <c r="B30" s="20" t="s">
        <v>793</v>
      </c>
      <c r="C30" s="215"/>
      <c r="D30" s="215"/>
      <c r="E30" s="215"/>
      <c r="F30" s="215"/>
      <c r="G30" s="215"/>
      <c r="H30" s="215"/>
      <c r="I30" s="215"/>
      <c r="J30" s="215"/>
      <c r="K30" s="215"/>
    </row>
    <row r="31" spans="2:19" ht="12.75" customHeight="1" x14ac:dyDescent="0.25">
      <c r="B31" s="20" t="s">
        <v>794</v>
      </c>
      <c r="C31" s="215"/>
      <c r="D31" s="215"/>
      <c r="E31" s="215"/>
      <c r="F31" s="215"/>
      <c r="G31" s="215"/>
      <c r="H31" s="215"/>
      <c r="I31" s="215"/>
      <c r="J31" s="215"/>
      <c r="K31" s="215"/>
    </row>
    <row r="32" spans="2:19" ht="12.75" customHeight="1" x14ac:dyDescent="0.25">
      <c r="B32" s="20" t="s">
        <v>795</v>
      </c>
      <c r="R32" s="211"/>
      <c r="S32" s="209"/>
    </row>
    <row r="33" spans="2:11" ht="11.5" x14ac:dyDescent="0.25">
      <c r="B33" s="215"/>
      <c r="C33" s="215"/>
      <c r="D33" s="215"/>
      <c r="E33" s="215"/>
      <c r="F33" s="215"/>
      <c r="G33" s="215"/>
      <c r="H33" s="215"/>
      <c r="I33" s="215"/>
      <c r="J33" s="215"/>
      <c r="K33" s="215"/>
    </row>
    <row r="34" spans="2:11" ht="11.5" x14ac:dyDescent="0.25">
      <c r="B34" s="67" t="s">
        <v>425</v>
      </c>
      <c r="C34" s="67"/>
      <c r="D34" s="67"/>
      <c r="E34" s="67"/>
      <c r="F34" s="67"/>
      <c r="G34" s="67"/>
      <c r="H34" s="67"/>
      <c r="I34" s="67"/>
      <c r="J34" s="67"/>
      <c r="K34" s="67"/>
    </row>
    <row r="35" spans="2:11" ht="13.5" customHeight="1" x14ac:dyDescent="0.25">
      <c r="B35" s="68" t="s">
        <v>861</v>
      </c>
    </row>
    <row r="36" spans="2:11" ht="13.5" customHeight="1" x14ac:dyDescent="0.25">
      <c r="B36" s="68" t="s">
        <v>796</v>
      </c>
    </row>
    <row r="37" spans="2:11" ht="13.5" customHeight="1" x14ac:dyDescent="0.25"/>
    <row r="38" spans="2:11" ht="13.5" customHeight="1" x14ac:dyDescent="0.25"/>
    <row r="39" spans="2:11" ht="13.5" customHeight="1" x14ac:dyDescent="0.25"/>
    <row r="40" spans="2:11" ht="13.5" customHeight="1" x14ac:dyDescent="0.25"/>
    <row r="41" spans="2:11" ht="13.5" customHeight="1" x14ac:dyDescent="0.25"/>
  </sheetData>
  <hyperlinks>
    <hyperlink ref="B4" location="'Index sheet'!A1" display="Back to index" xr:uid="{00000000-0004-0000-0700-000000000000}"/>
  </hyperlinks>
  <pageMargins left="0.25" right="0.25" top="0.75" bottom="0.75" header="0.3" footer="0.3"/>
  <pageSetup paperSize="8" scale="85" fitToHeight="0" orientation="landscape" r:id="rId1"/>
  <ignoredErrors>
    <ignoredError sqref="A1:S1 A26:S34 A2 C2:S2 A3:S6 A7 L7:S7 A37:S41 A35 C35:S35 A36 C36 E36:S3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N70"/>
  <sheetViews>
    <sheetView showGridLines="0" tabSelected="1" zoomScale="98" zoomScaleNormal="98" workbookViewId="0">
      <selection activeCell="K8" sqref="K8"/>
    </sheetView>
  </sheetViews>
  <sheetFormatPr defaultColWidth="8.7265625" defaultRowHeight="12" customHeight="1" x14ac:dyDescent="0.25"/>
  <cols>
    <col min="1" max="1" width="2.81640625" style="20" customWidth="1"/>
    <col min="2" max="2" width="30.26953125" style="20" customWidth="1"/>
    <col min="3" max="3" width="22.453125" style="20" customWidth="1"/>
    <col min="4" max="4" width="60.54296875" style="224" customWidth="1"/>
    <col min="5" max="5" width="22.453125" style="20" customWidth="1"/>
    <col min="6" max="6" width="16.1796875" style="20" customWidth="1"/>
    <col min="7" max="7" width="20.453125" style="20" customWidth="1"/>
    <col min="8" max="16384" width="8.7265625" style="20"/>
  </cols>
  <sheetData>
    <row r="1" spans="2:14" ht="15.75" customHeight="1" x14ac:dyDescent="0.3">
      <c r="B1" s="19" t="s">
        <v>797</v>
      </c>
      <c r="C1" s="19"/>
      <c r="D1" s="216"/>
      <c r="E1" s="19"/>
      <c r="F1" s="19"/>
      <c r="G1" s="19"/>
      <c r="H1" s="209"/>
      <c r="I1" s="209"/>
      <c r="J1" s="210"/>
      <c r="K1" s="210"/>
      <c r="M1" s="211"/>
      <c r="N1" s="209"/>
    </row>
    <row r="2" spans="2:14" ht="18.75" customHeight="1" x14ac:dyDescent="0.3">
      <c r="B2" s="19" t="s">
        <v>798</v>
      </c>
      <c r="C2" s="19"/>
      <c r="D2" s="216"/>
      <c r="E2" s="19"/>
      <c r="F2" s="19"/>
      <c r="G2" s="19"/>
    </row>
    <row r="3" spans="2:14" ht="11.5" x14ac:dyDescent="0.25">
      <c r="B3" s="22"/>
      <c r="C3" s="22"/>
      <c r="D3" s="217"/>
      <c r="E3" s="22"/>
      <c r="F3" s="22"/>
      <c r="G3" s="22"/>
    </row>
    <row r="4" spans="2:14" ht="11.5" x14ac:dyDescent="0.25">
      <c r="B4" s="25" t="s">
        <v>19</v>
      </c>
      <c r="C4" s="25"/>
      <c r="D4" s="218"/>
      <c r="E4" s="25"/>
      <c r="F4" s="25"/>
      <c r="G4" s="25"/>
    </row>
    <row r="5" spans="2:14" ht="11.5" x14ac:dyDescent="0.25">
      <c r="B5" s="25"/>
      <c r="C5" s="25"/>
      <c r="D5" s="219"/>
      <c r="E5" s="25"/>
      <c r="F5" s="25"/>
      <c r="G5" s="25"/>
    </row>
    <row r="6" spans="2:14" ht="24.65" customHeight="1" x14ac:dyDescent="0.25">
      <c r="B6" s="199" t="s">
        <v>742</v>
      </c>
      <c r="C6" s="199" t="s">
        <v>743</v>
      </c>
      <c r="D6" s="220" t="s">
        <v>744</v>
      </c>
      <c r="E6" s="200" t="s">
        <v>745</v>
      </c>
      <c r="F6" s="200" t="s">
        <v>749</v>
      </c>
      <c r="G6" s="27" t="s">
        <v>799</v>
      </c>
    </row>
    <row r="7" spans="2:14" ht="135" customHeight="1" x14ac:dyDescent="0.25">
      <c r="B7" s="206" t="s">
        <v>66</v>
      </c>
      <c r="C7" s="207" t="s">
        <v>865</v>
      </c>
      <c r="D7" s="206" t="s">
        <v>800</v>
      </c>
      <c r="E7" s="207" t="s">
        <v>42</v>
      </c>
      <c r="F7" s="221" t="s">
        <v>754</v>
      </c>
      <c r="G7" s="206"/>
      <c r="H7" s="68"/>
    </row>
    <row r="8" spans="2:14" ht="147" customHeight="1" x14ac:dyDescent="0.25">
      <c r="B8" s="206" t="s">
        <v>202</v>
      </c>
      <c r="C8" s="207" t="s">
        <v>866</v>
      </c>
      <c r="D8" s="206" t="s">
        <v>801</v>
      </c>
      <c r="E8" s="207" t="s">
        <v>42</v>
      </c>
      <c r="F8" s="221" t="s">
        <v>754</v>
      </c>
      <c r="G8" s="206"/>
    </row>
    <row r="9" spans="2:14" ht="155.5" customHeight="1" x14ac:dyDescent="0.25">
      <c r="B9" s="206" t="s">
        <v>259</v>
      </c>
      <c r="C9" s="207" t="s">
        <v>258</v>
      </c>
      <c r="D9" s="206" t="s">
        <v>802</v>
      </c>
      <c r="E9" s="207" t="s">
        <v>42</v>
      </c>
      <c r="F9" s="221" t="s">
        <v>754</v>
      </c>
      <c r="G9" s="206"/>
    </row>
    <row r="10" spans="2:14" ht="137.15" customHeight="1" x14ac:dyDescent="0.25">
      <c r="B10" s="206" t="s">
        <v>558</v>
      </c>
      <c r="C10" s="207" t="s">
        <v>266</v>
      </c>
      <c r="D10" s="206" t="s">
        <v>803</v>
      </c>
      <c r="E10" s="207" t="s">
        <v>42</v>
      </c>
      <c r="F10" s="221" t="s">
        <v>759</v>
      </c>
      <c r="G10" s="206"/>
    </row>
    <row r="11" spans="2:14" ht="195.65" customHeight="1" x14ac:dyDescent="0.25">
      <c r="B11" s="206" t="s">
        <v>221</v>
      </c>
      <c r="C11" s="207" t="s">
        <v>866</v>
      </c>
      <c r="D11" s="206" t="s">
        <v>804</v>
      </c>
      <c r="E11" s="207" t="s">
        <v>42</v>
      </c>
      <c r="F11" s="221" t="s">
        <v>759</v>
      </c>
      <c r="G11" s="206"/>
    </row>
    <row r="12" spans="2:14" ht="89.5" customHeight="1" x14ac:dyDescent="0.25">
      <c r="B12" s="206" t="s">
        <v>778</v>
      </c>
      <c r="C12" s="207" t="s">
        <v>868</v>
      </c>
      <c r="D12" s="206" t="s">
        <v>779</v>
      </c>
      <c r="E12" s="207" t="s">
        <v>42</v>
      </c>
      <c r="F12" s="221" t="s">
        <v>754</v>
      </c>
      <c r="G12" s="206"/>
    </row>
    <row r="13" spans="2:14" ht="114" customHeight="1" x14ac:dyDescent="0.25">
      <c r="B13" s="206" t="s">
        <v>340</v>
      </c>
      <c r="C13" s="207" t="s">
        <v>867</v>
      </c>
      <c r="D13" s="206" t="s">
        <v>805</v>
      </c>
      <c r="E13" s="207" t="s">
        <v>130</v>
      </c>
      <c r="F13" s="221" t="s">
        <v>759</v>
      </c>
      <c r="G13" s="206"/>
    </row>
    <row r="14" spans="2:14" ht="66.650000000000006" customHeight="1" x14ac:dyDescent="0.25">
      <c r="B14" s="206" t="s">
        <v>69</v>
      </c>
      <c r="C14" s="207" t="s">
        <v>865</v>
      </c>
      <c r="D14" s="206" t="s">
        <v>806</v>
      </c>
      <c r="E14" s="207" t="s">
        <v>42</v>
      </c>
      <c r="F14" s="221" t="s">
        <v>754</v>
      </c>
      <c r="G14" s="206"/>
    </row>
    <row r="15" spans="2:14" ht="148" customHeight="1" x14ac:dyDescent="0.25">
      <c r="B15" s="206" t="s">
        <v>268</v>
      </c>
      <c r="C15" s="207" t="s">
        <v>266</v>
      </c>
      <c r="D15" s="206" t="s">
        <v>807</v>
      </c>
      <c r="E15" s="206" t="s">
        <v>712</v>
      </c>
      <c r="F15" s="221" t="s">
        <v>754</v>
      </c>
      <c r="G15" s="206"/>
    </row>
    <row r="16" spans="2:14" ht="113.5" customHeight="1" x14ac:dyDescent="0.25">
      <c r="B16" s="206" t="s">
        <v>52</v>
      </c>
      <c r="C16" s="207" t="s">
        <v>39</v>
      </c>
      <c r="D16" s="206" t="s">
        <v>808</v>
      </c>
      <c r="E16" s="207" t="s">
        <v>42</v>
      </c>
      <c r="F16" s="221" t="s">
        <v>759</v>
      </c>
      <c r="G16" s="206"/>
    </row>
    <row r="17" spans="2:7" ht="145" customHeight="1" x14ac:dyDescent="0.25">
      <c r="B17" s="206" t="s">
        <v>809</v>
      </c>
      <c r="C17" s="207" t="s">
        <v>866</v>
      </c>
      <c r="D17" s="206" t="s">
        <v>810</v>
      </c>
      <c r="E17" s="206" t="s">
        <v>712</v>
      </c>
      <c r="F17" s="221" t="s">
        <v>754</v>
      </c>
      <c r="G17" s="206"/>
    </row>
    <row r="18" spans="2:7" ht="125.15" customHeight="1" x14ac:dyDescent="0.25">
      <c r="B18" s="206" t="s">
        <v>236</v>
      </c>
      <c r="C18" s="207" t="s">
        <v>866</v>
      </c>
      <c r="D18" s="206" t="s">
        <v>811</v>
      </c>
      <c r="E18" s="207" t="s">
        <v>130</v>
      </c>
      <c r="F18" s="221" t="s">
        <v>754</v>
      </c>
      <c r="G18" s="206"/>
    </row>
    <row r="19" spans="2:7" ht="77.5" customHeight="1" x14ac:dyDescent="0.25">
      <c r="B19" s="206" t="s">
        <v>101</v>
      </c>
      <c r="C19" s="207" t="s">
        <v>865</v>
      </c>
      <c r="D19" s="206" t="s">
        <v>812</v>
      </c>
      <c r="E19" s="206" t="s">
        <v>813</v>
      </c>
      <c r="F19" s="221" t="s">
        <v>754</v>
      </c>
      <c r="G19" s="206"/>
    </row>
    <row r="20" spans="2:7" ht="134.5" customHeight="1" x14ac:dyDescent="0.25">
      <c r="B20" s="206" t="s">
        <v>529</v>
      </c>
      <c r="C20" s="207" t="s">
        <v>866</v>
      </c>
      <c r="D20" s="206" t="s">
        <v>855</v>
      </c>
      <c r="E20" s="207" t="s">
        <v>42</v>
      </c>
      <c r="F20" s="221" t="s">
        <v>759</v>
      </c>
      <c r="G20" s="206"/>
    </row>
    <row r="21" spans="2:7" ht="108" customHeight="1" x14ac:dyDescent="0.25">
      <c r="B21" s="206" t="s">
        <v>348</v>
      </c>
      <c r="C21" s="207" t="s">
        <v>868</v>
      </c>
      <c r="D21" s="206" t="s">
        <v>814</v>
      </c>
      <c r="E21" s="207" t="s">
        <v>42</v>
      </c>
      <c r="F21" s="221" t="s">
        <v>759</v>
      </c>
      <c r="G21" s="206"/>
    </row>
    <row r="22" spans="2:7" ht="89.5" customHeight="1" x14ac:dyDescent="0.25">
      <c r="B22" s="206" t="s">
        <v>199</v>
      </c>
      <c r="C22" s="207" t="s">
        <v>866</v>
      </c>
      <c r="D22" s="206" t="s">
        <v>815</v>
      </c>
      <c r="E22" s="206" t="s">
        <v>712</v>
      </c>
      <c r="F22" s="221" t="s">
        <v>759</v>
      </c>
      <c r="G22" s="206"/>
    </row>
    <row r="23" spans="2:7" ht="49.5" customHeight="1" x14ac:dyDescent="0.25">
      <c r="B23" s="206" t="s">
        <v>279</v>
      </c>
      <c r="C23" s="207" t="s">
        <v>266</v>
      </c>
      <c r="D23" s="206" t="s">
        <v>816</v>
      </c>
      <c r="E23" s="206" t="s">
        <v>817</v>
      </c>
      <c r="F23" s="221" t="s">
        <v>759</v>
      </c>
      <c r="G23" s="206"/>
    </row>
    <row r="24" spans="2:7" ht="146.15" customHeight="1" x14ac:dyDescent="0.25">
      <c r="B24" s="206" t="s">
        <v>234</v>
      </c>
      <c r="C24" s="207" t="s">
        <v>866</v>
      </c>
      <c r="D24" s="206" t="s">
        <v>818</v>
      </c>
      <c r="E24" s="207" t="s">
        <v>130</v>
      </c>
      <c r="F24" s="221" t="s">
        <v>754</v>
      </c>
      <c r="G24" s="206"/>
    </row>
    <row r="25" spans="2:7" ht="156" customHeight="1" x14ac:dyDescent="0.25">
      <c r="B25" s="206" t="s">
        <v>212</v>
      </c>
      <c r="C25" s="207" t="s">
        <v>866</v>
      </c>
      <c r="D25" s="206" t="s">
        <v>819</v>
      </c>
      <c r="E25" s="207" t="s">
        <v>42</v>
      </c>
      <c r="F25" s="221" t="s">
        <v>754</v>
      </c>
      <c r="G25" s="206"/>
    </row>
    <row r="26" spans="2:7" ht="166" customHeight="1" x14ac:dyDescent="0.25">
      <c r="B26" s="206" t="s">
        <v>398</v>
      </c>
      <c r="C26" s="207" t="s">
        <v>395</v>
      </c>
      <c r="D26" s="206" t="s">
        <v>820</v>
      </c>
      <c r="E26" s="207" t="s">
        <v>42</v>
      </c>
      <c r="F26" s="221" t="s">
        <v>754</v>
      </c>
      <c r="G26" s="206"/>
    </row>
    <row r="27" spans="2:7" ht="143.15" customHeight="1" x14ac:dyDescent="0.25">
      <c r="B27" s="206" t="s">
        <v>211</v>
      </c>
      <c r="C27" s="207" t="s">
        <v>866</v>
      </c>
      <c r="D27" s="206" t="s">
        <v>821</v>
      </c>
      <c r="E27" s="207" t="s">
        <v>42</v>
      </c>
      <c r="F27" s="221" t="s">
        <v>754</v>
      </c>
      <c r="G27" s="206"/>
    </row>
    <row r="28" spans="2:7" ht="71.5" customHeight="1" x14ac:dyDescent="0.25">
      <c r="B28" s="206" t="s">
        <v>358</v>
      </c>
      <c r="C28" s="207" t="s">
        <v>868</v>
      </c>
      <c r="D28" s="206" t="s">
        <v>822</v>
      </c>
      <c r="E28" s="207" t="s">
        <v>42</v>
      </c>
      <c r="F28" s="221" t="s">
        <v>754</v>
      </c>
      <c r="G28" s="206"/>
    </row>
    <row r="29" spans="2:7" ht="152.5" customHeight="1" x14ac:dyDescent="0.25">
      <c r="B29" s="206" t="s">
        <v>607</v>
      </c>
      <c r="C29" s="207" t="s">
        <v>868</v>
      </c>
      <c r="D29" s="206" t="s">
        <v>823</v>
      </c>
      <c r="E29" s="206" t="s">
        <v>813</v>
      </c>
      <c r="F29" s="221" t="s">
        <v>754</v>
      </c>
      <c r="G29" s="206"/>
    </row>
    <row r="30" spans="2:7" ht="191.5" customHeight="1" x14ac:dyDescent="0.25">
      <c r="B30" s="206" t="s">
        <v>406</v>
      </c>
      <c r="C30" s="207" t="s">
        <v>405</v>
      </c>
      <c r="D30" s="206" t="s">
        <v>824</v>
      </c>
      <c r="E30" s="206" t="s">
        <v>712</v>
      </c>
      <c r="F30" s="221" t="s">
        <v>759</v>
      </c>
      <c r="G30" s="206"/>
    </row>
    <row r="31" spans="2:7" ht="121.5" customHeight="1" x14ac:dyDescent="0.25">
      <c r="B31" s="206" t="s">
        <v>219</v>
      </c>
      <c r="C31" s="207" t="s">
        <v>866</v>
      </c>
      <c r="D31" s="206" t="s">
        <v>825</v>
      </c>
      <c r="E31" s="207" t="s">
        <v>42</v>
      </c>
      <c r="F31" s="221" t="s">
        <v>759</v>
      </c>
      <c r="G31" s="206"/>
    </row>
    <row r="32" spans="2:7" ht="112" customHeight="1" x14ac:dyDescent="0.25">
      <c r="B32" s="206" t="s">
        <v>222</v>
      </c>
      <c r="C32" s="207" t="s">
        <v>866</v>
      </c>
      <c r="D32" s="206" t="s">
        <v>826</v>
      </c>
      <c r="E32" s="207" t="s">
        <v>42</v>
      </c>
      <c r="F32" s="221" t="s">
        <v>754</v>
      </c>
      <c r="G32" s="206"/>
    </row>
    <row r="33" spans="2:7" ht="99" customHeight="1" x14ac:dyDescent="0.25">
      <c r="B33" s="206" t="s">
        <v>288</v>
      </c>
      <c r="C33" s="207" t="s">
        <v>266</v>
      </c>
      <c r="D33" s="206" t="s">
        <v>827</v>
      </c>
      <c r="E33" s="207" t="s">
        <v>42</v>
      </c>
      <c r="F33" s="221" t="s">
        <v>759</v>
      </c>
      <c r="G33" s="206"/>
    </row>
    <row r="34" spans="2:7" ht="216.65" customHeight="1" x14ac:dyDescent="0.25">
      <c r="B34" s="206" t="s">
        <v>856</v>
      </c>
      <c r="C34" s="207" t="s">
        <v>865</v>
      </c>
      <c r="D34" s="133" t="s">
        <v>859</v>
      </c>
      <c r="E34" s="206" t="s">
        <v>712</v>
      </c>
      <c r="F34" s="221" t="s">
        <v>754</v>
      </c>
      <c r="G34" s="206"/>
    </row>
    <row r="35" spans="2:7" ht="144.65" customHeight="1" x14ac:dyDescent="0.25">
      <c r="B35" s="206" t="s">
        <v>601</v>
      </c>
      <c r="C35" s="207" t="s">
        <v>868</v>
      </c>
      <c r="D35" s="206" t="s">
        <v>828</v>
      </c>
      <c r="E35" s="207" t="s">
        <v>42</v>
      </c>
      <c r="F35" s="221" t="s">
        <v>754</v>
      </c>
      <c r="G35" s="206"/>
    </row>
    <row r="36" spans="2:7" ht="88" customHeight="1" x14ac:dyDescent="0.25">
      <c r="B36" s="206" t="s">
        <v>178</v>
      </c>
      <c r="C36" s="207" t="s">
        <v>865</v>
      </c>
      <c r="D36" s="206" t="s">
        <v>829</v>
      </c>
      <c r="E36" s="206" t="s">
        <v>713</v>
      </c>
      <c r="F36" s="221" t="s">
        <v>754</v>
      </c>
      <c r="G36" s="206"/>
    </row>
    <row r="37" spans="2:7" ht="86.5" customHeight="1" x14ac:dyDescent="0.25">
      <c r="B37" s="206" t="s">
        <v>303</v>
      </c>
      <c r="C37" s="207" t="s">
        <v>298</v>
      </c>
      <c r="D37" s="206" t="s">
        <v>830</v>
      </c>
      <c r="E37" s="206" t="s">
        <v>831</v>
      </c>
      <c r="F37" s="221" t="s">
        <v>759</v>
      </c>
      <c r="G37" s="206"/>
    </row>
    <row r="38" spans="2:7" ht="66.650000000000006" customHeight="1" x14ac:dyDescent="0.25">
      <c r="B38" s="206" t="s">
        <v>530</v>
      </c>
      <c r="C38" s="207" t="s">
        <v>866</v>
      </c>
      <c r="D38" s="206" t="s">
        <v>832</v>
      </c>
      <c r="E38" s="207" t="s">
        <v>42</v>
      </c>
      <c r="F38" s="221" t="s">
        <v>754</v>
      </c>
      <c r="G38" s="206"/>
    </row>
    <row r="39" spans="2:7" ht="86.5" customHeight="1" x14ac:dyDescent="0.25">
      <c r="B39" s="206" t="s">
        <v>351</v>
      </c>
      <c r="C39" s="207" t="s">
        <v>868</v>
      </c>
      <c r="D39" s="206" t="s">
        <v>833</v>
      </c>
      <c r="E39" s="207" t="s">
        <v>42</v>
      </c>
      <c r="F39" s="221" t="s">
        <v>754</v>
      </c>
      <c r="G39" s="206"/>
    </row>
    <row r="40" spans="2:7" ht="41.5" customHeight="1" x14ac:dyDescent="0.25">
      <c r="B40" s="206" t="s">
        <v>49</v>
      </c>
      <c r="C40" s="207" t="s">
        <v>865</v>
      </c>
      <c r="D40" s="206" t="s">
        <v>834</v>
      </c>
      <c r="E40" s="206" t="s">
        <v>712</v>
      </c>
      <c r="F40" s="221" t="s">
        <v>754</v>
      </c>
      <c r="G40" s="206"/>
    </row>
    <row r="41" spans="2:7" ht="42" customHeight="1" x14ac:dyDescent="0.25">
      <c r="B41" s="206" t="s">
        <v>80</v>
      </c>
      <c r="C41" s="207" t="s">
        <v>865</v>
      </c>
      <c r="D41" s="206" t="s">
        <v>835</v>
      </c>
      <c r="E41" s="206" t="s">
        <v>712</v>
      </c>
      <c r="F41" s="221" t="s">
        <v>759</v>
      </c>
      <c r="G41" s="206"/>
    </row>
    <row r="42" spans="2:7" ht="50.15" customHeight="1" x14ac:dyDescent="0.25">
      <c r="B42" s="206" t="s">
        <v>641</v>
      </c>
      <c r="C42" s="207" t="s">
        <v>405</v>
      </c>
      <c r="D42" s="206" t="s">
        <v>836</v>
      </c>
      <c r="E42" s="206" t="s">
        <v>712</v>
      </c>
      <c r="F42" s="221" t="s">
        <v>759</v>
      </c>
      <c r="G42" s="206"/>
    </row>
    <row r="43" spans="2:7" ht="64" customHeight="1" x14ac:dyDescent="0.25">
      <c r="B43" s="206" t="s">
        <v>616</v>
      </c>
      <c r="C43" s="207" t="s">
        <v>868</v>
      </c>
      <c r="D43" s="206" t="s">
        <v>837</v>
      </c>
      <c r="E43" s="207" t="s">
        <v>130</v>
      </c>
      <c r="F43" s="221" t="s">
        <v>754</v>
      </c>
      <c r="G43" s="206"/>
    </row>
    <row r="44" spans="2:7" ht="130" customHeight="1" x14ac:dyDescent="0.25">
      <c r="B44" s="206" t="s">
        <v>611</v>
      </c>
      <c r="C44" s="207" t="s">
        <v>868</v>
      </c>
      <c r="D44" s="206" t="s">
        <v>838</v>
      </c>
      <c r="E44" s="206" t="s">
        <v>712</v>
      </c>
      <c r="F44" s="221" t="s">
        <v>754</v>
      </c>
      <c r="G44" s="206"/>
    </row>
    <row r="45" spans="2:7" ht="134.15" customHeight="1" x14ac:dyDescent="0.25">
      <c r="B45" s="206" t="s">
        <v>504</v>
      </c>
      <c r="C45" s="207" t="s">
        <v>865</v>
      </c>
      <c r="D45" s="206" t="s">
        <v>839</v>
      </c>
      <c r="E45" s="207" t="s">
        <v>159</v>
      </c>
      <c r="F45" s="221" t="s">
        <v>754</v>
      </c>
      <c r="G45" s="206"/>
    </row>
    <row r="46" spans="2:7" ht="30" customHeight="1" x14ac:dyDescent="0.25">
      <c r="B46" s="206" t="s">
        <v>574</v>
      </c>
      <c r="C46" s="207" t="s">
        <v>314</v>
      </c>
      <c r="D46" s="206" t="s">
        <v>840</v>
      </c>
      <c r="E46" s="207" t="s">
        <v>42</v>
      </c>
      <c r="F46" s="221" t="s">
        <v>754</v>
      </c>
      <c r="G46" s="206"/>
    </row>
    <row r="47" spans="2:7" ht="112.5" customHeight="1" x14ac:dyDescent="0.25">
      <c r="B47" s="206" t="s">
        <v>433</v>
      </c>
      <c r="C47" s="207" t="s">
        <v>865</v>
      </c>
      <c r="D47" s="206" t="s">
        <v>841</v>
      </c>
      <c r="E47" s="207" t="s">
        <v>42</v>
      </c>
      <c r="F47" s="221" t="s">
        <v>754</v>
      </c>
      <c r="G47" s="206"/>
    </row>
    <row r="48" spans="2:7" ht="200.15" customHeight="1" x14ac:dyDescent="0.25">
      <c r="B48" s="206" t="s">
        <v>430</v>
      </c>
      <c r="C48" s="207" t="s">
        <v>865</v>
      </c>
      <c r="D48" s="206" t="s">
        <v>842</v>
      </c>
      <c r="E48" s="207" t="s">
        <v>42</v>
      </c>
      <c r="F48" s="221" t="s">
        <v>754</v>
      </c>
      <c r="G48" s="206"/>
    </row>
    <row r="49" spans="2:9" ht="86.5" customHeight="1" x14ac:dyDescent="0.25">
      <c r="B49" s="206" t="s">
        <v>591</v>
      </c>
      <c r="C49" s="207" t="s">
        <v>590</v>
      </c>
      <c r="D49" s="206" t="s">
        <v>843</v>
      </c>
      <c r="E49" s="207" t="s">
        <v>42</v>
      </c>
      <c r="F49" s="221" t="s">
        <v>754</v>
      </c>
      <c r="G49" s="206"/>
    </row>
    <row r="50" spans="2:9" ht="83.5" customHeight="1" x14ac:dyDescent="0.25">
      <c r="B50" s="206" t="s">
        <v>441</v>
      </c>
      <c r="C50" s="207" t="s">
        <v>865</v>
      </c>
      <c r="D50" s="206" t="s">
        <v>844</v>
      </c>
      <c r="E50" s="207" t="s">
        <v>42</v>
      </c>
      <c r="F50" s="221" t="s">
        <v>754</v>
      </c>
      <c r="G50" s="206"/>
    </row>
    <row r="51" spans="2:9" ht="128.15" customHeight="1" x14ac:dyDescent="0.25">
      <c r="B51" s="206" t="s">
        <v>845</v>
      </c>
      <c r="C51" s="207" t="s">
        <v>865</v>
      </c>
      <c r="D51" s="206" t="s">
        <v>846</v>
      </c>
      <c r="E51" s="206" t="s">
        <v>813</v>
      </c>
      <c r="F51" s="221" t="s">
        <v>754</v>
      </c>
      <c r="G51" s="206"/>
    </row>
    <row r="52" spans="2:9" ht="119.5" customHeight="1" x14ac:dyDescent="0.25">
      <c r="B52" s="133" t="s">
        <v>320</v>
      </c>
      <c r="C52" s="133" t="s">
        <v>314</v>
      </c>
      <c r="D52" s="133" t="s">
        <v>847</v>
      </c>
      <c r="E52" s="201" t="s">
        <v>42</v>
      </c>
      <c r="F52" s="201" t="s">
        <v>754</v>
      </c>
      <c r="G52" s="222"/>
      <c r="I52" s="203"/>
    </row>
    <row r="53" spans="2:9" ht="6" customHeight="1" x14ac:dyDescent="0.25">
      <c r="B53" s="192"/>
      <c r="C53" s="192"/>
      <c r="D53" s="192"/>
      <c r="E53" s="203"/>
      <c r="F53" s="192"/>
      <c r="G53" s="203"/>
      <c r="H53" s="203"/>
      <c r="I53" s="203"/>
    </row>
    <row r="54" spans="2:9" ht="11.5" x14ac:dyDescent="0.25">
      <c r="B54" s="32" t="s">
        <v>412</v>
      </c>
      <c r="C54" s="223"/>
    </row>
    <row r="55" spans="2:9" ht="12.75" customHeight="1" x14ac:dyDescent="0.25">
      <c r="B55" s="20" t="s">
        <v>848</v>
      </c>
    </row>
    <row r="56" spans="2:9" ht="12.75" customHeight="1" x14ac:dyDescent="0.25">
      <c r="B56" s="20" t="s">
        <v>792</v>
      </c>
      <c r="C56" s="215"/>
      <c r="D56" s="215"/>
      <c r="E56" s="215"/>
      <c r="F56" s="215"/>
      <c r="G56" s="215"/>
    </row>
    <row r="57" spans="2:9" ht="12.75" customHeight="1" x14ac:dyDescent="0.25">
      <c r="B57" s="20" t="s">
        <v>849</v>
      </c>
      <c r="C57" s="215"/>
      <c r="D57" s="215"/>
      <c r="E57" s="215"/>
      <c r="F57" s="215"/>
      <c r="G57" s="215"/>
    </row>
    <row r="58" spans="2:9" ht="12.75" customHeight="1" x14ac:dyDescent="0.25">
      <c r="B58" s="20" t="s">
        <v>850</v>
      </c>
    </row>
    <row r="59" spans="2:9" ht="3.65" customHeight="1" x14ac:dyDescent="0.25">
      <c r="B59" s="215"/>
      <c r="C59" s="215"/>
      <c r="D59" s="215"/>
      <c r="E59" s="215"/>
      <c r="F59" s="215"/>
      <c r="G59" s="215"/>
    </row>
    <row r="60" spans="2:9" ht="11.5" x14ac:dyDescent="0.25">
      <c r="B60" s="67" t="s">
        <v>425</v>
      </c>
      <c r="C60" s="67"/>
      <c r="D60" s="225"/>
      <c r="E60" s="67"/>
      <c r="F60" s="67"/>
      <c r="G60" s="67"/>
    </row>
    <row r="61" spans="2:9" ht="13.5" customHeight="1" x14ac:dyDescent="0.25">
      <c r="B61" s="68" t="s">
        <v>861</v>
      </c>
    </row>
    <row r="62" spans="2:9" ht="13.5" customHeight="1" x14ac:dyDescent="0.25">
      <c r="B62" s="68" t="s">
        <v>796</v>
      </c>
    </row>
    <row r="63" spans="2:9" ht="13.5" customHeight="1" x14ac:dyDescent="0.25"/>
    <row r="64" spans="2:9" ht="11.5" x14ac:dyDescent="0.25"/>
    <row r="65" spans="7:7" ht="11.5" x14ac:dyDescent="0.25">
      <c r="G65" s="135"/>
    </row>
    <row r="66" spans="7:7" ht="11.5" x14ac:dyDescent="0.25"/>
    <row r="67" spans="7:7" ht="11.5" x14ac:dyDescent="0.25"/>
    <row r="68" spans="7:7" ht="11.5" x14ac:dyDescent="0.25"/>
    <row r="69" spans="7:7" ht="11.5" x14ac:dyDescent="0.25"/>
    <row r="70" spans="7:7" ht="11.5" x14ac:dyDescent="0.25"/>
  </sheetData>
  <hyperlinks>
    <hyperlink ref="B4" location="'Index sheet'!A1" display="Back to index" xr:uid="{00000000-0004-0000-0800-000000000000}"/>
  </hyperlinks>
  <pageMargins left="0.25" right="0.25" top="0.75" bottom="0.75" header="0.3" footer="0.3"/>
  <pageSetup paperSize="8" fitToHeight="0" orientation="landscape" r:id="rId1"/>
  <ignoredErrors>
    <ignoredError sqref="B1:G1 B54:G60 C2:G2 B3:G6 H7:N7 B63:G70 C61:G61 C62:G62 J52:N52 H1:N1 H54:N60 H2:N2 H3:N6 H63:N70 H61:N61 H62:N6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81c2681-db7b-4a56-9abd-a3238a78f6b2">
      <Terms xmlns="http://schemas.microsoft.com/office/infopath/2007/PartnerControls"/>
    </lcf76f155ced4ddcb4097134ff3c332f>
    <TaxCatchAll xmlns="a95247a4-6a6b-40fb-87b6-0fb2f012c536"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32bd6c5e5959c1910481ac1964c35c71">
  <xsd:schema xmlns:xsd="http://www.w3.org/2001/XMLSchema" xmlns:xs="http://www.w3.org/2001/XMLSchema" xmlns:p="http://schemas.microsoft.com/office/2006/metadata/properties" xmlns:ns1="http://schemas.microsoft.com/sharepoint/v3" xmlns:ns2="e00971f4-2ba1-4f34-8587-a97173c3e11e" xmlns:ns3="2e1e066c-9eb0-452a-a3f3-06ad776bb8d6" xmlns:ns4="d81c2681-db7b-4a56-9abd-a3238a78f6b2" xmlns:ns5="a95247a4-6a6b-40fb-87b6-0fb2f012c536" targetNamespace="http://schemas.microsoft.com/office/2006/metadata/properties" ma:root="true" ma:fieldsID="c893a21142252226390443b2c7a5694e" ns1:_="" ns2:_="" ns3:_="" ns4:_="" ns5:_="">
    <xsd:import namespace="http://schemas.microsoft.com/sharepoint/v3"/>
    <xsd:import namespace="e00971f4-2ba1-4f34-8587-a97173c3e11e"/>
    <xsd:import namespace="2e1e066c-9eb0-452a-a3f3-06ad776bb8d6"/>
    <xsd:import namespace="d81c2681-db7b-4a56-9abd-a3238a78f6b2"/>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Location"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0971f4-2ba1-4f34-8587-a97173c3e1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1e066c-9eb0-452a-a3f3-06ad776bb8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f31afe7e-a06c-4219-a958-c4cbadbbfcb5}"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2.xml><?xml version="1.0" encoding="utf-8"?>
<ds:datastoreItem xmlns:ds="http://schemas.openxmlformats.org/officeDocument/2006/customXml" ds:itemID="{9094383F-C1A3-4A6E-88F9-B0282E5D8A0C}">
  <ds:schemaRefs>
    <ds:schemaRef ds:uri="4980a12c-f7c5-4adc-b1ed-d30e576e1cfd"/>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terms/"/>
    <ds:schemaRef ds:uri="03091ed5-728e-4880-8821-7360d998a1ce"/>
    <ds:schemaRef ds:uri="http://schemas.microsoft.com/office/2006/metadata/properties"/>
    <ds:schemaRef ds:uri="http://www.w3.org/XML/1998/namespace"/>
    <ds:schemaRef ds:uri="d81c2681-db7b-4a56-9abd-a3238a78f6b2"/>
    <ds:schemaRef ds:uri="a95247a4-6a6b-40fb-87b6-0fb2f012c536"/>
    <ds:schemaRef ds:uri="http://schemas.microsoft.com/sharepoint/v3"/>
  </ds:schemaRefs>
</ds:datastoreItem>
</file>

<file path=customXml/itemProps3.xml><?xml version="1.0" encoding="utf-8"?>
<ds:datastoreItem xmlns:ds="http://schemas.openxmlformats.org/officeDocument/2006/customXml" ds:itemID="{177BCE7E-FDC9-4A0C-8C6A-F6781337D9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00971f4-2ba1-4f34-8587-a97173c3e11e"/>
    <ds:schemaRef ds:uri="2e1e066c-9eb0-452a-a3f3-06ad776bb8d6"/>
    <ds:schemaRef ds:uri="d81c2681-db7b-4a56-9abd-a3238a78f6b2"/>
    <ds:schemaRef ds:uri="a95247a4-6a6b-40fb-87b6-0fb2f012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 sheet</vt:lpstr>
      <vt:lpstr>Table1_2021</vt:lpstr>
      <vt:lpstr>Table1_2022</vt:lpstr>
      <vt:lpstr>Table2_2021</vt:lpstr>
      <vt:lpstr>Table2_2022</vt:lpstr>
      <vt:lpstr>Table3_2021</vt:lpstr>
      <vt:lpstr>Table3_2022</vt:lpstr>
      <vt:lpstr>Table4</vt:lpstr>
      <vt:lpstr>Table5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Torres</dc:creator>
  <cp:keywords>[SEC=OFFICIAL]</cp:keywords>
  <dc:description/>
  <cp:lastModifiedBy>Angela PRENDERGAST</cp:lastModifiedBy>
  <cp:revision/>
  <cp:lastPrinted>2024-11-15T00:58:21Z</cp:lastPrinted>
  <dcterms:created xsi:type="dcterms:W3CDTF">2021-11-26T12:02:15Z</dcterms:created>
  <dcterms:modified xsi:type="dcterms:W3CDTF">2024-12-12T23:31:55Z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MediaServiceImageTags">
    <vt:lpwstr/>
  </property>
  <property fmtid="{D5CDD505-2E9C-101B-9397-08002B2CF9AE}" pid="4" name="PM_Namespace">
    <vt:lpwstr>gov.au</vt:lpwstr>
  </property>
  <property fmtid="{D5CDD505-2E9C-101B-9397-08002B2CF9AE}" pid="5" name="PM_Caveats_Count">
    <vt:lpwstr>0</vt:lpwstr>
  </property>
  <property fmtid="{D5CDD505-2E9C-101B-9397-08002B2CF9AE}" pid="6" name="PM_Version">
    <vt:lpwstr>2018.4</vt:lpwstr>
  </property>
  <property fmtid="{D5CDD505-2E9C-101B-9397-08002B2CF9AE}" pid="7" name="PM_Note">
    <vt:lpwstr/>
  </property>
  <property fmtid="{D5CDD505-2E9C-101B-9397-08002B2CF9AE}" pid="8" name="PMHMAC">
    <vt:lpwstr>v=2022.1;a=SHA256;h=FF956459E7122AC2F50A6503526BACAF3C2CB6F396C6602A463FCD1F341EE3B4</vt:lpwstr>
  </property>
  <property fmtid="{D5CDD505-2E9C-101B-9397-08002B2CF9AE}" pid="9" name="PM_Qualifier">
    <vt:lpwstr/>
  </property>
  <property fmtid="{D5CDD505-2E9C-101B-9397-08002B2CF9AE}" pid="10" name="PM_SecurityClassification">
    <vt:lpwstr>OFFICIAL</vt:lpwstr>
  </property>
  <property fmtid="{D5CDD505-2E9C-101B-9397-08002B2CF9AE}" pid="11" name="PM_ProtectiveMarkingValue_Header">
    <vt:lpwstr>OFFICIAL</vt:lpwstr>
  </property>
  <property fmtid="{D5CDD505-2E9C-101B-9397-08002B2CF9AE}" pid="12" name="PM_OriginationTimeStamp">
    <vt:lpwstr>2024-07-11T03:12:44Z</vt:lpwstr>
  </property>
  <property fmtid="{D5CDD505-2E9C-101B-9397-08002B2CF9AE}" pid="13" name="PM_Markers">
    <vt:lpwstr/>
  </property>
  <property fmtid="{D5CDD505-2E9C-101B-9397-08002B2CF9AE}" pid="14" name="PM_InsertionValue">
    <vt:lpwstr>OFFICIAL</vt:lpwstr>
  </property>
  <property fmtid="{D5CDD505-2E9C-101B-9397-08002B2CF9AE}" pid="15" name="PM_Originator_Hash_SHA1">
    <vt:lpwstr>A122FB9430E8A922ED1B96FC4FD2191B65C66293</vt:lpwstr>
  </property>
  <property fmtid="{D5CDD505-2E9C-101B-9397-08002B2CF9AE}" pid="16" name="PM_DisplayValueSecClassificationWithQualifier">
    <vt:lpwstr>OFFICIAL</vt:lpwstr>
  </property>
  <property fmtid="{D5CDD505-2E9C-101B-9397-08002B2CF9AE}" pid="17" name="PM_Originating_FileId">
    <vt:lpwstr>8EA87EDCFA2A4EBBB0023D4FF8D482B9</vt:lpwstr>
  </property>
  <property fmtid="{D5CDD505-2E9C-101B-9397-08002B2CF9AE}" pid="18" name="PM_ProtectiveMarkingValue_Footer">
    <vt:lpwstr>OFFICIAL</vt:lpwstr>
  </property>
  <property fmtid="{D5CDD505-2E9C-101B-9397-08002B2CF9AE}" pid="19" name="PM_ProtectiveMarkingImage_Header">
    <vt:lpwstr>C:\Program Files (x86)\Common Files\janusNET Shared\janusSEAL\Images\DocumentSlashBlue.png</vt:lpwstr>
  </property>
  <property fmtid="{D5CDD505-2E9C-101B-9397-08002B2CF9AE}" pid="20" name="PM_ProtectiveMarkingImage_Footer">
    <vt:lpwstr>C:\Program Files (x86)\Common Files\janusNET Shared\janusSEAL\Images\DocumentSlashBlue.png</vt:lpwstr>
  </property>
  <property fmtid="{D5CDD505-2E9C-101B-9397-08002B2CF9AE}" pid="21" name="PM_Display">
    <vt:lpwstr>OFFICIAL</vt:lpwstr>
  </property>
  <property fmtid="{D5CDD505-2E9C-101B-9397-08002B2CF9AE}" pid="22" name="PM_OriginatorUserAccountName_SHA256">
    <vt:lpwstr>0FA25EF4FCDEC965EFFBC32DE84AC661B890BC72ED9AA83F334F400D370F590A</vt:lpwstr>
  </property>
  <property fmtid="{D5CDD505-2E9C-101B-9397-08002B2CF9AE}" pid="23" name="PM_OriginatorDomainName_SHA256">
    <vt:lpwstr>6F3591835F3B2A8A025B00B5BA6418010DA3A17C9C26EA9C049FFD28039489A2</vt:lpwstr>
  </property>
  <property fmtid="{D5CDD505-2E9C-101B-9397-08002B2CF9AE}" pid="24" name="PMUuid">
    <vt:lpwstr>v=2022.2;d=gov.au;g=46DD6D7C-8107-577B-BC6E-F348953B2E44</vt:lpwstr>
  </property>
  <property fmtid="{D5CDD505-2E9C-101B-9397-08002B2CF9AE}" pid="25" name="PM_Hash_Version">
    <vt:lpwstr>2022.1</vt:lpwstr>
  </property>
  <property fmtid="{D5CDD505-2E9C-101B-9397-08002B2CF9AE}" pid="26" name="PM_Hash_Salt_Prev">
    <vt:lpwstr>A174F70EDAE3CE555673A9534FB7CC12</vt:lpwstr>
  </property>
  <property fmtid="{D5CDD505-2E9C-101B-9397-08002B2CF9AE}" pid="27" name="PM_Hash_Salt">
    <vt:lpwstr>726C2DC35C049C4DB5C014BAB75E5FB7</vt:lpwstr>
  </property>
  <property fmtid="{D5CDD505-2E9C-101B-9397-08002B2CF9AE}" pid="28" name="PM_Hash_SHA1">
    <vt:lpwstr>963319053C902492996345195E3DF2C35C755CF0</vt:lpwstr>
  </property>
  <property fmtid="{D5CDD505-2E9C-101B-9397-08002B2CF9AE}" pid="29" name="PM_PrintOutPlacement_XLS">
    <vt:lpwstr/>
  </property>
  <property fmtid="{D5CDD505-2E9C-101B-9397-08002B2CF9AE}" pid="30" name="PM_SecurityClassification_Prev">
    <vt:lpwstr>OFFICIAL</vt:lpwstr>
  </property>
  <property fmtid="{D5CDD505-2E9C-101B-9397-08002B2CF9AE}" pid="31" name="PM_Qualifier_Prev">
    <vt:lpwstr/>
  </property>
</Properties>
</file>