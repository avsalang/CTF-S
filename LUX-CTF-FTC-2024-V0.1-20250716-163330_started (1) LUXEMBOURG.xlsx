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C:\Users\qeb838\Downloads\"/>
    </mc:Choice>
  </mc:AlternateContent>
  <xr:revisionPtr revIDLastSave="0" documentId="8_{34E9A6CE-FF67-4DF2-B186-A687ABFD6895}" xr6:coauthVersionLast="47" xr6:coauthVersionMax="47" xr10:uidLastSave="{00000000-0000-0000-0000-000000000000}"/>
  <bookViews>
    <workbookView xWindow="-108" yWindow="-108" windowWidth="30936" windowHeight="16776" xr2:uid="{00000000-000D-0000-FFFF-FFFF00000000}"/>
  </bookViews>
  <sheets>
    <sheet name="Index sheet" sheetId="1" r:id="rId1"/>
    <sheet name="Table1_2021" sheetId="3" r:id="rId2"/>
    <sheet name="Table1_2022" sheetId="2" r:id="rId3"/>
    <sheet name="Table2_2021" sheetId="5" r:id="rId4"/>
    <sheet name="Table2_2022" sheetId="4" r:id="rId5"/>
    <sheet name="Table3_2021" sheetId="7" r:id="rId6"/>
    <sheet name="Table3_2022" sheetId="6" r:id="rId7"/>
    <sheet name="Table4" sheetId="8" r:id="rId8"/>
    <sheet name="Table5" sheetId="9"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4" l="1"/>
  <c r="J31" i="4"/>
  <c r="H32" i="4"/>
  <c r="J32" i="4"/>
  <c r="H33" i="4"/>
  <c r="J33" i="4"/>
  <c r="E355" i="2"/>
  <c r="H20" i="5"/>
  <c r="G10" i="3"/>
  <c r="E13" i="3"/>
  <c r="D31" i="9"/>
  <c r="J13" i="5"/>
  <c r="J14" i="5"/>
  <c r="J15" i="5"/>
  <c r="J16" i="5"/>
  <c r="J17" i="5"/>
  <c r="J18" i="5"/>
  <c r="J19" i="5"/>
  <c r="J20" i="5"/>
  <c r="J21" i="5"/>
  <c r="J22" i="5"/>
  <c r="J12" i="5"/>
  <c r="H13" i="5"/>
  <c r="H14" i="5"/>
  <c r="H15" i="5"/>
  <c r="H16" i="5"/>
  <c r="H17" i="5"/>
  <c r="H18" i="5"/>
  <c r="H19" i="5"/>
  <c r="H21" i="5"/>
  <c r="H22" i="5"/>
  <c r="H12" i="5"/>
  <c r="J13" i="4"/>
  <c r="J14" i="4"/>
  <c r="J15" i="4"/>
  <c r="J16" i="4"/>
  <c r="J17" i="4"/>
  <c r="J18" i="4"/>
  <c r="J19" i="4"/>
  <c r="J20" i="4"/>
  <c r="J21" i="4"/>
  <c r="J22" i="4"/>
  <c r="J23" i="4"/>
  <c r="J24" i="4"/>
  <c r="J25" i="4"/>
  <c r="J26" i="4"/>
  <c r="J27" i="4"/>
  <c r="J28" i="4"/>
  <c r="J29" i="4"/>
  <c r="J30" i="4"/>
  <c r="J34" i="4"/>
  <c r="J35" i="4"/>
  <c r="J36" i="4"/>
  <c r="J37" i="4"/>
  <c r="J38" i="4"/>
  <c r="J12" i="4"/>
  <c r="H13" i="4"/>
  <c r="H14" i="4"/>
  <c r="H15" i="4"/>
  <c r="H16" i="4"/>
  <c r="H17" i="4"/>
  <c r="H18" i="4"/>
  <c r="H19" i="4"/>
  <c r="H20" i="4"/>
  <c r="H21" i="4"/>
  <c r="H22" i="4"/>
  <c r="H23" i="4"/>
  <c r="H24" i="4"/>
  <c r="H25" i="4"/>
  <c r="H26" i="4"/>
  <c r="H27" i="4"/>
  <c r="H28" i="4"/>
  <c r="H29" i="4"/>
  <c r="H30" i="4"/>
  <c r="H34" i="4"/>
  <c r="H35" i="4"/>
  <c r="H36" i="4"/>
  <c r="H37" i="4"/>
  <c r="H38" i="4"/>
  <c r="H12" i="4"/>
  <c r="F13" i="4"/>
  <c r="F14" i="4"/>
  <c r="F15" i="4"/>
  <c r="F16" i="4"/>
  <c r="F17" i="4"/>
  <c r="F18" i="4"/>
  <c r="F19" i="4"/>
  <c r="F20" i="4"/>
  <c r="F21" i="4"/>
  <c r="F22" i="4"/>
  <c r="F23" i="4"/>
  <c r="F24" i="4"/>
  <c r="F25" i="4"/>
  <c r="F26" i="4"/>
  <c r="F27" i="4"/>
  <c r="F28" i="4"/>
  <c r="F29" i="4"/>
  <c r="F30" i="4"/>
  <c r="F31" i="4"/>
  <c r="F32" i="4"/>
  <c r="F33" i="4"/>
  <c r="F34" i="4"/>
  <c r="F35" i="4"/>
  <c r="F36" i="4"/>
  <c r="F37" i="4"/>
  <c r="F38" i="4"/>
  <c r="F12" i="4"/>
  <c r="D13" i="4"/>
  <c r="D14" i="4"/>
  <c r="D15" i="4"/>
  <c r="D16" i="4"/>
  <c r="D17" i="4"/>
  <c r="D18" i="4"/>
  <c r="D19" i="4"/>
  <c r="D20" i="4"/>
  <c r="D21" i="4"/>
  <c r="D22" i="4"/>
  <c r="D23" i="4"/>
  <c r="D24" i="4"/>
  <c r="D25" i="4"/>
  <c r="D26" i="4"/>
  <c r="D27" i="4"/>
  <c r="D28" i="4"/>
  <c r="D29" i="4"/>
  <c r="D30" i="4"/>
  <c r="D31" i="4"/>
  <c r="D32" i="4"/>
  <c r="D33" i="4"/>
  <c r="D34" i="4"/>
  <c r="D35" i="4"/>
  <c r="D36" i="4"/>
  <c r="D37" i="4"/>
  <c r="D38" i="4"/>
  <c r="D12" i="4"/>
  <c r="F13" i="5"/>
  <c r="F14" i="5"/>
  <c r="F15" i="5"/>
  <c r="F16" i="5"/>
  <c r="F17" i="5"/>
  <c r="F18" i="5"/>
  <c r="F19" i="5"/>
  <c r="F20" i="5"/>
  <c r="F21" i="5"/>
  <c r="F22" i="5"/>
  <c r="F12" i="5"/>
  <c r="D13" i="5"/>
  <c r="D14" i="5"/>
  <c r="D15" i="5"/>
  <c r="D16" i="5"/>
  <c r="D17" i="5"/>
  <c r="D18" i="5"/>
  <c r="D19" i="5"/>
  <c r="D20" i="5"/>
  <c r="D21" i="5"/>
  <c r="D22" i="5"/>
  <c r="D12" i="5"/>
  <c r="E10" i="3"/>
  <c r="G201" i="3"/>
  <c r="E201" i="3"/>
  <c r="G200" i="3"/>
  <c r="E200" i="3"/>
  <c r="G199" i="3"/>
  <c r="E199" i="3"/>
  <c r="G198" i="3"/>
  <c r="E198" i="3"/>
  <c r="G197" i="3"/>
  <c r="E197" i="3"/>
  <c r="G196" i="3"/>
  <c r="E196" i="3"/>
  <c r="G195" i="3"/>
  <c r="E195" i="3"/>
  <c r="G194" i="3"/>
  <c r="E194" i="3"/>
  <c r="G193" i="3"/>
  <c r="E193" i="3"/>
  <c r="G192" i="3"/>
  <c r="E192" i="3"/>
  <c r="G191" i="3"/>
  <c r="E191" i="3"/>
  <c r="G190" i="3"/>
  <c r="E190" i="3"/>
  <c r="G189" i="3"/>
  <c r="E189" i="3"/>
  <c r="G188" i="3"/>
  <c r="E188" i="3"/>
  <c r="G187" i="3"/>
  <c r="E187" i="3"/>
  <c r="G186" i="3"/>
  <c r="E186" i="3"/>
  <c r="G185" i="3"/>
  <c r="E185" i="3"/>
  <c r="G184" i="3"/>
  <c r="E184" i="3"/>
  <c r="G183" i="3"/>
  <c r="E183" i="3"/>
  <c r="G182" i="3"/>
  <c r="E182" i="3"/>
  <c r="G181" i="3"/>
  <c r="E181" i="3"/>
  <c r="G180" i="3"/>
  <c r="E180" i="3"/>
  <c r="G179" i="3"/>
  <c r="E179" i="3"/>
  <c r="G178" i="3"/>
  <c r="E178" i="3"/>
  <c r="G177" i="3"/>
  <c r="E177" i="3"/>
  <c r="G176" i="3"/>
  <c r="E176" i="3"/>
  <c r="G175" i="3"/>
  <c r="E175" i="3"/>
  <c r="G174" i="3"/>
  <c r="E174" i="3"/>
  <c r="G173" i="3"/>
  <c r="E173" i="3"/>
  <c r="G172" i="3"/>
  <c r="E172" i="3"/>
  <c r="G171" i="3"/>
  <c r="E171" i="3"/>
  <c r="G170" i="3"/>
  <c r="E170" i="3"/>
  <c r="G169" i="3"/>
  <c r="E169" i="3"/>
  <c r="G168" i="3"/>
  <c r="E168" i="3"/>
  <c r="G167" i="3"/>
  <c r="E167" i="3"/>
  <c r="G166" i="3"/>
  <c r="E166" i="3"/>
  <c r="G165" i="3"/>
  <c r="E165" i="3"/>
  <c r="G164" i="3"/>
  <c r="E164" i="3"/>
  <c r="G163" i="3"/>
  <c r="E163" i="3"/>
  <c r="G162" i="3"/>
  <c r="E162" i="3"/>
  <c r="G161" i="3"/>
  <c r="E161" i="3"/>
  <c r="G160" i="3"/>
  <c r="E160" i="3"/>
  <c r="G159" i="3"/>
  <c r="E159" i="3"/>
  <c r="G158" i="3"/>
  <c r="E158" i="3"/>
  <c r="G157" i="3"/>
  <c r="E157" i="3"/>
  <c r="G156" i="3"/>
  <c r="E156" i="3"/>
  <c r="G155" i="3"/>
  <c r="E155" i="3"/>
  <c r="G154" i="3"/>
  <c r="E154" i="3"/>
  <c r="G153" i="3"/>
  <c r="E153" i="3"/>
  <c r="G152" i="3"/>
  <c r="E152" i="3"/>
  <c r="G151" i="3"/>
  <c r="E151" i="3"/>
  <c r="G150" i="3"/>
  <c r="E150" i="3"/>
  <c r="G149" i="3"/>
  <c r="E149" i="3"/>
  <c r="G148" i="3"/>
  <c r="E148" i="3"/>
  <c r="G147" i="3"/>
  <c r="E147" i="3"/>
  <c r="G146" i="3"/>
  <c r="E146" i="3"/>
  <c r="G145" i="3"/>
  <c r="E145" i="3"/>
  <c r="G144" i="3"/>
  <c r="E144" i="3"/>
  <c r="G143" i="3"/>
  <c r="E143" i="3"/>
  <c r="G142" i="3"/>
  <c r="E142" i="3"/>
  <c r="G141" i="3"/>
  <c r="E141" i="3"/>
  <c r="G140" i="3"/>
  <c r="E140" i="3"/>
  <c r="G139" i="3"/>
  <c r="E139" i="3"/>
  <c r="G138" i="3"/>
  <c r="E138" i="3"/>
  <c r="G137" i="3"/>
  <c r="E137" i="3"/>
  <c r="G136" i="3"/>
  <c r="E136" i="3"/>
  <c r="G135" i="3"/>
  <c r="E135" i="3"/>
  <c r="G134" i="3"/>
  <c r="E134" i="3"/>
  <c r="G133" i="3"/>
  <c r="E133" i="3"/>
  <c r="G132" i="3"/>
  <c r="E132" i="3"/>
  <c r="G131" i="3"/>
  <c r="E131" i="3"/>
  <c r="G130" i="3"/>
  <c r="E130" i="3"/>
  <c r="G129" i="3"/>
  <c r="E129" i="3"/>
  <c r="G128" i="3"/>
  <c r="E128" i="3"/>
  <c r="G127" i="3"/>
  <c r="E127" i="3"/>
  <c r="G126" i="3"/>
  <c r="E126" i="3"/>
  <c r="G125" i="3"/>
  <c r="E125" i="3"/>
  <c r="G124" i="3"/>
  <c r="E124" i="3"/>
  <c r="G123" i="3"/>
  <c r="E123" i="3"/>
  <c r="G122" i="3"/>
  <c r="E122" i="3"/>
  <c r="G121" i="3"/>
  <c r="E121" i="3"/>
  <c r="G120" i="3"/>
  <c r="E120" i="3"/>
  <c r="G119" i="3"/>
  <c r="E119" i="3"/>
  <c r="G118" i="3"/>
  <c r="E118" i="3"/>
  <c r="G117" i="3"/>
  <c r="E117" i="3"/>
  <c r="G116" i="3"/>
  <c r="E116" i="3"/>
  <c r="G115" i="3"/>
  <c r="E115" i="3"/>
  <c r="G114" i="3"/>
  <c r="E114" i="3"/>
  <c r="G113" i="3"/>
  <c r="E113" i="3"/>
  <c r="G112" i="3"/>
  <c r="E112" i="3"/>
  <c r="G111" i="3"/>
  <c r="E111" i="3"/>
  <c r="G110" i="3"/>
  <c r="E110" i="3"/>
  <c r="G109" i="3"/>
  <c r="E109" i="3"/>
  <c r="G108" i="3"/>
  <c r="E108" i="3"/>
  <c r="G107" i="3"/>
  <c r="E107" i="3"/>
  <c r="G106" i="3"/>
  <c r="E106" i="3"/>
  <c r="G293" i="2"/>
  <c r="E293" i="2"/>
  <c r="G292" i="2"/>
  <c r="E292" i="2"/>
  <c r="G291" i="2"/>
  <c r="E291" i="2"/>
  <c r="G290" i="2"/>
  <c r="E290" i="2"/>
  <c r="G289" i="2"/>
  <c r="E289" i="2"/>
  <c r="G288" i="2"/>
  <c r="E288" i="2"/>
  <c r="G287" i="2"/>
  <c r="E287" i="2"/>
  <c r="G286" i="2"/>
  <c r="E286" i="2"/>
  <c r="G285" i="2"/>
  <c r="E285" i="2"/>
  <c r="G284" i="2"/>
  <c r="E284" i="2"/>
  <c r="G283" i="2"/>
  <c r="E283" i="2"/>
  <c r="G282" i="2"/>
  <c r="E282" i="2"/>
  <c r="G281" i="2"/>
  <c r="E281" i="2"/>
  <c r="G280" i="2"/>
  <c r="E280" i="2"/>
  <c r="G279" i="2"/>
  <c r="E279" i="2"/>
  <c r="G278" i="2"/>
  <c r="E278" i="2"/>
  <c r="G277" i="2"/>
  <c r="E277" i="2"/>
  <c r="G276" i="2"/>
  <c r="E276" i="2"/>
  <c r="G275" i="2"/>
  <c r="E275" i="2"/>
  <c r="G274" i="2"/>
  <c r="E274" i="2"/>
  <c r="G273" i="2"/>
  <c r="E273" i="2"/>
  <c r="G272" i="2"/>
  <c r="E272" i="2"/>
  <c r="G271" i="2"/>
  <c r="E271" i="2"/>
  <c r="G270" i="2"/>
  <c r="E270" i="2"/>
  <c r="G269" i="2"/>
  <c r="E269" i="2"/>
  <c r="G268" i="2"/>
  <c r="E268" i="2"/>
  <c r="G267" i="2"/>
  <c r="E267" i="2"/>
  <c r="G266" i="2"/>
  <c r="E266" i="2"/>
  <c r="G265" i="2"/>
  <c r="E265" i="2"/>
  <c r="G264" i="2"/>
  <c r="E264" i="2"/>
  <c r="G263" i="2"/>
  <c r="E263" i="2"/>
  <c r="G262" i="2"/>
  <c r="E262" i="2"/>
  <c r="G261" i="2"/>
  <c r="E261" i="2"/>
  <c r="G260" i="2"/>
  <c r="E260" i="2"/>
  <c r="G259" i="2"/>
  <c r="E259" i="2"/>
  <c r="G258" i="2"/>
  <c r="E258" i="2"/>
  <c r="G257" i="2"/>
  <c r="E257" i="2"/>
  <c r="G256" i="2"/>
  <c r="E256" i="2"/>
  <c r="G255" i="2"/>
  <c r="E255" i="2"/>
  <c r="G254" i="2"/>
  <c r="E254" i="2"/>
  <c r="G253" i="2"/>
  <c r="E253" i="2"/>
  <c r="G252" i="2"/>
  <c r="E252" i="2"/>
  <c r="G251" i="2"/>
  <c r="E251" i="2"/>
  <c r="G250" i="2"/>
  <c r="E250" i="2"/>
  <c r="G249" i="2"/>
  <c r="E249" i="2"/>
  <c r="G248" i="2"/>
  <c r="E248" i="2"/>
  <c r="G247" i="2"/>
  <c r="E247" i="2"/>
  <c r="G246" i="2"/>
  <c r="E246" i="2"/>
  <c r="G245" i="2"/>
  <c r="E245" i="2"/>
  <c r="G244" i="2"/>
  <c r="E244" i="2"/>
  <c r="G243" i="2"/>
  <c r="E243" i="2"/>
  <c r="G242" i="2"/>
  <c r="E242" i="2"/>
  <c r="G241" i="2"/>
  <c r="E241" i="2"/>
  <c r="G240" i="2"/>
  <c r="E240" i="2"/>
  <c r="G239" i="2"/>
  <c r="E239" i="2"/>
  <c r="G238" i="2"/>
  <c r="E238" i="2"/>
  <c r="G237" i="2"/>
  <c r="E237" i="2"/>
  <c r="G236" i="2"/>
  <c r="E236" i="2"/>
  <c r="G235" i="2"/>
  <c r="E235" i="2"/>
  <c r="G234" i="2"/>
  <c r="E234" i="2"/>
  <c r="G233" i="2"/>
  <c r="E233" i="2"/>
  <c r="G232" i="2"/>
  <c r="E232" i="2"/>
  <c r="G231" i="2"/>
  <c r="E231" i="2"/>
  <c r="G230" i="2"/>
  <c r="E230" i="2"/>
  <c r="G229" i="2"/>
  <c r="E229" i="2"/>
  <c r="G228" i="2"/>
  <c r="E228" i="2"/>
  <c r="G227" i="2"/>
  <c r="E227" i="2"/>
  <c r="G226" i="2"/>
  <c r="E226" i="2"/>
  <c r="G225" i="2"/>
  <c r="E225" i="2"/>
  <c r="G224" i="2"/>
  <c r="E224" i="2"/>
  <c r="G223" i="2"/>
  <c r="E223" i="2"/>
  <c r="G222" i="2"/>
  <c r="E222" i="2"/>
  <c r="G221" i="2"/>
  <c r="E221" i="2"/>
  <c r="G220" i="2"/>
  <c r="E220" i="2"/>
  <c r="G219" i="2"/>
  <c r="E219" i="2"/>
  <c r="G218" i="2"/>
  <c r="E218" i="2"/>
  <c r="G217" i="2"/>
  <c r="E217" i="2"/>
  <c r="G216" i="2"/>
  <c r="E216" i="2"/>
  <c r="G215" i="2"/>
  <c r="E215" i="2"/>
  <c r="G214" i="2"/>
  <c r="E214" i="2"/>
  <c r="G213" i="2"/>
  <c r="E213" i="2"/>
  <c r="G212" i="2"/>
  <c r="E212" i="2"/>
  <c r="G211" i="2"/>
  <c r="E211" i="2"/>
  <c r="G210" i="2"/>
  <c r="E210" i="2"/>
  <c r="G209" i="2"/>
  <c r="E209" i="2"/>
  <c r="G208" i="2"/>
  <c r="E208" i="2"/>
  <c r="G207" i="2"/>
  <c r="E207" i="2"/>
  <c r="G206" i="2"/>
  <c r="E206" i="2"/>
  <c r="G205" i="2"/>
  <c r="E205" i="2"/>
  <c r="G204" i="2"/>
  <c r="E204" i="2"/>
  <c r="G203" i="2"/>
  <c r="E203" i="2"/>
  <c r="G202" i="2"/>
  <c r="E202" i="2"/>
  <c r="G201" i="2"/>
  <c r="E201" i="2"/>
  <c r="G200" i="2"/>
  <c r="E200" i="2"/>
  <c r="G199" i="2"/>
  <c r="E199" i="2"/>
  <c r="G198" i="2"/>
  <c r="E198" i="2"/>
  <c r="G197" i="2"/>
  <c r="E197" i="2"/>
  <c r="G196" i="2"/>
  <c r="E196" i="2"/>
  <c r="G195" i="2"/>
  <c r="E195" i="2"/>
  <c r="G194" i="2"/>
  <c r="E194" i="2"/>
  <c r="G193" i="2"/>
  <c r="E193" i="2"/>
  <c r="G192" i="2"/>
  <c r="E192" i="2"/>
  <c r="G191" i="2"/>
  <c r="E191" i="2"/>
  <c r="G190" i="2"/>
  <c r="E190" i="2"/>
  <c r="G189" i="2"/>
  <c r="E189" i="2"/>
  <c r="G188" i="2"/>
  <c r="E188" i="2"/>
  <c r="G187" i="2"/>
  <c r="E187" i="2"/>
  <c r="G186" i="2"/>
  <c r="E186" i="2"/>
  <c r="G185" i="2"/>
  <c r="E185" i="2"/>
  <c r="G184" i="2"/>
  <c r="E184" i="2"/>
  <c r="G183" i="2"/>
  <c r="E183" i="2"/>
  <c r="G182" i="2"/>
  <c r="E182" i="2"/>
  <c r="G181" i="2"/>
  <c r="E181" i="2"/>
  <c r="G180" i="2"/>
  <c r="E180" i="2"/>
  <c r="G179" i="2"/>
  <c r="E179" i="2"/>
  <c r="G178" i="2"/>
  <c r="E178" i="2"/>
  <c r="G177" i="2"/>
  <c r="E177" i="2"/>
  <c r="G176" i="2"/>
  <c r="E176" i="2"/>
  <c r="G175" i="2"/>
  <c r="E175" i="2"/>
  <c r="G174" i="2"/>
  <c r="E174" i="2"/>
  <c r="G173" i="2"/>
  <c r="E173" i="2"/>
  <c r="G172" i="2"/>
  <c r="E172" i="2"/>
  <c r="G171" i="2"/>
  <c r="E171" i="2"/>
  <c r="G170" i="2"/>
  <c r="E170" i="2"/>
  <c r="G169" i="2"/>
  <c r="E169" i="2"/>
  <c r="G168" i="2"/>
  <c r="E168" i="2"/>
  <c r="G167" i="2"/>
  <c r="E167" i="2"/>
  <c r="G166" i="2"/>
  <c r="E166" i="2"/>
  <c r="G165" i="2"/>
  <c r="E165" i="2"/>
  <c r="G164" i="2"/>
  <c r="E164" i="2"/>
  <c r="G163" i="2"/>
  <c r="E163" i="2"/>
  <c r="G162" i="2"/>
  <c r="E162" i="2"/>
  <c r="G161" i="2"/>
  <c r="E161" i="2"/>
  <c r="G160" i="2"/>
  <c r="E160" i="2"/>
  <c r="G159" i="2"/>
  <c r="E159" i="2"/>
  <c r="G158" i="2"/>
  <c r="E158" i="2"/>
  <c r="G157" i="2"/>
  <c r="E157" i="2"/>
  <c r="G156" i="2"/>
  <c r="E156" i="2"/>
  <c r="G155" i="2"/>
  <c r="E155" i="2"/>
  <c r="G154" i="2"/>
  <c r="E154" i="2"/>
  <c r="G153" i="2"/>
  <c r="E153" i="2"/>
  <c r="G152" i="2"/>
  <c r="E152"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E10" i="2"/>
  <c r="E251" i="3"/>
  <c r="E11" i="3"/>
  <c r="E12"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2" i="3"/>
</calcChain>
</file>

<file path=xl/sharedStrings.xml><?xml version="1.0" encoding="utf-8"?>
<sst xmlns="http://schemas.openxmlformats.org/spreadsheetml/2006/main" count="7303" uniqueCount="638">
  <si>
    <t>Index</t>
  </si>
  <si>
    <t>TABLE</t>
  </si>
  <si>
    <t>Explanatory information</t>
  </si>
  <si>
    <t>Tables for developed country Parties and other Parties that provide support</t>
  </si>
  <si>
    <t>Table1_2021</t>
  </si>
  <si>
    <t>Table1_2022</t>
  </si>
  <si>
    <t>Table2_2021</t>
  </si>
  <si>
    <t>Table2_2022</t>
  </si>
  <si>
    <t>Table3_2021</t>
  </si>
  <si>
    <t/>
  </si>
  <si>
    <t>Table3_2022</t>
  </si>
  <si>
    <t>Table4</t>
  </si>
  <si>
    <t>Table5</t>
  </si>
  <si>
    <t>Tables for developing country Parties</t>
  </si>
  <si>
    <t>TABLE  III.1</t>
  </si>
  <si>
    <t>Information on financial support provided under Article 9 of the Paris Agreement in year</t>
  </si>
  <si>
    <t>2022</t>
  </si>
  <si>
    <r>
      <t>:</t>
    </r>
    <r>
      <rPr>
        <b/>
        <vertAlign val="superscript"/>
        <sz val="12"/>
        <rFont val="Times New Roman"/>
        <family val="1"/>
      </rPr>
      <t>a, b, c</t>
    </r>
    <r>
      <rPr>
        <b/>
        <sz val="12"/>
        <rFont val="Times New Roman"/>
        <family val="1"/>
      </rPr>
      <t xml:space="preserve"> bilateral, regional and other channels</t>
    </r>
  </si>
  <si>
    <t>Exchange rate used:</t>
  </si>
  <si>
    <t>Back to index</t>
  </si>
  <si>
    <r>
      <t>Recipient country or region</t>
    </r>
    <r>
      <rPr>
        <i/>
        <vertAlign val="superscript"/>
        <sz val="9"/>
        <rFont val="Times New Roman"/>
        <family val="1"/>
      </rPr>
      <t xml:space="preserve">c, d </t>
    </r>
  </si>
  <si>
    <r>
      <t>Title of the project programme, activity or other</t>
    </r>
    <r>
      <rPr>
        <i/>
        <vertAlign val="superscript"/>
        <sz val="9"/>
        <rFont val="Times New Roman"/>
        <family val="1"/>
      </rPr>
      <t>c, e</t>
    </r>
  </si>
  <si>
    <r>
      <t>Amount (climate-specific)</t>
    </r>
    <r>
      <rPr>
        <i/>
        <vertAlign val="superscript"/>
        <sz val="9"/>
        <rFont val="Times New Roman"/>
        <family val="1"/>
      </rPr>
      <t>c, f</t>
    </r>
  </si>
  <si>
    <r>
      <t>Status</t>
    </r>
    <r>
      <rPr>
        <i/>
        <vertAlign val="superscript"/>
        <sz val="9"/>
        <rFont val="Times New Roman"/>
        <family val="1"/>
      </rPr>
      <t>c</t>
    </r>
  </si>
  <si>
    <r>
      <t>Channel</t>
    </r>
    <r>
      <rPr>
        <i/>
        <vertAlign val="superscript"/>
        <sz val="9"/>
        <rFont val="Times New Roman"/>
        <family val="1"/>
      </rPr>
      <t>c</t>
    </r>
  </si>
  <si>
    <r>
      <t>Funding source</t>
    </r>
    <r>
      <rPr>
        <i/>
        <vertAlign val="superscript"/>
        <sz val="9"/>
        <rFont val="Times New Roman"/>
        <family val="1"/>
      </rPr>
      <t>c</t>
    </r>
  </si>
  <si>
    <r>
      <t>Financial instrument</t>
    </r>
    <r>
      <rPr>
        <i/>
        <vertAlign val="superscript"/>
        <sz val="9"/>
        <rFont val="Times New Roman"/>
        <family val="1"/>
      </rPr>
      <t>c, g</t>
    </r>
  </si>
  <si>
    <r>
      <t>Type of support</t>
    </r>
    <r>
      <rPr>
        <i/>
        <vertAlign val="superscript"/>
        <sz val="9"/>
        <rFont val="Times New Roman"/>
        <family val="1"/>
      </rPr>
      <t>c</t>
    </r>
  </si>
  <si>
    <r>
      <t>Sector</t>
    </r>
    <r>
      <rPr>
        <i/>
        <vertAlign val="superscript"/>
        <sz val="9"/>
        <rFont val="Times New Roman"/>
        <family val="1"/>
      </rPr>
      <t>c</t>
    </r>
  </si>
  <si>
    <r>
      <t>Subsector</t>
    </r>
    <r>
      <rPr>
        <i/>
        <vertAlign val="superscript"/>
        <sz val="9"/>
        <rFont val="Times New Roman"/>
        <family val="1"/>
      </rPr>
      <t>c, h</t>
    </r>
  </si>
  <si>
    <r>
      <t>Contribution to capacity-building objectives</t>
    </r>
    <r>
      <rPr>
        <i/>
        <vertAlign val="superscript"/>
        <sz val="9"/>
        <rFont val="Times New Roman"/>
        <family val="1"/>
      </rPr>
      <t>c, h</t>
    </r>
  </si>
  <si>
    <r>
      <t>Contribution to technology development and transfer objectives</t>
    </r>
    <r>
      <rPr>
        <i/>
        <vertAlign val="superscript"/>
        <sz val="9"/>
        <rFont val="Times New Roman"/>
        <family val="1"/>
      </rPr>
      <t>c, h</t>
    </r>
  </si>
  <si>
    <r>
      <t>Additional information</t>
    </r>
    <r>
      <rPr>
        <i/>
        <vertAlign val="superscript"/>
        <sz val="9"/>
        <rFont val="Times New Roman"/>
        <family val="1"/>
      </rPr>
      <t>c, h, i</t>
    </r>
  </si>
  <si>
    <t>Face value</t>
  </si>
  <si>
    <t>Grant equivalent</t>
  </si>
  <si>
    <t>Domestic
currency</t>
  </si>
  <si>
    <t>USD</t>
  </si>
  <si>
    <r>
      <t xml:space="preserve">Abbreviations: </t>
    </r>
    <r>
      <rPr>
        <sz val="9"/>
        <rFont val="Times New Roman"/>
        <family val="1"/>
      </rPr>
      <t>ODA = official development assistance, OOF = other official flows.</t>
    </r>
  </si>
  <si>
    <r>
      <t xml:space="preserve">Notation keys: </t>
    </r>
    <r>
      <rPr>
        <sz val="9"/>
        <rFont val="Times New Roman"/>
        <family val="1"/>
      </rPr>
      <t>NA = not applicable; UA = information not available at the time of reporting; NR = not reported (to indicate the voluntary character of the information).</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</si>
  <si>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</si>
  <si>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sz val="9"/>
        <color rgb="FF000000"/>
        <rFont val="Times New Roman"/>
        <family val="1"/>
      </rPr>
      <t xml:space="preserve">Relevant information, in tabular format, on bilateral and regional financial support provided for the previous two reporting years without overlapping with the previous reporting periods. </t>
    </r>
  </si>
  <si>
    <r>
      <t xml:space="preserve">b  </t>
    </r>
    <r>
      <rPr>
        <sz val="9"/>
        <color rgb="FF000000"/>
        <rFont val="Times New Roman"/>
        <family val="1"/>
      </rPr>
      <t>Parties report in a separate table for each year, namely 20XX-3 and 20XX-2, where 20XX is the reporting year.</t>
    </r>
  </si>
  <si>
    <r>
      <t xml:space="preserve">c  </t>
    </r>
    <r>
      <rPr>
        <sz val="9"/>
        <color rgb="FF000000"/>
        <rFont val="Times New Roman"/>
        <family val="1"/>
      </rPr>
      <t xml:space="preserve">Parties provide the underlying assumptions, definitions and methodologies, as applicable, used to identify and/or report this reporting parameter in the respective section of the BTR. </t>
    </r>
  </si>
  <si>
    <r>
      <t xml:space="preserve">d  </t>
    </r>
    <r>
      <rPr>
        <sz val="9"/>
        <color rgb="FF000000"/>
        <rFont val="Times New Roman"/>
        <family val="1"/>
      </rPr>
      <t xml:space="preserve">To the extent possible. </t>
    </r>
  </si>
  <si>
    <r>
      <t xml:space="preserve">e  </t>
    </r>
    <r>
      <rPr>
        <sz val="9"/>
        <color rgb="FF000000"/>
        <rFont val="Times New Roman"/>
        <family val="1"/>
      </rPr>
      <t xml:space="preserve">If “other”, Parties should specify this information. </t>
    </r>
  </si>
  <si>
    <r>
      <t xml:space="preserve">f  </t>
    </r>
    <r>
      <rPr>
        <sz val="9"/>
        <color rgb="FF000000"/>
        <rFont val="Times New Roman"/>
        <family val="1"/>
      </rPr>
      <t>The face value and, on a voluntary basis, the grant-equivalent value.</t>
    </r>
  </si>
  <si>
    <r>
      <t xml:space="preserve">g  </t>
    </r>
    <r>
      <rPr>
        <sz val="9"/>
        <color rgb="FF000000"/>
        <rFont val="Times New Roman"/>
        <family val="1"/>
      </rPr>
      <t xml:space="preserve">Parties report, to the extent possible, the different amounts per financial instrument, if applicable and as available. </t>
    </r>
  </si>
  <si>
    <r>
      <t xml:space="preserve">h  </t>
    </r>
    <r>
      <rPr>
        <sz val="9"/>
        <color rgb="FF000000"/>
        <rFont val="Times New Roman"/>
        <family val="1"/>
      </rPr>
      <t xml:space="preserve">As available. </t>
    </r>
  </si>
  <si>
    <r>
      <t xml:space="preserve">i  </t>
    </r>
    <r>
      <rPr>
        <sz val="9"/>
        <color rgb="FF000000"/>
        <rFont val="Times New Roman"/>
        <family val="1"/>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</si>
  <si>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sz val="9"/>
        <color rgb="FF000000"/>
        <rFont val="Times New Roman"/>
        <family val="1"/>
      </rPr>
      <t>The region should be reported if data at the country level are not available.</t>
    </r>
  </si>
  <si>
    <r>
      <t xml:space="preserve">k  </t>
    </r>
    <r>
      <rPr>
        <sz val="9"/>
        <color rgb="FF000000"/>
        <rFont val="Times New Roman"/>
        <family val="1"/>
      </rPr>
      <t>This refers to funding for activities that have both mitigation and adaptation components. Parties report, to the extent possible, the different amounts of components, if applicable and as available.</t>
    </r>
  </si>
  <si>
    <t>Custom footnotes:</t>
  </si>
  <si>
    <r>
      <rPr>
        <vertAlign val="superscript"/>
        <sz val="9"/>
        <rFont val="Times New Roman"/>
        <family val="1"/>
      </rPr>
      <t>(1)</t>
    </r>
    <r>
      <rPr>
        <sz val="9"/>
        <rFont val="Times New Roman"/>
        <family val="1"/>
      </rPr>
      <t xml:space="preserve"> </t>
    </r>
    <r>
      <rPr>
        <i/>
        <sz val="9"/>
        <rFont val="Times New Roman"/>
        <family val="1"/>
      </rPr>
      <t>The underlying assumptions, definitions and methodologies of the information in this CTF is available at: Section of the BTR Page number of the BTR</t>
    </r>
  </si>
  <si>
    <t>2021</t>
  </si>
  <si>
    <t xml:space="preserve">TABLE III. 2  </t>
  </si>
  <si>
    <r>
      <t>:</t>
    </r>
    <r>
      <rPr>
        <b/>
        <vertAlign val="superscript"/>
        <sz val="11"/>
        <rFont val="Times New Roman"/>
        <family val="1"/>
      </rPr>
      <t>a, b, c</t>
    </r>
    <r>
      <rPr>
        <b/>
        <sz val="11"/>
        <rFont val="Times New Roman"/>
        <family val="1"/>
      </rPr>
      <t xml:space="preserve"> multilateral channels</t>
    </r>
  </si>
  <si>
    <r>
      <t>Institution</t>
    </r>
    <r>
      <rPr>
        <i/>
        <vertAlign val="superscript"/>
        <sz val="9"/>
        <rFont val="Times New Roman"/>
        <family val="1"/>
      </rPr>
      <t>c</t>
    </r>
  </si>
  <si>
    <r>
      <t>Amount</t>
    </r>
    <r>
      <rPr>
        <i/>
        <vertAlign val="superscript"/>
        <sz val="9"/>
        <rFont val="Times New Roman"/>
        <family val="1"/>
      </rPr>
      <t xml:space="preserve"> c, d</t>
    </r>
  </si>
  <si>
    <r>
      <t>Recipient</t>
    </r>
    <r>
      <rPr>
        <i/>
        <vertAlign val="superscript"/>
        <sz val="9"/>
        <rFont val="Times New Roman"/>
        <family val="1"/>
      </rPr>
      <t>c, e, g</t>
    </r>
  </si>
  <si>
    <r>
      <t>Title of the project, programme, activity or other</t>
    </r>
    <r>
      <rPr>
        <i/>
        <vertAlign val="superscript"/>
        <sz val="9"/>
        <rFont val="Times New Roman"/>
        <family val="1"/>
      </rPr>
      <t>c, e, g, h</t>
    </r>
  </si>
  <si>
    <r>
      <t>Financial instrument</t>
    </r>
    <r>
      <rPr>
        <i/>
        <vertAlign val="superscript"/>
        <sz val="9"/>
        <rFont val="Times New Roman"/>
        <family val="1"/>
      </rPr>
      <t>c, i</t>
    </r>
  </si>
  <si>
    <r>
      <t>Sector</t>
    </r>
    <r>
      <rPr>
        <i/>
        <vertAlign val="superscript"/>
        <sz val="9"/>
        <rFont val="Times New Roman"/>
        <family val="1"/>
      </rPr>
      <t>c, g</t>
    </r>
  </si>
  <si>
    <r>
      <t>Subsector</t>
    </r>
    <r>
      <rPr>
        <i/>
        <vertAlign val="superscript"/>
        <sz val="9"/>
        <rFont val="Times New Roman"/>
        <family val="1"/>
      </rPr>
      <t>c, g</t>
    </r>
  </si>
  <si>
    <r>
      <t>Contribution to capacity-building objectives</t>
    </r>
    <r>
      <rPr>
        <i/>
        <vertAlign val="superscript"/>
        <sz val="9"/>
        <rFont val="Times New Roman"/>
        <family val="1"/>
      </rPr>
      <t>c, e, g</t>
    </r>
  </si>
  <si>
    <r>
      <t>Contribution to technology development and transfer objectives</t>
    </r>
    <r>
      <rPr>
        <i/>
        <vertAlign val="superscript"/>
        <sz val="9"/>
        <rFont val="Times New Roman"/>
        <family val="1"/>
      </rPr>
      <t>c, e, g</t>
    </r>
  </si>
  <si>
    <r>
      <t>Additional information</t>
    </r>
    <r>
      <rPr>
        <i/>
        <vertAlign val="superscript"/>
        <sz val="9"/>
        <rFont val="Times New Roman"/>
        <family val="1"/>
      </rPr>
      <t>l</t>
    </r>
  </si>
  <si>
    <r>
      <t xml:space="preserve">Inflows </t>
    </r>
    <r>
      <rPr>
        <i/>
        <vertAlign val="superscript"/>
        <sz val="9"/>
        <rFont val="Times New Roman"/>
        <family val="1"/>
      </rPr>
      <t>c, e</t>
    </r>
  </si>
  <si>
    <r>
      <t xml:space="preserve">Outflows </t>
    </r>
    <r>
      <rPr>
        <i/>
        <vertAlign val="superscript"/>
        <sz val="9"/>
        <rFont val="Times New Roman"/>
        <family val="1"/>
      </rPr>
      <t>c, e</t>
    </r>
  </si>
  <si>
    <r>
      <t>Core/general</t>
    </r>
    <r>
      <rPr>
        <i/>
        <vertAlign val="superscript"/>
        <sz val="9"/>
        <rFont val="Times New Roman"/>
        <family val="1"/>
      </rPr>
      <t>c, e, f</t>
    </r>
  </si>
  <si>
    <r>
      <t>Climate-specific</t>
    </r>
    <r>
      <rPr>
        <i/>
        <vertAlign val="superscript"/>
        <sz val="9"/>
        <rFont val="Times New Roman"/>
        <family val="1"/>
      </rPr>
      <t>e</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</si>
  <si>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</si>
  <si>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family val="1"/>
      </rPr>
      <t>a</t>
    </r>
    <r>
      <rPr>
        <sz val="9"/>
        <color rgb="FF000000"/>
        <rFont val="Times New Roman"/>
        <family val="1"/>
      </rPr>
      <t xml:space="preserve">  Relevant information, in a tabular format, for the previous two reporting years without overlapping with the previous reporting periods, on financial support provided through multilateral channels.</t>
    </r>
  </si>
  <si>
    <r>
      <rPr>
        <i/>
        <vertAlign val="superscript"/>
        <sz val="9"/>
        <color rgb="FF000000"/>
        <rFont val="Times New Roman"/>
        <family val="1"/>
      </rPr>
      <t>b</t>
    </r>
    <r>
      <rPr>
        <sz val="9"/>
        <color rgb="FF000000"/>
        <rFont val="Times New Roman"/>
        <family val="1"/>
      </rPr>
      <t xml:space="preserve">  Parties fill in a separate table for each year, namely 20XX-3 and 20XX-2, where 20XX is the reporting year.</t>
    </r>
  </si>
  <si>
    <r>
      <rPr>
        <i/>
        <vertAlign val="superscript"/>
        <sz val="9"/>
        <color rgb="FF000000"/>
        <rFont val="Times New Roman"/>
        <family val="1"/>
      </rPr>
      <t>c</t>
    </r>
    <r>
      <rPr>
        <sz val="9"/>
        <color rgb="FF000000"/>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</si>
  <si>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color rgb="FF000000"/>
        <rFont val="Times New Roman"/>
        <family val="1"/>
      </rPr>
      <t>d</t>
    </r>
    <r>
      <rPr>
        <sz val="9"/>
        <color rgb="FF000000"/>
        <rFont val="Times New Roman"/>
        <family val="1"/>
      </rPr>
      <t xml:space="preserve">  The face value and, on a voluntary basis, the grant-equivalent value.</t>
    </r>
  </si>
  <si>
    <r>
      <rPr>
        <i/>
        <vertAlign val="superscript"/>
        <sz val="9"/>
        <color rgb="FF000000"/>
        <rFont val="Times New Roman"/>
        <family val="1"/>
      </rPr>
      <t>e</t>
    </r>
    <r>
      <rPr>
        <sz val="9"/>
        <color rgb="FF000000"/>
        <rFont val="Times New Roman"/>
        <family val="1"/>
      </rPr>
      <t xml:space="preserve">  As applicable.</t>
    </r>
  </si>
  <si>
    <r>
      <rPr>
        <i/>
        <vertAlign val="superscript"/>
        <sz val="9"/>
        <color rgb="FF000000"/>
        <rFont val="Times New Roman"/>
        <family val="1"/>
      </rPr>
      <t>f</t>
    </r>
    <r>
      <rPr>
        <sz val="9"/>
        <color rgb="FF000000"/>
        <rFont val="Times New Roman"/>
        <family val="1"/>
      </rPr>
      <t xml:space="preserve">  This refers to support to multilateral institutions that Parties cannot specify as being climate-specific.</t>
    </r>
  </si>
  <si>
    <r>
      <rPr>
        <i/>
        <vertAlign val="superscript"/>
        <sz val="9"/>
        <color rgb="FF000000"/>
        <rFont val="Times New Roman"/>
        <family val="1"/>
      </rPr>
      <t>g</t>
    </r>
    <r>
      <rPr>
        <sz val="9"/>
        <color rgb="FF000000"/>
        <rFont val="Times New Roman"/>
        <family val="1"/>
      </rPr>
      <t xml:space="preserve">  As available.</t>
    </r>
  </si>
  <si>
    <r>
      <rPr>
        <i/>
        <vertAlign val="superscript"/>
        <sz val="9"/>
        <color rgb="FF000000"/>
        <rFont val="Times New Roman"/>
        <family val="1"/>
      </rPr>
      <t>h</t>
    </r>
    <r>
      <rPr>
        <sz val="9"/>
        <color rgb="FF000000"/>
        <rFont val="Times New Roman"/>
        <family val="1"/>
      </rPr>
      <t xml:space="preserve">  If “other”, Parties should specify this information.</t>
    </r>
  </si>
  <si>
    <r>
      <rPr>
        <i/>
        <vertAlign val="superscript"/>
        <sz val="9"/>
        <color rgb="FF000000"/>
        <rFont val="Times New Roman"/>
        <family val="1"/>
      </rPr>
      <t>i</t>
    </r>
    <r>
      <rPr>
        <sz val="9"/>
        <color rgb="FF000000"/>
        <rFont val="Times New Roman"/>
        <family val="1"/>
      </rPr>
      <t xml:space="preserve">  Parties report, to the extent possible, the different amounts per financial instrument, if applicable and as available.</t>
    </r>
  </si>
  <si>
    <r>
      <rPr>
        <i/>
        <vertAlign val="superscript"/>
        <sz val="9"/>
        <color rgb="FF000000"/>
        <rFont val="Times New Roman"/>
        <family val="1"/>
      </rPr>
      <t>j</t>
    </r>
    <r>
      <rPr>
        <sz val="9"/>
        <color rgb="FF000000"/>
        <rFont val="Times New Roman"/>
        <family val="1"/>
      </rPr>
      <t xml:space="preserve">  Region should be reported when data at country level is not available.</t>
    </r>
  </si>
  <si>
    <r>
      <rPr>
        <i/>
        <vertAlign val="superscript"/>
        <sz val="9"/>
        <color rgb="FF000000"/>
        <rFont val="Times New Roman"/>
        <family val="1"/>
      </rPr>
      <t>k</t>
    </r>
    <r>
      <rPr>
        <sz val="9"/>
        <color rgb="FF000000"/>
        <rFont val="Times New Roman"/>
        <family val="1"/>
      </rPr>
      <t xml:space="preserve">  This refers to funding for activities that have both mitigation and adaptation components. Parties report, to the extent possible, the different amounts of components, if applicable and as available.</t>
    </r>
  </si>
  <si>
    <r>
      <rPr>
        <i/>
        <vertAlign val="superscript"/>
        <sz val="9"/>
        <color rgb="FF000000"/>
        <rFont val="Times New Roman"/>
        <family val="1"/>
      </rPr>
      <t>l</t>
    </r>
    <r>
      <rPr>
        <sz val="9"/>
        <color rgb="FF000000"/>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</si>
  <si>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 xml:space="preserve">TABLE  III.3 </t>
  </si>
  <si>
    <t>Information on financial support mobilized through public interventions under Article 9 of the Paris Agreement in year</t>
  </si>
  <si>
    <t>a, b, c</t>
  </si>
  <si>
    <r>
      <t xml:space="preserve">Recipient </t>
    </r>
    <r>
      <rPr>
        <i/>
        <vertAlign val="superscript"/>
        <sz val="9"/>
        <rFont val="Times New Roman"/>
        <family val="1"/>
      </rPr>
      <t>c</t>
    </r>
  </si>
  <si>
    <r>
      <t>Title of the project programme, activity or other</t>
    </r>
    <r>
      <rPr>
        <i/>
        <vertAlign val="superscript"/>
        <sz val="9"/>
        <rFont val="Times New Roman"/>
        <family val="1"/>
      </rPr>
      <t>c, d</t>
    </r>
  </si>
  <si>
    <r>
      <t>Channel</t>
    </r>
    <r>
      <rPr>
        <i/>
        <vertAlign val="superscript"/>
        <sz val="9"/>
        <rFont val="Times New Roman"/>
        <family val="1"/>
      </rPr>
      <t xml:space="preserve"> c</t>
    </r>
  </si>
  <si>
    <r>
      <t>Amount mobilized</t>
    </r>
    <r>
      <rPr>
        <i/>
        <vertAlign val="superscript"/>
        <sz val="9"/>
        <rFont val="Times New Roman"/>
        <family val="1"/>
      </rPr>
      <t>c, e</t>
    </r>
  </si>
  <si>
    <r>
      <t xml:space="preserve">Amount of resources used to mobilize the support </t>
    </r>
    <r>
      <rPr>
        <i/>
        <vertAlign val="superscript"/>
        <sz val="9"/>
        <rFont val="Times New Roman"/>
        <family val="1"/>
      </rPr>
      <t>c</t>
    </r>
  </si>
  <si>
    <r>
      <t>Type of public intervention</t>
    </r>
    <r>
      <rPr>
        <i/>
        <vertAlign val="superscript"/>
        <sz val="9"/>
        <rFont val="Times New Roman"/>
        <family val="1"/>
      </rPr>
      <t>c, f</t>
    </r>
  </si>
  <si>
    <t>Type of support</t>
  </si>
  <si>
    <r>
      <t>Subsector</t>
    </r>
    <r>
      <rPr>
        <i/>
        <vertAlign val="superscript"/>
        <sz val="9"/>
        <rFont val="Times New Roman"/>
        <family val="1"/>
      </rPr>
      <t>c</t>
    </r>
  </si>
  <si>
    <r>
      <t>Additional information</t>
    </r>
    <r>
      <rPr>
        <i/>
        <vertAlign val="superscript"/>
        <sz val="9"/>
        <rFont val="Times New Roman"/>
        <family val="1"/>
      </rPr>
      <t>c, i</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</si>
  <si>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</si>
  <si>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family val="1"/>
      </rPr>
      <t>a</t>
    </r>
    <r>
      <rPr>
        <sz val="9"/>
        <color rgb="FF000000"/>
        <rFont val="Times New Roman"/>
        <family val="1"/>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</si>
  <si>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rPr>
        <i/>
        <vertAlign val="superscript"/>
        <sz val="9"/>
        <rFont val="Times New Roman"/>
        <family val="1"/>
      </rPr>
      <t>b</t>
    </r>
    <r>
      <rPr>
        <sz val="9"/>
        <rFont val="Times New Roman"/>
        <family val="1"/>
      </rPr>
      <t xml:space="preserve">  Parties fill in a separate table for each year, namely 20XX-3 and 20XX-2, where 20XX is the reporting year.</t>
    </r>
  </si>
  <si>
    <r>
      <rPr>
        <i/>
        <vertAlign val="superscript"/>
        <sz val="9"/>
        <rFont val="Times New Roman"/>
        <family val="1"/>
      </rPr>
      <t>c</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</si>
  <si>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d</t>
    </r>
    <r>
      <rPr>
        <sz val="9"/>
        <rFont val="Times New Roman"/>
        <family val="1"/>
      </rPr>
      <t xml:space="preserve">  If “other”, Parties should specify this information.</t>
    </r>
  </si>
  <si>
    <r>
      <rPr>
        <i/>
        <vertAlign val="superscript"/>
        <sz val="9"/>
        <rFont val="Times New Roman"/>
        <family val="1"/>
      </rPr>
      <t>e</t>
    </r>
    <r>
      <rPr>
        <sz val="9"/>
        <rFont val="Times New Roman"/>
        <family val="1"/>
      </rPr>
      <t xml:space="preserve">  The face value and, on a voluntary basis, the grant-equivalent value, if applicable.</t>
    </r>
  </si>
  <si>
    <r>
      <rPr>
        <i/>
        <vertAlign val="superscript"/>
        <sz val="9"/>
        <rFont val="Times New Roman"/>
        <family val="1"/>
      </rPr>
      <t>f</t>
    </r>
    <r>
      <rPr>
        <sz val="9"/>
        <rFont val="Times New Roman"/>
        <family val="1"/>
      </rPr>
      <t xml:space="preserve">  Parties report, to the extent possible, the different amounts per financial instrument, if applicable and as available</t>
    </r>
  </si>
  <si>
    <r>
      <rPr>
        <i/>
        <vertAlign val="superscript"/>
        <sz val="9"/>
        <rFont val="Times New Roman"/>
        <family val="1"/>
      </rPr>
      <t>g</t>
    </r>
    <r>
      <rPr>
        <sz val="9"/>
        <rFont val="Times New Roman"/>
        <family val="1"/>
      </rPr>
      <t xml:space="preserve">  Region should be reported when data at country level is not available.</t>
    </r>
  </si>
  <si>
    <r>
      <rPr>
        <i/>
        <vertAlign val="superscript"/>
        <sz val="9"/>
        <rFont val="Times New Roman"/>
        <family val="1"/>
      </rPr>
      <t>h</t>
    </r>
    <r>
      <rPr>
        <sz val="9"/>
        <rFont val="Times New Roman"/>
        <family val="1"/>
      </rPr>
      <t xml:space="preserve">  This refers to funding for activities that have both mitigation and adaptation components. Parties report, to the extent possible, the different amounts of components, if applicable and as available.</t>
    </r>
  </si>
  <si>
    <r>
      <rPr>
        <i/>
        <vertAlign val="superscript"/>
        <sz val="9"/>
        <rFont val="Times New Roman"/>
        <family val="1"/>
      </rPr>
      <t>i</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</si>
  <si>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III.4</t>
  </si>
  <si>
    <r>
      <t>Information on support for technology development and transfer provided under Article 10 of the Paris Agreement</t>
    </r>
    <r>
      <rPr>
        <b/>
        <vertAlign val="superscript"/>
        <sz val="12"/>
        <rFont val="Times New Roman"/>
        <family val="1"/>
      </rPr>
      <t>a</t>
    </r>
  </si>
  <si>
    <r>
      <rPr>
        <i/>
        <vertAlign val="superscript"/>
        <sz val="9"/>
        <rFont val="Times New Roman"/>
        <family val="1"/>
      </rPr>
      <t>a</t>
    </r>
    <r>
      <rPr>
        <sz val="9"/>
        <rFont val="Times New Roman"/>
        <family val="1"/>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</si>
  <si>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vertAlign val="superscript"/>
        <sz val="9"/>
        <rFont val="Times New Roman"/>
        <family val="1"/>
      </rPr>
      <t>b</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</si>
  <si>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c</t>
    </r>
    <r>
      <rPr>
        <sz val="9"/>
        <rFont val="Times New Roman"/>
        <family val="1"/>
      </rPr>
      <t xml:space="preserve">  If “other”, Parties should specify this information.</t>
    </r>
  </si>
  <si>
    <r>
      <rPr>
        <i/>
        <vertAlign val="superscript"/>
        <sz val="9"/>
        <rFont val="Times New Roman"/>
        <family val="1"/>
      </rPr>
      <t>d</t>
    </r>
    <r>
      <rPr>
        <sz val="9"/>
        <rFont val="Times New Roman"/>
        <family val="1"/>
      </rPr>
      <t xml:space="preserve">  This refers to activities that have both mitigation and adaptation components.</t>
    </r>
  </si>
  <si>
    <r>
      <rPr>
        <i/>
        <vertAlign val="superscript"/>
        <sz val="9"/>
        <rFont val="Times New Roman"/>
        <family val="1"/>
      </rPr>
      <t>e</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</si>
  <si>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 5</t>
  </si>
  <si>
    <r>
      <t>Information on capacity-building support provided under Article 11 of the Paris Agreement</t>
    </r>
    <r>
      <rPr>
        <b/>
        <vertAlign val="superscript"/>
        <sz val="12"/>
        <rFont val="Times New Roman"/>
        <family val="1"/>
      </rPr>
      <t xml:space="preserve"> a</t>
    </r>
  </si>
  <si>
    <r>
      <rPr>
        <i/>
        <vertAlign val="superscript"/>
        <sz val="9"/>
        <rFont val="Times New Roman"/>
        <family val="1"/>
      </rPr>
      <t>a</t>
    </r>
    <r>
      <rPr>
        <sz val="9"/>
        <rFont val="Times New Roman"/>
        <family val="1"/>
      </rPr>
      <t xml:space="preserve">  Quantitative and/or qualitative information in common tabular format on measures or activities related to capacity-building support implemented or planned since their previous report, to the extent possible and as relevant.</t>
    </r>
  </si>
  <si>
    <r>
      <rPr>
        <i/>
        <vertAlign val="superscript"/>
        <sz val="9"/>
        <rFont val="Times New Roman"/>
        <family val="1"/>
      </rPr>
      <t>c</t>
    </r>
    <r>
      <rPr>
        <sz val="9"/>
        <rFont val="Times New Roman"/>
        <family val="1"/>
      </rPr>
      <t xml:space="preserve">  This refers to activities that have both mitigation and adaptation components.</t>
    </r>
  </si>
  <si>
    <r>
      <rPr>
        <i/>
        <vertAlign val="superscript"/>
        <sz val="9"/>
        <rFont val="Times New Roman"/>
        <family val="1"/>
      </rPr>
      <t>d</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</si>
  <si>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Cabo Verde</t>
  </si>
  <si>
    <t>Mali</t>
  </si>
  <si>
    <t>Myanmar</t>
  </si>
  <si>
    <t>Viet Nam</t>
  </si>
  <si>
    <t>Niger</t>
  </si>
  <si>
    <t>Burkina Faso</t>
  </si>
  <si>
    <t>Kosovo</t>
  </si>
  <si>
    <t>Nepal</t>
  </si>
  <si>
    <t>Senegal</t>
  </si>
  <si>
    <t>Chad</t>
  </si>
  <si>
    <t>Madagascar</t>
  </si>
  <si>
    <t>Bangladesh</t>
  </si>
  <si>
    <t>Burundi</t>
  </si>
  <si>
    <t>Bolivia</t>
  </si>
  <si>
    <t>Cambodia</t>
  </si>
  <si>
    <t>Colombia</t>
  </si>
  <si>
    <t>Indonesia</t>
  </si>
  <si>
    <t>Malawi</t>
  </si>
  <si>
    <t>Uganda</t>
  </si>
  <si>
    <t>Zambia</t>
  </si>
  <si>
    <t>Central African Republic</t>
  </si>
  <si>
    <t>Benin</t>
  </si>
  <si>
    <t>South Sudan</t>
  </si>
  <si>
    <t>Democratic Republic of the Congo</t>
  </si>
  <si>
    <t>Cuba</t>
  </si>
  <si>
    <t>India</t>
  </si>
  <si>
    <t>Togo</t>
  </si>
  <si>
    <t>Lao People's Democratic Republic</t>
  </si>
  <si>
    <t>Cameroon</t>
  </si>
  <si>
    <t>Guatemala</t>
  </si>
  <si>
    <t>Kenya</t>
  </si>
  <si>
    <t>Ethiopia</t>
  </si>
  <si>
    <t>Nicaragua</t>
  </si>
  <si>
    <t>Far East Asia, regional</t>
  </si>
  <si>
    <t>Developing countries, unspecified</t>
  </si>
  <si>
    <t>Africa, regional</t>
  </si>
  <si>
    <t>Laos</t>
  </si>
  <si>
    <t>Fiji</t>
  </si>
  <si>
    <t>Vanuatu</t>
  </si>
  <si>
    <t>Vietnam</t>
  </si>
  <si>
    <t>Philippines</t>
  </si>
  <si>
    <t>Chile</t>
  </si>
  <si>
    <t>Rwanda</t>
  </si>
  <si>
    <t>-</t>
  </si>
  <si>
    <t>Cameroun</t>
  </si>
  <si>
    <t>Mongolia</t>
  </si>
  <si>
    <t>Central America</t>
  </si>
  <si>
    <t>Central Asia (Kyrgyzstan, Tajikistan)
East Africa (Rwanda, Uganda)
Hindu Kush - Himalayas (Bhutan)</t>
  </si>
  <si>
    <t>Saharan and Sahel regions</t>
  </si>
  <si>
    <t xml:space="preserve">Africa
Amercia
Asia
</t>
  </si>
  <si>
    <t>Africa</t>
  </si>
  <si>
    <t>Guatemala
Costa Rica
Nicaragua</t>
  </si>
  <si>
    <t>Fonds commun sécurité alimentaire NIG 2021</t>
  </si>
  <si>
    <t>Amélioration du système de chauffage urbain de Pristina</t>
  </si>
  <si>
    <t>Children in the age group 3 -15 years are accessing quality education and are aware of child rights and environment protection</t>
  </si>
  <si>
    <t xml:space="preserve">Dispense d’ateliers transversaux sur le changement climatique, l’égalité des sexes, le VIH et la migration </t>
  </si>
  <si>
    <t xml:space="preserve">Appui à l’amélioration des modules pédagogiques dans les lycées professionnels en y intégrant la dimension écologique au Sénégal </t>
  </si>
  <si>
    <t xml:space="preserve">Renforcer les capacités de gestion des réseaux hydrauliques des 3 communes de Pabré, Dapélogo et Tanghin Dassouri </t>
  </si>
  <si>
    <t>Développer et sécuriser les réseaux hydrauliques des 2 communes de Dapélogo et Tanghin Dassouri</t>
  </si>
  <si>
    <t>Mettre en place des forages</t>
  </si>
  <si>
    <t xml:space="preserve">3 forages sont construits pour la population des 3 villages </t>
  </si>
  <si>
    <t xml:space="preserve">20 puits sont construits/réhabilités pour 2000 ménages </t>
  </si>
  <si>
    <t>Create mass awareness, conduct advocacy and networking activities to build an enabling environment for disaster-affected people to access government services (resources, safety net,…) and sensitize government bodies to the need for special policies/provisions for disaster victims</t>
  </si>
  <si>
    <t>Réaliser 330 solutions d’habitat amélioré au sein des populations et accompagner les ménages ciblés dans la construction de leur habitat sécurisé</t>
  </si>
  <si>
    <t>Réaliser 132 solutions d’habitat amélioré au sein des populations et accompagner les ménages ciblés dans la construction de leur habitat sécurisé</t>
  </si>
  <si>
    <t>Réaliser 490 solutions d’habitat amélioré au sein des populations  et accompagner les ménages ciblés dans la construction de leur habitat sécurisé</t>
  </si>
  <si>
    <t xml:space="preserve">Les conditions de vie des ménages en matière d’Habitat, d’Hygiène, d’Assainissement et d’accès à l’eau dans le quartier de Banconi sont améliorées </t>
  </si>
  <si>
    <t xml:space="preserve">Women and youth have access to resources for livelihood improvement </t>
  </si>
  <si>
    <t>Améliorer la production végétale</t>
  </si>
  <si>
    <t>Amélioration de la sécurité alimentaire</t>
  </si>
  <si>
    <t>Améliorer la production animale</t>
  </si>
  <si>
    <t xml:space="preserve">Réaliser des activités dans le domaine agricole: créer des parcelles HED et/ou des fermes dans les communautés (pour la recherche, les programmes d'alimentation scolaire; pour améliorer la production agricole par rapport à la production traditionnelle, etc.); initier et soutenir des activités génératrices de revenus (l'élevage ou la vente de poulets, la pisciculture, etc.) </t>
  </si>
  <si>
    <t>Réaliser des actions sociales de durée limitée: aider et accompagner les participants à réfléchir aux problèmes de leurs communautés, à rechercher et à mener des actions sociales pertinentes individuellement et collectivement (nettoyage de rivières, plantation d'arbres, campagnes de sensibilisation à la santé, recueillir et documenter les connaissances traditionnelles sur la prévention des maladies et le traitement, aider les participants à organiser des séances pour apprendre, informer/partager et former les agriculteurs et les autres parties intéressées dans les communautés sur des méthodes durables et innovatrices dans l'agriculture biologique, etc.)</t>
  </si>
  <si>
    <t>Les acteurs agricoles renforcent durablement leurs capacités à utiliser des services financiers de manière efficiente</t>
  </si>
  <si>
    <t>Appuyer la mise en place de coopératives agricoles</t>
  </si>
  <si>
    <t>Renforcer les groupes de fermiers et les coopératives dans la gestion des ressources et des aliments dans les Comtés de Magwi et Torit</t>
  </si>
  <si>
    <t>Renforcer les capacités en matière de construction durable au niveau de la communauté villageoise, les autorités locales et les volontaires du comité provincial de la Croix-Rouge de Muyinga (280 personnes), ainsi que les sensibiliser sur les activités prévention catastrophes</t>
  </si>
  <si>
    <t>Renforcer les capacités en matière de construction durable au niveau de la communauté villageoise, les autorités locales et les volontaires de la Croix-Rouge tchadienne (210 personnes), ainsi que les sensibiliser sur les activités prévention catastrophes</t>
  </si>
  <si>
    <t>Renforcer les capacités en matière de construction durable au niveau de la communauté villageoise, les autorités locales et les volontaires du comité provincial de la Croix-Rouge de malgasche (72 personnes), ainsi que les sensibiliser sur les activités prévention catastrophes</t>
  </si>
  <si>
    <t xml:space="preserve">Les capacités de réponses des acteurs (CRM, Autorités communales, Services techniques) face aux risques d’inondations sont renforcées dans le district de Bamako </t>
  </si>
  <si>
    <t>Renforcer les capacités en matière de construction durable et aménagement au niveau de la communauté villageoise, les autorités locales et les volontaires du comité provincial de la Croix-Rouge du Niger (20 personnes), ainsi que les sensibiliser sur les activités de prévention catastrophes</t>
  </si>
  <si>
    <t xml:space="preserve">Résilience des enfants et des familles des zones rurales vulnérables de Betanzos aux effets du changement climatique (département de Potosi, Bolivie) </t>
  </si>
  <si>
    <t>Améliorer les comportements, les attitudes et les pratiques alimentaires et hygiéniques et la gestion des comités d'eau pour garantir une sécurité alimentaire équitable dans les territoires de Masisi et Kalehe de la Diocèse de Goma</t>
  </si>
  <si>
    <t>Activités Nutrition (mise en place de coopératives de greniers nutritionnels, démonstrations culinaires, dépistage d'enfants malnutris)</t>
  </si>
  <si>
    <t>Create provision and connections with government or private services to reduce poverty in addition to social safety net to enhance economic solvency and be able to face future calamities</t>
  </si>
  <si>
    <t>Establish community poverty mapping and provide adequate infrastructure/facilities – e.g. path, local bridge/culvert, reduce water logging, water-sanitation, safe shelter (plinth),…- to enhance coping/adaptation, in cooperation with local government</t>
  </si>
  <si>
    <t>Provide technical, logistical and financial incentive &amp; assistance for disaster-affected and vulnerable people to be resilient through capital building and alternative income source</t>
  </si>
  <si>
    <t>Women and youth are acquiring skills for sustainable livelihood practices</t>
  </si>
  <si>
    <t xml:space="preserve">Exploitations agricoles dirigées par femmes </t>
  </si>
  <si>
    <t>Burkina Faso: building sustainable housing .</t>
  </si>
  <si>
    <t>Equiper une école primaire de panneaux solaires et d'un système de collecte d'eau de pluie</t>
  </si>
  <si>
    <t>Développement agricole (mise en place d'écoles paysannes, formation des agriculteurs à des pratiques de l'agriculture durable et appui en intrants agricoles)</t>
  </si>
  <si>
    <t>Développement agricole (mise en place d'écoles paysannes, formation des agriculteurs à des pratiques de l'agriculture durable)</t>
  </si>
  <si>
    <t>Développement agricole (mise en place d'écoles paysannes, formations des agriculteurs à des pratiques de l'agriculture durable, promotion de la culture maraichères, utilisation de semences fortifiées, promotion de l'élevage de petit bétail et de la pisciculture)</t>
  </si>
  <si>
    <t>Agroécologie</t>
  </si>
  <si>
    <t>Améliorer la production alimentaire en quantité et en qualité, en utilisant des pratiques agro-écologiques dans les Comtés de Magwi et Torit</t>
  </si>
  <si>
    <t>Renforcer des pratiques agroécologiques efficaces par les petits agriculteurs du district Xieng Khouang (Kham, Phaxay, Nonghet) et Huapanh (Houameang)</t>
  </si>
  <si>
    <t>Former les adultes en agriculture durable à Kananga, RD Congo</t>
  </si>
  <si>
    <t>Former les jeunes et les adultes en agriculture durable et élevage au Cameroun</t>
  </si>
  <si>
    <t>Former les jeunes et les adultes en agriculture durable et élevag à Kamutanga, RD Congo</t>
  </si>
  <si>
    <t>Former les jeunes et les adultes en agriculture durable et élevage au Guatemala</t>
  </si>
  <si>
    <t>Women, smallholder farmers and youth have acquired skills for sustainble agriculture and livelihood practices</t>
  </si>
  <si>
    <t>Former les jeunes et les adultes en agriculture durable et élevage au Kenya</t>
  </si>
  <si>
    <t xml:space="preserve">Dispense de formations sur l’agriculture innovante et durable, visites d’exposition et ateliers d’échange entre agriculteurs </t>
  </si>
  <si>
    <t>Les modèles agricoles promus et financés prennent en compte l’enjeu de la durabilité environnementale</t>
  </si>
  <si>
    <t>Protection Environnement Brickaville</t>
  </si>
  <si>
    <t>La souveraineté alimentaire des communautés s’accroit grâce au renforcement des formations par et pour les partenaires</t>
  </si>
  <si>
    <t>Énergies renouvelables au Cap Vert</t>
  </si>
  <si>
    <t>Lutter contre la dégradation des sols</t>
  </si>
  <si>
    <t>Installation of Solar Home Systems (SHS) and solar mini-grids</t>
  </si>
  <si>
    <t>Capacity building for beneficiaries (including para-solar technicians, para-vet,  …)</t>
  </si>
  <si>
    <t xml:space="preserve">Mekong River Land Governance Phase II </t>
  </si>
  <si>
    <t>Forestry and Climate Change Sub-Fund du Luxembourg Microfinance Development Fund (LMDF)</t>
  </si>
  <si>
    <t>SOS Faim AGRI Plus</t>
  </si>
  <si>
    <t>Renforcement des capacités des Sociétés Nationales ciblées dans le domaine de l'habitat résilient</t>
  </si>
  <si>
    <t>Les modèles agricoles promus et financés prennent en compte l’enjeu de la durabilité environnementale (Bénin, Burkina Faso, Mali, Niger)</t>
  </si>
  <si>
    <t>SOS Faim_2 - Projet d’appui à l’amélioration de la productivité des exploitations familiales rizicoles en Afrique de l’Ouest par la mise à l’échelle et la vulgarisation de pratiques innovantes (PAAPEF – PID)</t>
  </si>
  <si>
    <t>Croix Rouge_2 - Renforcement de la résilience au changement climatique des communautés vulnérables de la commune Isare au Burundi</t>
  </si>
  <si>
    <t>CARE_2 - Supporting adaptation to climate change and food security (PAACCSA - "projet d’appui à l’adaptation au changement climatique et à la sécurité alimentaire").</t>
  </si>
  <si>
    <t>ASTM_4 - Intensification et valorisation des systèmes RNA dans la préfecture de Doufelgou</t>
  </si>
  <si>
    <t xml:space="preserve">PADEM_1 - Reducing the vulnerability of the Yampara population to the effects of climate change </t>
  </si>
  <si>
    <t>CARE_1 - Agro-climate information for the adoption of resilient farming practices by women and ethnic minority farmers</t>
  </si>
  <si>
    <t>CARE_3 -  Agro-climate information for the adoption of resilient farming practices by women and ethnic minority farmers in Southern Laos</t>
  </si>
  <si>
    <t xml:space="preserve">Croix rouge_3 - Amélioration des capacités d’adaptation des communautés vulnérables faceaux changements climatiques par la promotion des Biodigesteurs </t>
  </si>
  <si>
    <t xml:space="preserve">Frères des Hommes_1 - Building climate resilience for vulnerable communities in the Sine Saloum region. </t>
  </si>
  <si>
    <t>SOS Faim_1 - Support to improve the resilience of rural populations in the Niger River region, through the promotion of deep urea placement in irrigated rice areas and the protection and development of lowlands</t>
  </si>
  <si>
    <t>Frères des Hommes_4 - Strengthening initiatives and the resilience of rural populations to climate variability in Guelack.</t>
  </si>
  <si>
    <t>Chrëschte mam Sahel_1 - Support for local initiatives to adapt to climate change in the municipality of Toma</t>
  </si>
  <si>
    <t>UNDP - Drua Incubator</t>
  </si>
  <si>
    <t>Frères des Hommes_2 - Sustainable and structural strengthening project for the resilience of vulnerable communities to climate risks, Eastern Region</t>
  </si>
  <si>
    <t>Frères des Hommes_3 - Resilient and proactive communities with regard to climate change and the risks associated with natural phenomena in the Calico river micro-watersheds in San Dionisio</t>
  </si>
  <si>
    <t>Calao Africa_1 -Biodiversity protection and sustainable management of waste on Sal island</t>
  </si>
  <si>
    <t>LuxDev - Water &amp; Sanitation Programme under the ICP DCE 2021-2025</t>
  </si>
  <si>
    <t>GGGI - Enhancing resilience to climate change through solar power driven access to water in rural areas of Outer Islands - Phase II</t>
  </si>
  <si>
    <t>LuxDev - VIE/433 - climate adaptation and resilience in Thua Thien Hue Province</t>
  </si>
  <si>
    <t>Caritas Lux_4 - Climate Change Resilience and Food Security (CCRFS) Dacope and Mongla Upazilas, Bangladesh</t>
  </si>
  <si>
    <t>Chrëschte mam Sahel_2 - Projet d’adaptation au changement climatique au Burkina Faso dans la région Centre Ouest du Burkina Faso, dans la commune de Ténado (Province de Sanguié)</t>
  </si>
  <si>
    <t>AEIN_1 - Towards Climate Smart Villages : promotion of affordable and replicable adaptation and mitigation practices to enhance livelihoods of vulnerable communities in the Ananthapur District of Andhra Pradesh</t>
  </si>
  <si>
    <t>AEIN_2 - Towards Climate Smart Villages : promotion of affordable and replicable adaptation and mitigation practices to enhance livelihoods of vulnerable communities in the Kavrepalanchowk and Bhaktapur Districts</t>
  </si>
  <si>
    <t>Kindernothilfe Luxemburg_1 - Climate Change Adaptation and Mitigation in most vulnerable areas in Argusan del Sur, Philippines</t>
  </si>
  <si>
    <t>Centre de Suivi Ecologique de la République du Sénégal - Bureau de Référence sur les Changements Climatiques et les Stratégies d’Adaptation et d’Atténuation - Phase II</t>
  </si>
  <si>
    <t>PADEM_3 - Projet communautaire d’atténuation des effets négatifs des changements climatiques dans la zone de Fimela</t>
  </si>
  <si>
    <t xml:space="preserve">AEIN_3 - SoluWaTree : Enhancing climate-smart forest and water management practices in the Nechasalyan Rural Municipality in the Southern belt of Solukhumbu District, Province 1 – Nepal </t>
  </si>
  <si>
    <t>ADA_3 - Integrating Green Inclusive and Climate Smart Finance in Microfinance Institutions</t>
  </si>
  <si>
    <t>UNDP - Implementation of an integrated municipal solid waste management strategy in the province of Chiloé</t>
  </si>
  <si>
    <t>GGGI - Waste to Resources: Improving Municipal Solid Waste (MSW) and Hazardous Waste Management in Rwanda</t>
  </si>
  <si>
    <t>GGGI - Green Secondary Cities Wastewater, Plastic Waste and WEEE Management: Innovative Business Model for Recycling and Valorization</t>
  </si>
  <si>
    <t>UNDP - Gender and Climate Change</t>
  </si>
  <si>
    <t>CIEL - Partnership for the promotion of Human Rights and Climate Change</t>
  </si>
  <si>
    <t>Graine de Vie_1 - Projet pilote d'accompagnement des communes et des communautés locales en vue de la réhabilitation de leur milieu naturel, suite à la loi de décentralisation intervenue au Cameroun</t>
  </si>
  <si>
    <t>IISD - COP26 support for Earth negotiations bulletin</t>
  </si>
  <si>
    <t>CIEL - 3year Partnership for the promotion of Human Rights and Climate Change</t>
  </si>
  <si>
    <t xml:space="preserve">UNCDF - Clean Energy for People Resilience (Clean Start Programme) </t>
  </si>
  <si>
    <t>Friendship_1 - Mangrove plantation for environmental sustainability</t>
  </si>
  <si>
    <t>Friendship_2 - Plantation de mangroves pour la résilience des écosystèmes et des communautés dans la région côtière du Bangladesh</t>
  </si>
  <si>
    <t>SOS Faim_3 - Enhancing resilience of Sheka Community to climate change through strenthening conservation of UNESCO Sheka Forest Biosphere Reserve</t>
  </si>
  <si>
    <t>PADEM_4 - Amélioration de la résilience des communautés mongoles face au changement climatique par le dévelopement de l'isolation et de la construction durable</t>
  </si>
  <si>
    <t>ASTM_5 - Promotion des techniques et technologies
d’adaptation aux changements climatiques pour la résilience des populations vulnérables : Phase II</t>
  </si>
  <si>
    <t>ADA_2 - Strengthening low-income farmers and microentrepreneurs’ capacities to climate change adaptation and mitigation</t>
  </si>
  <si>
    <t>UNEP - Vanishing Treasures</t>
  </si>
  <si>
    <t>Observatoire du Sahara et du Sahel</t>
  </si>
  <si>
    <t>International Union for Conservation of Nature - Blue Natural Capital Financing Facility and Fund (IUCN - BNCFF)</t>
  </si>
  <si>
    <t>World Resources Institute - 20x20 Initiative</t>
  </si>
  <si>
    <t>Catch a smile - Awareness raising on waste and sustainable forest management in refugee camps</t>
  </si>
  <si>
    <t>LMDF - Forestry and Climate Change Fund</t>
  </si>
  <si>
    <t xml:space="preserve">LuxFlag - Luxembourgs Fund Labelling Agency </t>
  </si>
  <si>
    <t>ODA</t>
  </si>
  <si>
    <t>OOF (ICF)</t>
  </si>
  <si>
    <t>Bilateral</t>
  </si>
  <si>
    <t>Bilateral (NGO)</t>
  </si>
  <si>
    <t>Regional</t>
  </si>
  <si>
    <t>Regional (NGO)</t>
  </si>
  <si>
    <t>Grant</t>
  </si>
  <si>
    <t>Loan (first loss guarantee)</t>
  </si>
  <si>
    <t>adaptation</t>
  </si>
  <si>
    <t>cross-cutting</t>
  </si>
  <si>
    <t>mitigation</t>
  </si>
  <si>
    <t>Water Supply &amp; Sanitation</t>
  </si>
  <si>
    <t>Agriculture</t>
  </si>
  <si>
    <t>Other Multisector</t>
  </si>
  <si>
    <t>Development Food Assistance</t>
  </si>
  <si>
    <t>Forestry</t>
  </si>
  <si>
    <t>Energy generation, renewable sources</t>
  </si>
  <si>
    <t>Energy distribution</t>
  </si>
  <si>
    <t>Basic Education</t>
  </si>
  <si>
    <t>Secondary Education</t>
  </si>
  <si>
    <t>Government &amp; Civil Society-general</t>
  </si>
  <si>
    <t>Other Social Infrastructure &amp; Services</t>
  </si>
  <si>
    <t>Banking &amp; Financial Services</t>
  </si>
  <si>
    <t>General Environment Protection</t>
  </si>
  <si>
    <t>Reconstruction Relief &amp; Rehabilitation</t>
  </si>
  <si>
    <t>Disaster Prevention &amp; Preparedness</t>
  </si>
  <si>
    <t>Agriculture, Forestry, Other (job creation, technical and vocational training)</t>
  </si>
  <si>
    <t>Agriculture, Other (access to information, gender equality, resilience and disaster risk reduction)</t>
  </si>
  <si>
    <t>Agriculture, Other (education)</t>
  </si>
  <si>
    <t>Agriculture, Other (gender equality, knowledge transfer, technical and vocational training)</t>
  </si>
  <si>
    <t>Agriculture, Other (resilience and disaster risk reduction)</t>
  </si>
  <si>
    <t>Agriculture, Other (sensitisation)</t>
  </si>
  <si>
    <t>Other (resilience and disaster risk reduction)</t>
  </si>
  <si>
    <t>Other (resilience and disaster risk reduction, technical and vocational training)</t>
  </si>
  <si>
    <t>Waste, Other (biodiversity, living conditions)</t>
  </si>
  <si>
    <t>Water and Sanitation</t>
  </si>
  <si>
    <t>Water, Energy, Finance</t>
  </si>
  <si>
    <t>Agriculture, Energy</t>
  </si>
  <si>
    <t>Agriculture, Other (asset transfer, capacity building)</t>
  </si>
  <si>
    <t>Capacity building, Agriculture, Fishery, Forestry, Energy</t>
  </si>
  <si>
    <t>Cross-cutting</t>
  </si>
  <si>
    <t>Forestry, Other (women empowerment)</t>
  </si>
  <si>
    <t>Forestry, Water</t>
  </si>
  <si>
    <t>Other (microfinance)</t>
  </si>
  <si>
    <t>Waste</t>
  </si>
  <si>
    <t>Waste management, Other (capacity building and training)</t>
  </si>
  <si>
    <t>Waste, Other (living conditions)</t>
  </si>
  <si>
    <t>Other (human rights)</t>
  </si>
  <si>
    <t>Forest restoration, Other (ecosystem restoration)</t>
  </si>
  <si>
    <t>Other (access to information, transparency)</t>
  </si>
  <si>
    <t>Energy</t>
  </si>
  <si>
    <t>Forestry, Agriculture, Energy</t>
  </si>
  <si>
    <t>Other (resilient infrastructures)</t>
  </si>
  <si>
    <t>Agriculture, Energy, Water, Other (land)</t>
  </si>
  <si>
    <t>Other (awareness raising, capacity building, sustainable finance)</t>
  </si>
  <si>
    <t>Forestry, Other (Article 2.1.c PA)</t>
  </si>
  <si>
    <t>Other (Article 2.1.c PA)</t>
  </si>
  <si>
    <t>N/A</t>
  </si>
  <si>
    <t>Yes</t>
  </si>
  <si>
    <t>Under multilateral channel table in the 2019 reporting, but as it is a regional initiative, it has been shifted to this table.</t>
  </si>
  <si>
    <t xml:space="preserve">Aawarding a climate finance label to investment funds according to agreed and published criteria.
Implementing entity: Luxembourg Fund Labelling Agency LuxFLAG. </t>
  </si>
  <si>
    <t>Disbursed</t>
  </si>
  <si>
    <t>Committed</t>
  </si>
  <si>
    <t>No</t>
  </si>
  <si>
    <t xml:space="preserve">Convention to Combat Desertification </t>
  </si>
  <si>
    <t>Global Environment Facility</t>
  </si>
  <si>
    <t xml:space="preserve">International Fund for Agricultural Development </t>
  </si>
  <si>
    <t>United Nations Environment Programme</t>
  </si>
  <si>
    <t>Green Climate Fund</t>
  </si>
  <si>
    <t>European Investment Bank</t>
  </si>
  <si>
    <t>Climate and Clean Air Coalition</t>
  </si>
  <si>
    <t>Global</t>
  </si>
  <si>
    <t>Unallocated</t>
  </si>
  <si>
    <t>Energy, Transport, Infrastructure</t>
  </si>
  <si>
    <t>Energy, Other (Article 2.1.c PA)</t>
  </si>
  <si>
    <t>Equity</t>
  </si>
  <si>
    <t>Multilateral</t>
  </si>
  <si>
    <t>Core contribution</t>
  </si>
  <si>
    <t>Support to Mekong River Commission Strategic Plan 2021-2025</t>
  </si>
  <si>
    <t>Core contribution (fair share)</t>
  </si>
  <si>
    <t>City Climate Finance Gap Fund</t>
  </si>
  <si>
    <t>Luxembourg-EIB Climate Finance Platform</t>
  </si>
  <si>
    <t>Restoration Seed Capital Facility</t>
  </si>
  <si>
    <t>Developing countries</t>
  </si>
  <si>
    <t>Luxembourg-GLF Finance 4 Nature Partnership (CIFOR/ICRAF)</t>
  </si>
  <si>
    <t>Global South</t>
  </si>
  <si>
    <t>Other (Nature based solutions)
Other (Knowledge exchange)</t>
  </si>
  <si>
    <t>ICFA - International Climate Finance Accelerator Luxembourg (ICFA asbl)</t>
  </si>
  <si>
    <t>Other (technical assistance and capacity building)</t>
  </si>
  <si>
    <t>The ICFA is a unique multi-year programme that accelerates emerging fund managers focusing on key areas within climate action. Fund managers receive access to financial support, trainings on a wide range of topics, an experienced coach and other benefits.
https://www.icfa.lu/</t>
  </si>
  <si>
    <t>https://www.eib.org/attachments/publications/20230044_luxembourg_eib_climate_finance_trust_fund_en.pdf</t>
  </si>
  <si>
    <t>Global Green Growth Institute</t>
  </si>
  <si>
    <t>Food and Agriculture Organization of the United Nations</t>
  </si>
  <si>
    <t>World Food Programme</t>
  </si>
  <si>
    <t xml:space="preserve">Organisation for Economic Co-operation and Development </t>
  </si>
  <si>
    <t>European MicrofinanceE Platform</t>
  </si>
  <si>
    <t>WMO</t>
  </si>
  <si>
    <t>Global Trust Fund on sustainable finance instruments</t>
  </si>
  <si>
    <t>Household Food and Livelihood Security</t>
  </si>
  <si>
    <t>Strengthening the resilience and food and nutritional security of vulnerable populations in the Ségou and Sikasso regions</t>
  </si>
  <si>
    <t>Green, social and sustainability bonds</t>
  </si>
  <si>
    <t>Green finance support project</t>
  </si>
  <si>
    <t>Core Contribution</t>
  </si>
  <si>
    <t>Green Earth Impact Fund</t>
  </si>
  <si>
    <t>Other (first-loss capital commitment)</t>
  </si>
  <si>
    <t>Other (Unallocated)</t>
  </si>
  <si>
    <t>Cross-cutting, Other (Article 2.1.c PA)</t>
  </si>
  <si>
    <t>Other (Food assistance)</t>
  </si>
  <si>
    <t>Other (Banking and Financial Services)</t>
  </si>
  <si>
    <t>Energy, Transport, Other (Infrastructures)</t>
  </si>
  <si>
    <t>Transport, Industry, Water, Waste, Other (Urban Development)</t>
  </si>
  <si>
    <t>Forestry, Other (Landscape restoration), Other (Article 2.1.c PA)</t>
  </si>
  <si>
    <t>Other (Land Use Finance), Other (Article 2.1.c PA)</t>
  </si>
  <si>
    <t>*Urban Resilience Fund (TURF) B</t>
  </si>
  <si>
    <t>New commitment in 2022</t>
  </si>
  <si>
    <t xml:space="preserve">New commitment in 2022 from the Ministry of Finance budget
</t>
  </si>
  <si>
    <t>Multi-bilateral</t>
  </si>
  <si>
    <t>Afghanistan</t>
  </si>
  <si>
    <t>Emerging markets</t>
  </si>
  <si>
    <t>OOF  (ICF)</t>
  </si>
  <si>
    <t>Land Use Finance: Scaling up private finance towards “net zero, nature positive” land use: a 3-stage approach (UNEP)</t>
  </si>
  <si>
    <t>New commitment in 2021</t>
  </si>
  <si>
    <t>Caribbean &amp; Central America, regional</t>
  </si>
  <si>
    <t>Central America, Guatemala, Costa Rica, Nicaragua, Mexico</t>
  </si>
  <si>
    <t>Costa Rica</t>
  </si>
  <si>
    <t>Ecuador</t>
  </si>
  <si>
    <t>Haiti</t>
  </si>
  <si>
    <t>Latin Amercia, Chile, Colombia, Peru, Guatemala, Costa Rica, Uruguay</t>
  </si>
  <si>
    <t>Peru</t>
  </si>
  <si>
    <t>Advisory in international climate finance matters</t>
  </si>
  <si>
    <t>Contribution to the Human development Forum - Book "A better world"</t>
  </si>
  <si>
    <t>Family farms are structuring and organizing themselves within POs to gain access to services and the market, and to better defend their interests (Benin, Burkina Faso, Mali, Niger).</t>
  </si>
  <si>
    <t>Agricultural models promoted and financed take environmental sustainability into account (Benin,
Burkina Faso, Mali, Niger)</t>
  </si>
  <si>
    <t>CSOs promote greater political dialogue in order to implement public policies favorable to the agricultural model defended (Benin, Burkina Faso, Mali, Niger).</t>
  </si>
  <si>
    <t>Improving beneficiaries' local food production systems to increase dietary diversity in the Mymensingh and Dhaka area.</t>
  </si>
  <si>
    <t>Develop and distribute promotion materials in the field of rural development</t>
  </si>
  <si>
    <t>Improve knowledge of nutritional nutrition (including WASH / hygiene) in the Dhaka and Gazipur area.</t>
  </si>
  <si>
    <t>Strengthening food security - Bangladesh</t>
  </si>
  <si>
    <t>Provide technical, logistical and financial incentive and assistance for disaster-affected and vulnerable people to be resilient through capital building and alternative income source</t>
  </si>
  <si>
    <t>Caritas Lux_2 - Building resilience and adaptation capacities for improved livelihoods of climate change affected poor farmers in the Brahmaputra Char Basin, North Bangladesh</t>
  </si>
  <si>
    <t>Caritas Lux_3 - Smallholder Adaptive Farming and Biodiversity Network SAFBIN, Bangladesh</t>
  </si>
  <si>
    <t>Formation and Functioning of FCDCs (Friendship Community Development Committees) and FFS (Farmer Field Schools)</t>
  </si>
  <si>
    <t>Sustainable, job-creating economic initiatives are developing, helping to secure and improve family farm incomes.</t>
  </si>
  <si>
    <t>Family farms are structuring and organizing themselves within POs to gain access to services and the market, and to better defend their interests.</t>
  </si>
  <si>
    <t>Farming models promoted and financed take environmental sustainability into account</t>
  </si>
  <si>
    <t>CSOs promote greater political dialogue in order to implement public policies favorable to the agricultural model they defend.</t>
  </si>
  <si>
    <t>Resilience of children and families in vulnerable rural areas of Betanzos to the effects of climate change (Potosi department, Bolivia)</t>
  </si>
  <si>
    <t>Global response/Food crisis</t>
  </si>
  <si>
    <t>Develop and secure the hydraulic networks of the 2 communes of Dapélogo and Tanghin Dassouri</t>
  </si>
  <si>
    <t>Strengthen the capacity for action of VDCs, SMCs, PTAs and WUAs</t>
  </si>
  <si>
    <t xml:space="preserve">Make improved housing solutions available to local communities and support targeted households in building their own secure housing.
</t>
  </si>
  <si>
    <t xml:space="preserve">Support the participation of the 6 communities and local authorities in the development of the community environment, as well as raising awareness of individual protection measures among households in the intervention villages.
</t>
  </si>
  <si>
    <t>Combating soil degradation</t>
  </si>
  <si>
    <t>Improving crop production</t>
  </si>
  <si>
    <t>Improving animal production</t>
  </si>
  <si>
    <t>Support the creation of agricultural cooperatives</t>
  </si>
  <si>
    <t>Develop and test an improved bioclimatic architectural model for elementary school buildings</t>
  </si>
  <si>
    <t>Develop/rehabilitate 20 drinking water sources</t>
  </si>
  <si>
    <t>330 improved housing solutions are implemented in the community, and targeted households are supported in building their own secure housing.</t>
  </si>
  <si>
    <t>Support the participation of the 28 communities and local authorities in the development of the community environment, as well as raising awareness of individual protection measures among households in the intervention villages.</t>
  </si>
  <si>
    <t>LuxDev - Climate Action Programme under the ICP DCE 2021-2025</t>
  </si>
  <si>
    <t>Carry out various agricultural activities: create and maintain various agricultural plots (community, school, experimental), prepare manure and compost, launch solidarity groups and seed banks, establish centers for community agriculture</t>
  </si>
  <si>
    <t>Accompanying and supporting farmers who have adopted the methods of the P.A.S. program.</t>
  </si>
  <si>
    <t>Carrying out social actions of limited duration: supporting individuals in carrying out relevant and punctual social actions on an individual and/or collective basis following the identification of their community's needs (river clean-ups, tree planting, etc.).</t>
  </si>
  <si>
    <t>Creating and supporting backyard gardens</t>
  </si>
  <si>
    <t>Train individuals to become promoters of community well-being in the field of integrated rural development through the P.A.S. program.</t>
  </si>
  <si>
    <t>490 improved housing solutions are implemented in the community, and targeted households are supported in building their own secure housing.</t>
  </si>
  <si>
    <t>Agricultural development (setting up farmer field schools, training farmers in sustainable farming practices and providing agricultural inputs)</t>
  </si>
  <si>
    <t xml:space="preserve">Support the participation of the 3 communities and local authorities in the development of the community environment, as well as raising awareness of individual protection measures among households in the intervention villages.
</t>
  </si>
  <si>
    <t xml:space="preserve">Rainforest_2 - « COBIGA – Corredor Biologico La Gamba, Costa Rica. Intelligent and ecological CO2 Sequestration and Creation of a Biological Corridor in the Golfo Dulce Region </t>
  </si>
  <si>
    <t>Providing higher education in agroforestry and educational sciences for young people in rural areas in the province of Kasaï Central, DR Congo</t>
  </si>
  <si>
    <t>Smallholder Safety Net Up-Scaling Programme</t>
  </si>
  <si>
    <t>2022 emergency aid project - coping with drought</t>
  </si>
  <si>
    <t>Fundacion Jocotoco_1 - Climate Adaptation in the Chocó Biodiversity Hotspot</t>
  </si>
  <si>
    <t>CSOs promote greater political dialogue in order to implement public policies favorable to the agricultural model they defend</t>
  </si>
  <si>
    <t>Mekong River Land Governance Phase II</t>
  </si>
  <si>
    <t>Short supply and/or distribution circuits for local products are being developed or strengthened.</t>
  </si>
  <si>
    <t>Areas for the production and marketing of local products are being set up or consolidated thanks to investments by partners.</t>
  </si>
  <si>
    <t>Training young people and adults in sustainable agriculture and animal husbandry to improve family agricultural production for the Q'eqchi' indigenous people in Guatemala.</t>
  </si>
  <si>
    <t>Increased community food sovereignty thanks to enhanced training by and for partners</t>
  </si>
  <si>
    <t>Développement rural de la région de Beauséjour - Haїti</t>
  </si>
  <si>
    <t>Reducing water- and sanitation-related childhood illnesses in the Thar Desert, Rajasthan, India</t>
  </si>
  <si>
    <t xml:space="preserve">AEIN_4 - Phase II) Towards Climate Smart Villages: promotion of affordable and replicable adaptation and mitigation practices to enhance livelihoods of vulnerable communities in the Ananthapur District of Andhra Pradesh, India </t>
  </si>
  <si>
    <t>Strengthening agricultural, livestock and income-generating activities to improve food security in the Turkana region, Kenya</t>
  </si>
  <si>
    <t>Strengthening sustainable management of food production systems in communities in Xieng Khouang district (Kham, Phaxay, Nonghet) and Huapanh (Houameang).</t>
  </si>
  <si>
    <t>Strengthening effective agroecological practices by small farmers in Xieng Khouang district (Kham, Phaxay, Nonghet) and Huapanh (Houameang).</t>
  </si>
  <si>
    <t>20 wells built/rehabilitated for 2000 households</t>
  </si>
  <si>
    <t>132 improved housing solutions are implemented in the community, and targeted households are supported in building their own secure housing.</t>
  </si>
  <si>
    <t>Support the participation of the 12 communities and local authorities in the development of the community environment, as well as raising awareness of individual protection measures among households in the intervention villages.</t>
  </si>
  <si>
    <t>Graine de Vie_2 - Projet de restauration de la réserve spéciale malgache d'Ambohitantely (Phase I)</t>
  </si>
  <si>
    <t>Carrying out social actions of limited duration: supporting individuals in carrying out relevant, one-off social actions, individually and/or collectively, following the identification of their community's needs (river clean-ups, tree planting, etc.).</t>
  </si>
  <si>
    <t xml:space="preserve">Support the participation of the community and the local authority of Banconi in the development of 3 streets, as well as in the community environment, and raise awareness among households in the intervention villages about individual protection measures.
</t>
  </si>
  <si>
    <t>Handicap International_1 - Projet d'amélioration de la gestion des chocs climatiques (PAG2C)</t>
  </si>
  <si>
    <t>Sustainable development in the Gao region</t>
  </si>
  <si>
    <t>Sustainable development in the Kidal region -PH4</t>
  </si>
  <si>
    <t>Farmers build sustainable capacity to use financial services efficiently</t>
  </si>
  <si>
    <t>Strengthening management capacities in targeted neighborhoods of Timbuktu City for a protective and accessible environment and habitat</t>
  </si>
  <si>
    <t>Improved living conditions for households in terms of housing, hygiene, sanitation and access to water in the Banconi district.</t>
  </si>
  <si>
    <t>PADEM_5 - Souveraineté alimentaire et résilience au changement climatique en Mongolie rurale</t>
  </si>
  <si>
    <t>WASH activities (implementation and strengthening of water management committees, construction and renovation of water systems and construction of latrines)</t>
  </si>
  <si>
    <t>Agricultural development (setting up farmer field schools, training farmers in sustainable farming practices)</t>
  </si>
  <si>
    <t>Cross-functional workshops on climate change, gender, HIV and migration</t>
  </si>
  <si>
    <t>Training courses on innovative and sustainable agriculture, exhibition visits and farmer exchange workshops</t>
  </si>
  <si>
    <t>Selection of model farmers and in-kind support for putting training into practice</t>
  </si>
  <si>
    <t>AEIN_5 - (Phase II) Towards Climate Smart Villages: promotion of affordable and replicable adaptation and mitigation practices to enhance livelihoods of vulnerable communities in the Kavrepalanchowk District, Nepal</t>
  </si>
  <si>
    <t>Improving the agro-ecological production practices of rural households in 4 target communes in Niger</t>
  </si>
  <si>
    <t>200 improved housing solutions are implemented in the community, and targeted households are supported in building their own secure housing.</t>
  </si>
  <si>
    <t>Agricultural development (setting up farmer field schools, training farmers in sustainable agricultural practices, promoting market gardening, using fortified seeds, promoting small livestock breeding and fish farming).</t>
  </si>
  <si>
    <t>Children in Cuzco's Andean communities benefit from sustainable food security thanks to the development of their mothers' craft activities</t>
  </si>
  <si>
    <t>Food production in Lambayeque (Peru)</t>
  </si>
  <si>
    <t>Sustainable food system</t>
  </si>
  <si>
    <t>Transformation towards sustainable food systems - Kwihaza</t>
  </si>
  <si>
    <t>Thylla's children benefit from sustainable food security thanks to income-generating activities supported for their mothers</t>
  </si>
  <si>
    <t>Production and marketing facilities for local products are being set up or consolidated thanks to investments by partners.</t>
  </si>
  <si>
    <t>Environmental education through radio</t>
  </si>
  <si>
    <t>Develop a renewable energy section and enhance the multimedia section at CIFOP</t>
  </si>
  <si>
    <t>Greening CIFOP's vocational training courses</t>
  </si>
  <si>
    <t>Implement a sustainable, environmentally-friendly production system</t>
  </si>
  <si>
    <t>Environmental education and reforestation in the community</t>
  </si>
  <si>
    <t>Improving the quantity and quality of food production using agro-ecological practices in Magwi and Torit Counties.</t>
  </si>
  <si>
    <t>Climate-conscious communities, Choma (Zambia)</t>
  </si>
  <si>
    <t>Other (advisory)</t>
  </si>
  <si>
    <t>Other (access to information)</t>
  </si>
  <si>
    <t>Other (Article 2.1.c PA), Other (nature based solutions), Other (ecosystems protection and restoration)</t>
  </si>
  <si>
    <t>Other (Multisector)</t>
  </si>
  <si>
    <t>Other (Immediate post-emergency reconstruction and rehabilitation)</t>
  </si>
  <si>
    <t>Other (Multi-hazard response preparedness)</t>
  </si>
  <si>
    <t>Other (Education)</t>
  </si>
  <si>
    <t>Other (Development Food Assistance)</t>
  </si>
  <si>
    <t>Water and sanitation</t>
  </si>
  <si>
    <t>Other (Government and Civil Society-general)</t>
  </si>
  <si>
    <t>Other (Construction)</t>
  </si>
  <si>
    <t>Energy, Other (finance)</t>
  </si>
  <si>
    <t>Other (Governance, NDC, Adaptation plan)</t>
  </si>
  <si>
    <t>Forestry, Other (ecosystem restoration)</t>
  </si>
  <si>
    <t>Other (nature based solutions), Other (biodiversity conservation)</t>
  </si>
  <si>
    <t>Other (Gender)</t>
  </si>
  <si>
    <t>Forestry, Other (ecosystem conservation and restoration)</t>
  </si>
  <si>
    <t>Other (Emergency Response)</t>
  </si>
  <si>
    <t>Forestry, Other (ecosystem conservation)</t>
  </si>
  <si>
    <t>Other (disaster insurance, resilient infrastructures)</t>
  </si>
  <si>
    <t>Other (Health)</t>
  </si>
  <si>
    <t>Forestry, Other (Land restoration)</t>
  </si>
  <si>
    <t>Other (General Environment Protection)</t>
  </si>
  <si>
    <t>Energy efficiency, Other (Training and Job creation), Other (Biodiversity)</t>
  </si>
  <si>
    <t>Water, Energy, Other (Finance)</t>
  </si>
  <si>
    <t>New commitment in 2022 (Extension of existing programme)</t>
  </si>
  <si>
    <t>New commitment in 2022
ICP DCE 2021-2025: Indicative Cooperation Programme "Development-Climate- Energy".</t>
  </si>
  <si>
    <t>New commitment in 2022 (Phase II)</t>
  </si>
  <si>
    <t>New commitment in 2022 from the MECB budget</t>
  </si>
  <si>
    <t>Africa
Amercia
Asia</t>
  </si>
  <si>
    <t xml:space="preserve">The BNCFF focuses on coastal ecosystems as key providers of biodiversity and ecosystem services. It aims to target commercial opportunities and value creation in the coastal natural capital economy, integrating coastal science and marine data technology and leveraging opportunities to create policy frameworks for climate change and expertise for project finance. </t>
  </si>
  <si>
    <t xml:space="preserve">Fiji’s Drua Incubator Project supports business and civil society organizations investing in climate risk measures, water supply, coastal protection, and other climate resilience measures </t>
  </si>
  <si>
    <t>The project aims to install mechanisms, tools, and capacities to promote the circular economy from the different actors of the province, progressively decreasing the total volume of solid household waste for the final disposal in landfills, as well as the emission of greenhouse gases.</t>
  </si>
  <si>
    <t>The objective is to strengthen human rights-based policies in the implementation of UN climate agreements, including through the work of the Human Rights Council, as well as through national and regional institutions. The aim is to strengthen synergies between such action and other relevant global processes and areas related to climate finance.</t>
  </si>
  <si>
    <t xml:space="preserve">The objective is to catalyse and accelerate the mainstreaming of sustainable finance through knowledge sharing and capacity building activities to scale up appropriate financing models that contribute to nature-based solutions for climate change mitigation and adaptation on a practical level. The platform aims to channel financial flows towards sustainable land use models that are sustainable, equitable, inclusive and cost-effective. This approach will not only increase economic returns, but also close the huge funding gap to meet targets on climate change, biodiversity and land degradation, all of which are essential for our health and well-being. </t>
  </si>
  <si>
    <t>The objective is to adopt integrated sustainable waste management approaches and circular economy business models to increase the capacity of the current waste management system in the city of Kigali and selected urban areas of the country with the following outcomes: i) Separation and recovery of organic and plastic waste to minimise waste disposed of at the Nduba disposal site in Kigali; ii) Improved collection rate and management of e-waste in Kigali and secondary cities; iii) Improved policy and regulatory environment and improved capacity through skills development and knowledge exchange.</t>
  </si>
  <si>
    <t xml:space="preserve">The objective is to design innovative business models for waste recycling and recovery in secondary cities in order to create green jobs and improve the quality of sanitation in three cities (Tivaouane, Touba, Dakar). The project aims to have an impact on the environment, unemployment and behaviour through a better standard of living by making lasting improvements to the incomes and lives of beneficiaries through the creation of green jobs and green services, while promoting a green perspective in terms of access to a sustainable, reliable and affordable management service for plastic, faecal sludge and waste electrical and electronic equipment. </t>
  </si>
  <si>
    <t xml:space="preserve">The objective is to increase the resilience of rural communities in Vanuatu to cope with the consequences of climate change, such as periods of drought and the occurrence of tropical cyclones, by implementing solar-powered water pumps and strengthening the institutional environment for the management of solar pumping systems and water resources. </t>
  </si>
  <si>
    <t xml:space="preserve">A public-private partnership set up in June 2017 that offers its support to emerging and innovative investment fund managers seeking to invest in effective projects with a measurable impact in tackling climate change. During the two-year programme, selected fund managers have access to financial support, training on a wide range of topics, mentoring by an experienced coach and other benefits. </t>
  </si>
  <si>
    <t>The objective is to finance sustainable forestry activities with a high impact in terms of carbon sequestration and adaptation to climate change in secondary and degraded forests in Central America. 
The FCCF invests in a diversified portfolio of forestry companies, community forestry entities and small forest owners that focus on the management of secondary and degraded forests, and other entities that support the development of these forestry value chains.</t>
  </si>
  <si>
    <t xml:space="preserve">Signature in 2019 of a memorandum of agreement between the Government of Luxembourg and the Republic of Chile to enable Chile to take over the Presidency of COP25 in December 2019. In 2020, Luxembourg decides to support Chile in organising activities (analyses and studies, workshops, conferences, integration of the gender component into climate policies) to promote gender as part of its mandate as President of COP25. </t>
  </si>
  <si>
    <t xml:space="preserve">The objectives are to i) achieve proof of concept, ii) create an ‘asset class’ for nature-positive and net-zero emission land use and iii) encourage market regulation. The proof-of-concept demonstration relies heavily on the support and standardisation of the E&amp;S framework. </t>
  </si>
  <si>
    <t>The main multilateral instrument of the United Nations Framework Convention on Climate Change (UNFCCC) for financing climate action in developing countries, the Green Climate Fund's main areas of activity are the reduction of greenhouse gas emissions (mitigation (50%)), adaptation and resilience to climate change (50%) and co-financing by the private sector in the area of climate action.</t>
  </si>
  <si>
    <t>Ongoing</t>
  </si>
  <si>
    <t>Completed</t>
  </si>
  <si>
    <t>GGGI - Global Trust Fund on sustainable finance instruments</t>
  </si>
  <si>
    <t>UNFCCC - Green Climate Fund</t>
  </si>
  <si>
    <t>Public and Private</t>
  </si>
  <si>
    <t>Multilateral - Regional</t>
  </si>
  <si>
    <t>Multilateral - Bilateral</t>
  </si>
  <si>
    <t xml:space="preserve">Multilateral - Regional </t>
  </si>
  <si>
    <t>The aim of the programme is to strengthen the market for green/sustainable bond issuances in developing countries. The programme aims to save around 100 million tCO2e and provide climate adaptation benefits to around 1 million people (at least 50% women). The expected results are fourfold: i) Strengthening of national policy frameworks leading to an increase in the volume and ambition of thematic bond issues. ii) Strengthening of the capacity of public and private players to participate in and contribute to the global thematic bond market. iii) Completion of USD 2 billion in thematic bond issues. iv) Sharing of knowledge about the programme at global, regional, and local levels.</t>
  </si>
  <si>
    <t>Bilateral NGO projects have not been included in Table 4</t>
  </si>
  <si>
    <t>Bilateral NGO projects have not been included in Table 5</t>
  </si>
  <si>
    <t>CVE/085 (LuxDev) - Through this alliance, the two entities with the support of Luxembourg’s Development Cooperation established a private company in Cabo Verde known as “3C”. The aim of the company is to facilitate the energy transition of the country by providing training in renewable energy technology. Besides training activities, the project also supports the creation of consulting poles which are covering educational engineering, engineering and energy efficiency and renewable energy consulting. (2018-2021)</t>
  </si>
  <si>
    <t>Energy, Water and sanitation</t>
  </si>
  <si>
    <t>CVE/087 (LuxDev) – Technical and economic feasibility study launched in 2020 in the framework of the “Brava - sustainable island” project in Cabo Verde, whose goal is to achieve a 100 % renewable energy penetration rate on the island of Brava through the installation of a photovoltaic power station and a wind power plant. Opportunities were also explored to build a multi-stakeholder partnership to support the implementation of the “Brava – sustainable island” project which already includes the construction of a 300 m3/day solar powered desalinisation unit financed by Luxembourg. (2021-2023)</t>
  </si>
  <si>
    <t>Weighing bridge
MSW Sorting and Separation facility 
Biowaste facility
RVMs</t>
  </si>
  <si>
    <t>Plastic waste recycling plant in Touba
WEEE dismantling plant in Dakar
FSM treatment plant in Tivaouane</t>
  </si>
  <si>
    <t>MSW and organic waste collection equipment</t>
  </si>
  <si>
    <t>Phase 1: 
22 Solar Power-driven Water Pumps, 4 Reverse Osmose Systems 
Phase 2: 15 SPWP</t>
  </si>
  <si>
    <t>Solar panels, clean cooking devices…</t>
  </si>
  <si>
    <t>energy efficient cookstoves, water collection tanks, small scale plantations with drip irrigation,…</t>
  </si>
  <si>
    <t xml:space="preserve">100% Solar Desalination Unit, Brava </t>
  </si>
  <si>
    <t>Renewable energy is one of the three key sectors under the 4th Indicative Cooperation Programme (ICP IV) in Cabo Verde, and the aim of the programme is to ensure access to clean, reliable modern and affordable energy for all, while increasing energy independence. It also seeks to reinforce governance, regulation and business climate of the renewable energy sector in Cabo Verde. The activities further aim at increasing national fundraising capacities for renewable energies. (2017-2021)</t>
  </si>
  <si>
    <t>The project provides for the restoration and securing, through the development of 15 land charters, 10 800 hectares (ha) of pastoral areas in addition to the 8 500 ha of the previous phase, the marking of 60 kilometres of trails livestock and rest areas, the creation of 10 water points, the valorisation of sites restored by mowing and conservation of hay, the development of income-generating activities related to small livestock farming and the sale of carbon credits. (2018-2022)</t>
  </si>
  <si>
    <t>The project aims to install mechanisms, tools, and capacities to promote the circular economy from the different actors of the province, progressively decreasing the total volume of solid household waste for the final disposal in landfills, as well as the emission of greenhouse gases. 'Capacity building outputs: Training for grassroots recyclers, waste managers and inhabitants of the province of Chiloe in MSW prevention and management, Environmental education program for MSW management with a gender focus, Publications/events to disseminate the prevention and management (MSW) in the province of Chiloe, with a gender perspective. (2019-2023)'</t>
  </si>
  <si>
    <t>The objective is to contribute to improving the economic resilience and adapting to climate change of the most vulnerable groups of the population (women, young people, small farmers and entrepreneurs, micro and small enterprises, refugees) in rural and peri-urban areas of Burkina Faso. This will be achieved by promoting access to clean energy solutions, particularly for productive uses and income-generating activities, provided by private sector energy service companies and accelerated by innovative business models and digital financing solutions. 'FUND OF RENEWABLE ENERGY AND RESILIENCE OF BURKINA FASO: FERR-BF is supporting private sector partners through TA, grants and loans. This includes Energy Services Companies as well as Financial Services Providers and Product Providers. (2019-2023)'</t>
  </si>
  <si>
    <t>The objective was to increase resilience and adaptability to climate hazards and natural disasters in coastal and lagoon communities. VIE/433 aims to contribute to Vietnam’s goal of strengthening the resilience of people and the natural system to climate change, and specifically to assist local authorities and communities in coastal and lagoon communes to increase their understanding and resilience, and decrease their vulnerabilities to climate change. (2018-2022)</t>
  </si>
  <si>
    <t>LuxDev - Climate Action Programme CVE/401 - under the ICP DCE 2021-2025</t>
  </si>
  <si>
    <t>LuxDev - Water &amp; Sanitation Programme CVE/389 - under the ICP DCE 2021-2025</t>
  </si>
  <si>
    <t>The objective is to protect emblematic species such as the Virunga mountain gorilla, the Royal Bengal tiger in Bhutan and the snow leopard in Central Asia, which are threatened by the tangible effects of climate change and are seeing their natural habitats fragmented and reduced as a result. Vanishing Treasures 2.0 builds on pilot interventions and economic case studies undertaken as part of the current Vanishing Treasures programme and further promotes ecosystem-based adaptation (EbA) approaches by identifying and developing inclusive (nature-based) solutions for the benefit of local communities, ecosystems and wildlife.</t>
  </si>
  <si>
    <t>“Eastern Shan State Rural Development and Inclusion Project aims” (i) to improve the means and resources for legal livelihood activities of the local communities and (ii) to promote the interaction, interdependence, cooperation and capacity in the community's development of participatory governance. This project is currently in the closing phase due to the political situation in Myanmar. (2018-2022)</t>
  </si>
  <si>
    <t>MYA/002 – Eastern Shan State rural development and inclusion project (LuxDev)</t>
  </si>
  <si>
    <t xml:space="preserve">The “Cao Bang/Wise Use of water and agriculture Project” objective is to assist sustainable trends of poverty reduction and food security in mountainous areas of Cao Bang province.
The specific objective of VIE/036 is to improve effective natural and financial resource management focused on agricultural production while meeting the needs of ethnic minorities and other population segments with difficulties. (2015-2020) </t>
  </si>
  <si>
    <t xml:space="preserve">Agreement between Luxembourg and WRI to strengthen the 20x20 Initiative. The project contributes directly to the recovery and maintenance of the functionality of degraded lands in Latin America and the Caribbean. It proposes actions aimed at initiating and achieving ambitious new restoration objectives in the region. </t>
  </si>
  <si>
    <t>The objective is to increase the availability and reduce the cost of drinking water (mainly desalinated water), and to ensure sustainable access to sanitation services. More specifically, the MECB's contribution will enable the installation of solar energy systems to increase energy efficiency in the production and distribution/pumping of drinking water and wastewater treatment respectively.(2021-2025)</t>
  </si>
  <si>
    <t>The objective is to support Cabo Verde in implementing its new climate policy, as evidenced by the updating, with Luxembourg's support, of its Nationally Determined Contributions (NDC) and its National Adaptation Plan (NAP). The programme will focus on capacity-building in terms of climate governance at several levels, through the installation of a National Climate Council, the creation of a Climate Department within the Ministry of Agriculture and the Environment, the strengthening of climate action at municipal level and the creation of a Climate Forum to strengthen the commitment and involvement of citizens. (2021-2025)</t>
  </si>
  <si>
    <t>wastewater treatment, renewable energy solutions such as photovoltaic installations</t>
  </si>
  <si>
    <t>CVE/082 - Water &amp; Sanitation</t>
  </si>
  <si>
    <t>The CVE/082 programme supports the Ministry of Agriculture and Environment, ANAS, municipalities, and private sector actors in improving water and sanitation services on the islands of Fogo, Brava, and Santiago. It focuses on enhancing financial sustainability, increasing operational efficiency in service delivery, and strengthening the capacity of sanitation institutions by building on successful methodologies from previous Luxembourg-funded projects. The programme aims to optimize financial resource mobilization, improve energy efficiency, and ensure better service provision through targeted institutional support and capacity-building efforts.</t>
  </si>
  <si>
    <t>CVE/087 - 100% Solar Desalination Unit, Brava</t>
  </si>
  <si>
    <t xml:space="preserve">CVE/083 - Energy Transition Support Programme </t>
  </si>
  <si>
    <t>The CVE/083 programme aimed to enhance access to clean, reliable, and affordable energy in Cabo Verde, thereby increasing the country's energy independence. The programme focused on strengthening governance and capacity building within the renewable energy sector, promoting the dissemination of information, and facilitating sectoral dialogue. Additionally, it sought to improve sustainable financing mechanisms to encourage private sector participation and support the country's energy transition.</t>
  </si>
  <si>
    <t xml:space="preserve">solar energy systems, wind power solutions, and energy efficiency measures. The project also focused on improving energy storage systems and smart grid technologies. </t>
  </si>
  <si>
    <t xml:space="preserve">various renewable energy solutions </t>
  </si>
  <si>
    <t>MLI/021 - Rural development and food security</t>
  </si>
  <si>
    <t>The Rural Development and Food Security Programme (MLI/021) in Mali aims to diversify and strengthen agricultural income sources and enhance food security for rural households in the Ségou and Sikasso regions. The programme focuses on developing agricultural value chains that offer income and employment opportunities for young men and women, including fonio, sesame, meat (fattening and poultry farming), and market gardening sectors. It also emphasizes capacity building for central and regional actors to foster effective public-private partnerships and improve economic integration with decent wages.</t>
  </si>
  <si>
    <t>Post harvest food/ crop processing (driers, mills), improved irrigation systems. It also introduces techniques for better soil management and conservation to enhance productivity and sustainability in agro-pastoral activities.</t>
  </si>
  <si>
    <t>MLI/026 - Support Programme to Agropastoral Value Chains, Phase II (PAFA II)</t>
  </si>
  <si>
    <t xml:space="preserve">The Programme aims to increase the income of agro-pastoral family farms, businesses, and vulnerable populations in southern Mali. The programme focuses on enhancing the productivity and employability within the local milk and potato sectors by strengthening the capacities of stakeholders, improving production techniques, and facilitating market access. Key objectives include ensuring that quality products from these value chains reach markets competitively, professionalizing and inclusively developing the various links in the chains, and improving overall performance through effective collaboration among private sector entities, civil society, professional organizations, and public institutions. </t>
  </si>
  <si>
    <t>improved irrigation systems, modern livestock feeding techniques, artificial insemination for better cattle breeds, and tools for milk processing and storage. It also introduces techniques for better soil management and conservation to enhance productivity and sustainability in agro-pastoral activities.</t>
  </si>
  <si>
    <t>CVE/390 - Renewable Energy Sector Support Program</t>
  </si>
  <si>
    <t>The CVE/390 project aims to support Cabo Verde's transition to sustainable and affordable energy by leveraging its renewable energy potential, particularly wind and solar, to reduce dependence on costly imported fossil fuels. The project focuses on enhancing the sustainability of energy production and distribution, improving energy efficiency, and strengthening governance through capacity-building initiatives for public and private sector stakeholders. Ultimately, it contributes to achieving the country's climate goals by promoting clean energy solutions and reducing greenhouse gas emissions.</t>
  </si>
  <si>
    <t>BKF/024 - Land reclamation efforts towards pastoral usage and in conservation areas</t>
  </si>
  <si>
    <t>BKF/023 - Support to the sustainable management of the forest resources through contributions to the Forest Sector Support Programme (FSSP)</t>
  </si>
  <si>
    <t>With the contribution to the “Forest Sector Support Programme” (FSSP), the Ministry for Environment, Green Economy and Climate Change (MEGECC) has been able to mainly develop tools for planning, steering and monitoring its activities and now has its sectoral policy document, a three-year action plan and a budget programme by objectives. (2018-2025)</t>
  </si>
  <si>
    <t>CVE/085 - Supporting the partnership between the Centre for Renewable Energies and Industrial Maintenance and the Centre of competence-Technical Engineering of Luxembourg (CERMI / CdC-GTB)</t>
  </si>
  <si>
    <t>VIE/036 - Irrigation and wise use of water and agriculture in Cao Bang</t>
  </si>
  <si>
    <t>BEN/002 - Agricultural and rural training support program (ProFAR 2)</t>
  </si>
  <si>
    <t>The Support Programme to Agricultural and Rural Training (ProFAR 2) aims to increase opportunities for young Beninese individuals to access decent work in the agricultural and rural sectors, particularly in northern Benin. It focuses on implementing qualification programmes aligned with the country's socio-economic development, including building and equipping three new agricultural technical colleges, rehabilitating a fourth, operationalizing an integrated training and employment system, and supporting the development of a comprehensive territorial management system for employment and skills.</t>
  </si>
  <si>
    <t>BEN/001 - Support for agro-ecological transition and the establishment of sustainable food systems in the Mono Biosphere Reserve</t>
  </si>
  <si>
    <t>The "Support for the Agroecological Transition and the Implementation of Sustainable Food Systems in the Mono Biosphere Reserve" (BEN/001) project aims to promote inclusive, sustainable, and climate-resilient development within Benin's Mono Biosphere Reserve and the adjacent Avlékété-Bouche du Roy marine protected area. Its specific objectives include enhancing the adoption of agroecological practices among farmers and fishers, strengthening institutional capacities, raising public awareness about the importance of preserving the biosphere reserve, facilitating youth employment and enterprise development related to agroecology, and assessing the impacts of these transitions within the agricultural sector. The project is a collaborative effort between the Luxembourg Government and the European Union, with contributions of €3 million and €6 million respectively, and is implemented by Enabel with LuxDev participating in the monitoring committee.</t>
  </si>
  <si>
    <t>ALC/001 - Technical support for the Forestry and Climate Change Fund (FCCF)</t>
  </si>
  <si>
    <t>The project aims to reduce deforestation in Central America's degraded and secondary forests by strengthening sustainable value chains that contribute to rural development and ecosystem resilience. It focuses on providing technical assistance to the Forestry and Climate Change Fund (FCCF), supporting both timber and non-timber value chains, and enhancing social inclusion, particularly for women and youth. The project seeks to promote inclusive and sustainable economic development in Costa Rica by developing forest value chains and fostering social inclusion.</t>
  </si>
  <si>
    <t>MLI/027 - Strengthening the resilience of the rural communities in the Kita Circle and their access to the market system - Phase III</t>
  </si>
  <si>
    <t xml:space="preserve">The project aims to enhance food security for vulnerable households in Mali's Kita Circle. It focuses on diversifying income sources through improved market access for small-scale producers, adapting food production systems to local agro-ecological conditions and climate change, and strengthening the capacities of cooperatives for better resource and food product management. The project emphasizes integrating climate change adaptation and gender considerations across all interventions to foster inclusive and sustainable market systems for small-scale producers. </t>
  </si>
  <si>
    <t>NIG/025 - Support programme for sustainable development in the Dosso region, Phase II</t>
  </si>
  <si>
    <t>The programme aimed to increase economic opportunities for young people in Niger's Dosso region by promoting engagement in agricultural value chains. The programme focused on strengthening the capacities of public stakeholders and professional organizations, implementing regional investment facilities to support youth-led agricultural projects, and tailoring coaching, consulting, and training services to meet the specific needs of these young entrepreneurs. By enhancing skills and providing financial support, the initiative sought to empower youth to establish successful agricultural enterprises, thereby contributing to regional economic development and food security.</t>
  </si>
  <si>
    <t>NIG/029 - Water and sanitation</t>
  </si>
  <si>
    <t>The Programme (NIG/029) aims to improve universal and equitable access to drinking water and sanitation services, particularly for vulnerable populations, while ensuring sustainable management of water resources at both national and local levels. The programme focuses on strengthening the capacities of sector professionals, including state services, local authorities, and private operators, to guarantee the sustainability of water and sanitation services. Additionally, it emphasizes gender equality, environmental protection, and climate change adaptation in its interventions.</t>
  </si>
  <si>
    <t>RWA/025 - Transformation towards sustainable food systems - Kwihaza</t>
  </si>
  <si>
    <t>The project (RWA/025) aims to contribute to the transition towards socially and environmentally sustainable food systems in Rwanda by developing value chains in aquaculture, fisheries, and horticulture. Its specific objectives include sustainably increasing production, per capita consumption, and income from quality fisheries, aquaculture, and horticulture products, with particular attention to women and youth. The project focuses on strengthening the capacities of smallholders to improve product quality and quantity, reducing post-harvest losses, enhancing access to local and regional markets, supporting small and medium-sized enterprises and young entrepreneurs to create decent jobs, and fostering an enabling environment for inclusive and sustainable food systems.</t>
  </si>
  <si>
    <r>
      <t>Title</t>
    </r>
    <r>
      <rPr>
        <i/>
        <vertAlign val="superscript"/>
        <sz val="9"/>
        <rFont val="Times New Roman"/>
        <family val="1"/>
      </rPr>
      <t>b</t>
    </r>
  </si>
  <si>
    <r>
      <t>Recipient entity</t>
    </r>
    <r>
      <rPr>
        <i/>
        <vertAlign val="superscript"/>
        <sz val="9"/>
        <rFont val="Times New Roman"/>
        <family val="1"/>
      </rPr>
      <t>b</t>
    </r>
  </si>
  <si>
    <r>
      <t>Description and objectives</t>
    </r>
    <r>
      <rPr>
        <i/>
        <vertAlign val="superscript"/>
        <sz val="9"/>
        <rFont val="Times New Roman"/>
        <family val="1"/>
      </rPr>
      <t>b</t>
    </r>
  </si>
  <si>
    <r>
      <t>Type of support</t>
    </r>
    <r>
      <rPr>
        <i/>
        <vertAlign val="superscript"/>
        <sz val="9"/>
        <rFont val="Times New Roman"/>
        <family val="1"/>
      </rPr>
      <t>b</t>
    </r>
  </si>
  <si>
    <r>
      <t>Status of measure or activity</t>
    </r>
    <r>
      <rPr>
        <i/>
        <vertAlign val="superscript"/>
        <sz val="9"/>
        <rFont val="Times New Roman"/>
        <family val="1"/>
      </rPr>
      <t>b</t>
    </r>
  </si>
  <si>
    <r>
      <t>Additional information</t>
    </r>
    <r>
      <rPr>
        <i/>
        <vertAlign val="superscript"/>
        <sz val="9"/>
        <rFont val="Times New Roman"/>
        <family val="1"/>
      </rPr>
      <t>d</t>
    </r>
  </si>
  <si>
    <r>
      <t>Sector</t>
    </r>
    <r>
      <rPr>
        <i/>
        <vertAlign val="superscript"/>
        <sz val="9"/>
        <rFont val="Times New Roman"/>
        <family val="1"/>
      </rPr>
      <t>b</t>
    </r>
  </si>
  <si>
    <r>
      <t>Subsector</t>
    </r>
    <r>
      <rPr>
        <i/>
        <vertAlign val="superscript"/>
        <sz val="9"/>
        <rFont val="Times New Roman"/>
        <family val="1"/>
      </rPr>
      <t>b</t>
    </r>
  </si>
  <si>
    <r>
      <t>Type of technology</t>
    </r>
    <r>
      <rPr>
        <i/>
        <vertAlign val="superscript"/>
        <sz val="9"/>
        <rFont val="Times New Roman"/>
        <family val="1"/>
      </rPr>
      <t>b</t>
    </r>
  </si>
  <si>
    <r>
      <t>Activity undertaken by</t>
    </r>
    <r>
      <rPr>
        <i/>
        <vertAlign val="superscript"/>
        <sz val="9"/>
        <rFont val="Times New Roman"/>
        <family val="1"/>
      </rPr>
      <t>b</t>
    </r>
  </si>
  <si>
    <r>
      <t>Additional information</t>
    </r>
    <r>
      <rPr>
        <i/>
        <vertAlign val="superscript"/>
        <sz val="9"/>
        <rFont val="Times New Roman"/>
        <family val="1"/>
      </rPr>
      <t>e</t>
    </r>
  </si>
  <si>
    <t>enhancing the sustainability of energy production and distribution, improving energy efficiency</t>
  </si>
  <si>
    <t>In line with the vision of Phase 1 of the BRCCAA and with a view to consolidating acquired knowledge and experiences, Phase 2 of the project has the overall objective of strengthening capacities for analysis, integration of climate risks into territorial development policies, and mobilization of resources from local and sub-regional actors, in order to contribute to the implementation of adaptation and mitigation actions outlined in Senegal's NDC. 'Capacity building of local actors for effective integration of climate risks into local development policies, access to information and managenment tools. (2019-2023)</t>
  </si>
  <si>
    <t>LMDF - Forestry and Climate Change Fund (FCCF)</t>
  </si>
  <si>
    <t xml:space="preserve">1USD = 0.8456 EUR </t>
  </si>
  <si>
    <t xml:space="preserve">1USD= 0.9509 EUR </t>
  </si>
  <si>
    <t xml:space="preserve">1USD = 0.9509 EUR </t>
  </si>
  <si>
    <t>OOF (ICF)
OOF (ICF*)</t>
  </si>
  <si>
    <t>OOF (ICF)
OOF (ICF*)
ODA</t>
  </si>
  <si>
    <t>Core contribution (fair share )</t>
  </si>
  <si>
    <t>OOF (ICF*)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</si>
</sst>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General"/>
    <numFmt numFmtId="165" formatCode="0.000"/>
  </numFmts>
  <fonts count="32" x14ac:knownFonts="1">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sz val="9"/>
      <color rgb="FFFF0000"/>
      <name val="Times New Roman"/>
      <family val="1"/>
    </font>
    <font>
      <i/>
      <vertAlign val="superscript"/>
      <sz val="9"/>
      <color rgb="FF000000"/>
      <name val="Times New Roman"/>
      <family val="1"/>
    </font>
    <font>
      <b/>
      <i/>
      <sz val="9"/>
      <color theme="1"/>
      <name val="Times New Roman"/>
      <family val="1"/>
    </font>
    <font>
      <b/>
      <sz val="11"/>
      <color theme="1"/>
      <name val="Times New Roman"/>
      <family val="1"/>
    </font>
    <font>
      <sz val="9"/>
      <color rgb="FF000000"/>
      <name val="Times New Roman"/>
      <family val="1"/>
    </font>
    <font>
      <sz val="12"/>
      <color theme="1"/>
      <name val="Times New Roman"/>
      <family val="1"/>
    </font>
    <font>
      <b/>
      <vertAlign val="superscript"/>
      <sz val="12"/>
      <color theme="1"/>
      <name val="Times New Roman"/>
      <family val="1"/>
    </font>
    <font>
      <b/>
      <sz val="9"/>
      <color rgb="FFFF0000"/>
      <name val="Times New Roman"/>
      <family val="1"/>
    </font>
    <font>
      <sz val="9"/>
      <color rgb="FF0070C0"/>
      <name val="Times New Roman"/>
      <family val="1"/>
    </font>
    <font>
      <vertAlign val="superscript"/>
      <sz val="9"/>
      <color theme="1"/>
      <name val="Times New Roman"/>
      <family val="1"/>
    </font>
    <font>
      <sz val="9"/>
      <color rgb="FFFFFF00"/>
      <name val="Times New Roman"/>
      <family val="1"/>
    </font>
    <font>
      <b/>
      <sz val="9"/>
      <color rgb="FF000000"/>
      <name val="Times New Roman"/>
      <family val="1"/>
    </font>
    <font>
      <sz val="9"/>
      <color theme="10"/>
      <name val="Times New Roman"/>
      <family val="1"/>
    </font>
    <font>
      <b/>
      <vertAlign val="superscript"/>
      <sz val="12"/>
      <name val="Times New Roman"/>
      <family val="1"/>
    </font>
    <font>
      <b/>
      <sz val="12"/>
      <name val="Times New Roman"/>
      <family val="1"/>
    </font>
    <font>
      <i/>
      <vertAlign val="superscript"/>
      <sz val="9"/>
      <name val="Times New Roman"/>
      <family val="1"/>
    </font>
    <font>
      <sz val="9"/>
      <name val="Times New Roman"/>
      <family val="1"/>
    </font>
    <font>
      <i/>
      <sz val="9"/>
      <name val="Times New Roman"/>
      <family val="1"/>
    </font>
    <font>
      <vertAlign val="superscript"/>
      <sz val="9"/>
      <name val="Times New Roman"/>
      <family val="1"/>
    </font>
    <font>
      <b/>
      <vertAlign val="superscript"/>
      <sz val="11"/>
      <name val="Times New Roman"/>
      <family val="1"/>
    </font>
    <font>
      <b/>
      <sz val="11"/>
      <name val="Times New Roman"/>
      <family val="1"/>
    </font>
    <font>
      <sz val="10"/>
      <color theme="1"/>
      <name val="Calibri"/>
      <family val="2"/>
    </font>
    <font>
      <i/>
      <sz val="9"/>
      <name val="Times New Roman"/>
      <family val="1"/>
    </font>
    <font>
      <b/>
      <i/>
      <sz val="9"/>
      <name val="Times New Roman"/>
      <family val="1"/>
    </font>
    <font>
      <sz val="8"/>
      <color theme="1"/>
      <name val="Times New Roman"/>
      <family val="1"/>
    </font>
  </fonts>
  <fills count="8">
    <fill>
      <patternFill patternType="none"/>
    </fill>
    <fill>
      <patternFill patternType="gray125"/>
    </fill>
    <fill>
      <patternFill patternType="solid">
        <fgColor rgb="FFFFFFFF"/>
        <bgColor rgb="FF000000"/>
      </patternFill>
    </fill>
    <fill>
      <patternFill patternType="solid">
        <fgColor theme="0" tint="-0.34998626667073579"/>
        <bgColor rgb="FF000000"/>
      </patternFill>
    </fill>
    <fill>
      <patternFill patternType="solid">
        <fgColor theme="2"/>
        <bgColor indexed="64"/>
      </patternFill>
    </fill>
    <fill>
      <patternFill patternType="solid">
        <fgColor theme="0"/>
        <bgColor indexed="64"/>
      </patternFill>
    </fill>
    <fill>
      <patternFill patternType="solid">
        <fgColor theme="0"/>
        <bgColor rgb="FF000000"/>
      </patternFill>
    </fill>
    <fill>
      <patternFill patternType="solid">
        <fgColor theme="2"/>
        <bgColor rgb="FF000000"/>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3" fillId="0" borderId="0"/>
    <xf numFmtId="0" fontId="5" fillId="0" borderId="0"/>
    <xf numFmtId="0" fontId="6" fillId="0" borderId="2"/>
    <xf numFmtId="0" fontId="6" fillId="0" borderId="1"/>
    <xf numFmtId="0" fontId="18" fillId="0" borderId="0"/>
  </cellStyleXfs>
  <cellXfs count="156">
    <xf numFmtId="0" fontId="0" fillId="0" borderId="0" xfId="0"/>
    <xf numFmtId="0" fontId="1" fillId="0" borderId="0" xfId="0" applyFont="1"/>
    <xf numFmtId="0" fontId="2" fillId="0" borderId="0" xfId="0" applyFont="1"/>
    <xf numFmtId="0" fontId="3" fillId="0" borderId="0" xfId="1"/>
    <xf numFmtId="0" fontId="2" fillId="0" borderId="0" xfId="1" applyFont="1"/>
    <xf numFmtId="0" fontId="4" fillId="0" borderId="0" xfId="0" applyFont="1"/>
    <xf numFmtId="0" fontId="5" fillId="0" borderId="0" xfId="2" applyAlignment="1">
      <alignment horizontal="left"/>
    </xf>
    <xf numFmtId="0" fontId="5" fillId="0" borderId="0" xfId="0" applyFont="1"/>
    <xf numFmtId="0" fontId="5" fillId="2" borderId="0" xfId="2" applyFill="1" applyAlignment="1">
      <alignment horizontal="left"/>
    </xf>
    <xf numFmtId="0" fontId="2" fillId="2" borderId="0" xfId="2" applyFont="1" applyFill="1" applyAlignment="1">
      <alignment horizontal="left"/>
    </xf>
    <xf numFmtId="0" fontId="1" fillId="0" borderId="0" xfId="2" applyFont="1" applyAlignment="1">
      <alignment horizontal="left"/>
    </xf>
    <xf numFmtId="2" fontId="1" fillId="0" borderId="0" xfId="2" applyNumberFormat="1" applyFont="1" applyAlignment="1">
      <alignment horizontal="left"/>
    </xf>
    <xf numFmtId="0" fontId="1" fillId="2" borderId="0" xfId="2" applyFont="1" applyFill="1" applyAlignment="1">
      <alignment horizontal="left"/>
    </xf>
    <xf numFmtId="0" fontId="3" fillId="2" borderId="0" xfId="1" applyFill="1" applyAlignment="1">
      <alignment horizontal="left"/>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0" xfId="0" applyFont="1"/>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3" fontId="6" fillId="0" borderId="0" xfId="3" applyNumberFormat="1" applyBorder="1" applyAlignment="1">
      <alignment horizontal="center" vertical="top"/>
    </xf>
    <xf numFmtId="3" fontId="6" fillId="0" borderId="0" xfId="3" applyNumberFormat="1" applyBorder="1" applyAlignment="1">
      <alignment vertical="top"/>
    </xf>
    <xf numFmtId="0" fontId="6" fillId="0" borderId="0" xfId="3" applyBorder="1" applyAlignment="1">
      <alignment horizontal="center" vertical="top"/>
    </xf>
    <xf numFmtId="0" fontId="6" fillId="0" borderId="0" xfId="3" applyBorder="1" applyAlignment="1">
      <alignment horizontal="center" vertical="top" wrapText="1"/>
    </xf>
    <xf numFmtId="0" fontId="6" fillId="0" borderId="0" xfId="3" applyBorder="1" applyAlignment="1">
      <alignment vertical="top" wrapText="1"/>
    </xf>
    <xf numFmtId="0" fontId="1" fillId="0" borderId="0" xfId="3" applyFont="1" applyBorder="1" applyAlignment="1">
      <alignment horizontal="left" vertical="top" wrapText="1"/>
    </xf>
    <xf numFmtId="0" fontId="1" fillId="0" borderId="0" xfId="3" applyFont="1" applyBorder="1" applyAlignment="1">
      <alignment vertical="top" wrapText="1"/>
    </xf>
    <xf numFmtId="3" fontId="1" fillId="0" borderId="0" xfId="3" applyNumberFormat="1" applyFont="1" applyBorder="1" applyAlignment="1">
      <alignment vertical="top"/>
    </xf>
    <xf numFmtId="3" fontId="1" fillId="0" borderId="0" xfId="3" applyNumberFormat="1" applyFont="1" applyBorder="1" applyAlignment="1">
      <alignment horizontal="center" vertical="top"/>
    </xf>
    <xf numFmtId="0" fontId="4" fillId="2" borderId="0" xfId="2" applyFont="1" applyFill="1" applyAlignment="1">
      <alignment horizontal="left" wrapText="1"/>
    </xf>
    <xf numFmtId="0" fontId="10" fillId="0" borderId="0" xfId="0" applyFont="1"/>
    <xf numFmtId="0" fontId="6" fillId="0" borderId="1" xfId="3" applyBorder="1" applyAlignment="1">
      <alignment horizontal="center" vertical="center" wrapText="1"/>
    </xf>
    <xf numFmtId="0" fontId="6" fillId="0" borderId="9" xfId="0" applyFont="1" applyBorder="1" applyAlignment="1">
      <alignment horizontal="centerContinuous" vertical="center" wrapText="1"/>
    </xf>
    <xf numFmtId="0" fontId="6" fillId="0" borderId="6" xfId="3" applyBorder="1" applyAlignment="1">
      <alignment horizontal="center" vertical="center" wrapText="1"/>
    </xf>
    <xf numFmtId="0" fontId="6" fillId="0" borderId="9" xfId="3" applyBorder="1" applyAlignment="1">
      <alignment horizontal="centerContinuous" vertical="center" wrapText="1"/>
    </xf>
    <xf numFmtId="0" fontId="6" fillId="0" borderId="1" xfId="3" applyBorder="1" applyAlignment="1">
      <alignment horizontal="center" vertical="center"/>
    </xf>
    <xf numFmtId="0" fontId="6" fillId="0" borderId="0" xfId="0" applyFont="1" applyAlignment="1">
      <alignment horizontal="left" vertical="top"/>
    </xf>
    <xf numFmtId="0" fontId="1" fillId="0" borderId="0" xfId="0" applyFont="1" applyAlignment="1">
      <alignment vertical="top"/>
    </xf>
    <xf numFmtId="0" fontId="11" fillId="0" borderId="0" xfId="0" applyFont="1"/>
    <xf numFmtId="0" fontId="1" fillId="0" borderId="0" xfId="3" applyFont="1" applyBorder="1"/>
    <xf numFmtId="0" fontId="8" fillId="0" borderId="0" xfId="0" applyFont="1" applyAlignment="1">
      <alignment wrapText="1"/>
    </xf>
    <xf numFmtId="0" fontId="12" fillId="0" borderId="0" xfId="0" applyFont="1"/>
    <xf numFmtId="0" fontId="13" fillId="0" borderId="0" xfId="2" applyFont="1" applyAlignment="1">
      <alignment horizontal="left"/>
    </xf>
    <xf numFmtId="0" fontId="4" fillId="2" borderId="0" xfId="1" applyFont="1" applyFill="1" applyAlignment="1">
      <alignment horizontal="left"/>
    </xf>
    <xf numFmtId="0" fontId="14" fillId="2" borderId="0" xfId="2" applyFont="1" applyFill="1" applyAlignment="1">
      <alignment horizontal="left"/>
    </xf>
    <xf numFmtId="0" fontId="15" fillId="0" borderId="0" xfId="0" applyFont="1"/>
    <xf numFmtId="0" fontId="6" fillId="0" borderId="1" xfId="4" applyAlignment="1">
      <alignment horizontal="center" vertical="center" wrapText="1"/>
    </xf>
    <xf numFmtId="0" fontId="6" fillId="0" borderId="9" xfId="0" applyFont="1" applyBorder="1" applyAlignment="1">
      <alignment horizontal="centerContinuous" vertical="center"/>
    </xf>
    <xf numFmtId="0" fontId="6" fillId="0" borderId="9" xfId="0" applyFont="1" applyBorder="1" applyAlignment="1">
      <alignment horizontal="centerContinuous"/>
    </xf>
    <xf numFmtId="0" fontId="6" fillId="0" borderId="5" xfId="4" applyBorder="1" applyAlignment="1">
      <alignment horizontal="centerContinuous" vertical="center" wrapText="1"/>
    </xf>
    <xf numFmtId="0" fontId="6" fillId="0" borderId="11" xfId="4" applyBorder="1" applyAlignment="1">
      <alignment horizontal="centerContinuous" vertical="center" wrapText="1"/>
    </xf>
    <xf numFmtId="0" fontId="6" fillId="0" borderId="6" xfId="4" applyBorder="1" applyAlignment="1">
      <alignment horizontal="center" vertical="center" wrapText="1"/>
    </xf>
    <xf numFmtId="0" fontId="6" fillId="0" borderId="9" xfId="4" applyBorder="1" applyAlignment="1">
      <alignment horizontal="centerContinuous"/>
    </xf>
    <xf numFmtId="0" fontId="6" fillId="0" borderId="10" xfId="4" applyBorder="1" applyAlignment="1">
      <alignment vertical="center" wrapText="1"/>
    </xf>
    <xf numFmtId="0" fontId="6" fillId="0" borderId="12" xfId="4" applyBorder="1" applyAlignment="1">
      <alignment vertical="center" wrapText="1"/>
    </xf>
    <xf numFmtId="0" fontId="6" fillId="0" borderId="8" xfId="4" applyBorder="1" applyAlignment="1">
      <alignment horizontal="center" vertical="center" wrapText="1"/>
    </xf>
    <xf numFmtId="0" fontId="6" fillId="0" borderId="9" xfId="4" applyBorder="1" applyAlignment="1">
      <alignment horizontal="center" vertical="center" wrapText="1"/>
    </xf>
    <xf numFmtId="0" fontId="6" fillId="0" borderId="9" xfId="4" applyBorder="1" applyAlignment="1">
      <alignment horizontal="center" vertical="center"/>
    </xf>
    <xf numFmtId="0" fontId="1" fillId="0" borderId="0" xfId="0" applyFont="1" applyAlignment="1">
      <alignment horizontal="left" vertical="top" wrapText="1"/>
    </xf>
    <xf numFmtId="0" fontId="16" fillId="0" borderId="0" xfId="0" applyFont="1" applyAlignment="1">
      <alignment horizontal="left" vertical="top" wrapText="1"/>
    </xf>
    <xf numFmtId="0" fontId="5" fillId="0" borderId="0" xfId="2" applyAlignment="1">
      <alignment horizontal="left" vertical="top"/>
    </xf>
    <xf numFmtId="14" fontId="1" fillId="0" borderId="0" xfId="0" applyNumberFormat="1" applyFont="1"/>
    <xf numFmtId="0" fontId="17" fillId="0" borderId="0" xfId="0" applyFont="1" applyAlignment="1">
      <alignment horizontal="center"/>
    </xf>
    <xf numFmtId="164" fontId="1" fillId="0" borderId="0" xfId="0" applyNumberFormat="1" applyFont="1"/>
    <xf numFmtId="0" fontId="2" fillId="0" borderId="0" xfId="2" applyFont="1" applyAlignment="1">
      <alignment horizontal="left" vertical="top"/>
    </xf>
    <xf numFmtId="0" fontId="15" fillId="2" borderId="0" xfId="1" applyFont="1" applyFill="1" applyAlignment="1">
      <alignment horizontal="left"/>
    </xf>
    <xf numFmtId="0" fontId="4" fillId="2" borderId="0" xfId="1" applyFont="1" applyFill="1" applyAlignment="1">
      <alignment horizontal="left" wrapText="1"/>
    </xf>
    <xf numFmtId="0" fontId="18" fillId="0" borderId="0" xfId="5" applyAlignment="1">
      <alignment horizontal="left" vertical="top"/>
    </xf>
    <xf numFmtId="0" fontId="1" fillId="0" borderId="0" xfId="0" applyFont="1" applyAlignment="1">
      <alignment horizontal="left"/>
    </xf>
    <xf numFmtId="0" fontId="18" fillId="0" borderId="0" xfId="5" applyAlignment="1">
      <alignment horizontal="left" vertical="top" wrapText="1"/>
    </xf>
    <xf numFmtId="0" fontId="2" fillId="0" borderId="0" xfId="2" applyFont="1" applyAlignment="1">
      <alignment horizontal="left"/>
    </xf>
    <xf numFmtId="0" fontId="19" fillId="2" borderId="0" xfId="1" applyFont="1" applyFill="1" applyAlignment="1">
      <alignment horizontal="left"/>
    </xf>
    <xf numFmtId="0" fontId="3" fillId="0" borderId="0" xfId="1" applyAlignment="1">
      <alignment vertical="center"/>
    </xf>
    <xf numFmtId="0" fontId="6" fillId="0" borderId="13" xfId="0" applyFont="1" applyBorder="1" applyAlignment="1">
      <alignment horizontal="center" vertical="center" wrapText="1"/>
    </xf>
    <xf numFmtId="0" fontId="6" fillId="0" borderId="13" xfId="3" applyBorder="1" applyAlignment="1">
      <alignment horizontal="center" vertical="center" wrapText="1"/>
    </xf>
    <xf numFmtId="3" fontId="6" fillId="0" borderId="13" xfId="3" applyNumberFormat="1" applyBorder="1" applyAlignment="1">
      <alignment horizontal="center" vertical="center" wrapText="1"/>
    </xf>
    <xf numFmtId="3" fontId="6" fillId="0" borderId="13" xfId="3" applyNumberFormat="1" applyBorder="1" applyAlignment="1">
      <alignment horizontal="center" vertical="center"/>
    </xf>
    <xf numFmtId="0" fontId="3" fillId="0" borderId="13" xfId="1" applyBorder="1" applyAlignment="1">
      <alignment wrapText="1"/>
    </xf>
    <xf numFmtId="0" fontId="6" fillId="5" borderId="13" xfId="0" applyFont="1" applyFill="1" applyBorder="1" applyAlignment="1">
      <alignment horizontal="center" vertical="center" wrapText="1"/>
    </xf>
    <xf numFmtId="0" fontId="6" fillId="0" borderId="13" xfId="0" quotePrefix="1" applyFont="1" applyBorder="1" applyAlignment="1">
      <alignment horizontal="center" vertical="center" wrapText="1"/>
    </xf>
    <xf numFmtId="0" fontId="6" fillId="5" borderId="13" xfId="0" quotePrefix="1" applyFont="1" applyFill="1" applyBorder="1" applyAlignment="1">
      <alignment horizontal="center" vertical="center" wrapText="1"/>
    </xf>
    <xf numFmtId="0" fontId="6" fillId="6" borderId="13" xfId="0" applyFont="1" applyFill="1" applyBorder="1" applyAlignment="1">
      <alignment horizontal="center" vertical="center"/>
    </xf>
    <xf numFmtId="0" fontId="6" fillId="5" borderId="13" xfId="0" applyFont="1" applyFill="1" applyBorder="1" applyAlignment="1">
      <alignment horizontal="center" vertical="center"/>
    </xf>
    <xf numFmtId="0" fontId="6" fillId="6" borderId="13" xfId="0" applyFont="1" applyFill="1" applyBorder="1" applyAlignment="1">
      <alignment horizontal="center" vertical="center" wrapText="1"/>
    </xf>
    <xf numFmtId="165" fontId="1" fillId="0" borderId="0" xfId="2" applyNumberFormat="1" applyFont="1" applyAlignment="1">
      <alignment horizontal="left"/>
    </xf>
    <xf numFmtId="0" fontId="6" fillId="5" borderId="1" xfId="0" applyFont="1" applyFill="1" applyBorder="1" applyAlignment="1">
      <alignment horizontal="center" vertical="center" wrapText="1"/>
    </xf>
    <xf numFmtId="0" fontId="6" fillId="5" borderId="2" xfId="0" applyFont="1" applyFill="1" applyBorder="1" applyAlignment="1">
      <alignment horizontal="centerContinuous" vertical="center"/>
    </xf>
    <xf numFmtId="0" fontId="6" fillId="5" borderId="3" xfId="0" applyFont="1" applyFill="1" applyBorder="1" applyAlignment="1">
      <alignment horizontal="centerContinuous" vertical="center"/>
    </xf>
    <xf numFmtId="0" fontId="6" fillId="5" borderId="4" xfId="0" applyFont="1" applyFill="1" applyBorder="1" applyAlignment="1">
      <alignment horizontal="centerContinuous" vertical="center"/>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5" borderId="2" xfId="3" applyFill="1" applyAlignment="1">
      <alignment horizontal="centerContinuous" vertical="center"/>
    </xf>
    <xf numFmtId="0" fontId="6" fillId="5" borderId="4" xfId="3" applyFill="1" applyBorder="1" applyAlignment="1">
      <alignment horizontal="centerContinuous" vertical="center"/>
    </xf>
    <xf numFmtId="0" fontId="6" fillId="5" borderId="7" xfId="0" applyFont="1" applyFill="1" applyBorder="1" applyAlignment="1">
      <alignment horizontal="center" vertical="center" wrapText="1"/>
    </xf>
    <xf numFmtId="0" fontId="6" fillId="5" borderId="1" xfId="3" applyFill="1" applyBorder="1" applyAlignment="1">
      <alignment horizontal="center" vertical="center" wrapText="1"/>
    </xf>
    <xf numFmtId="0" fontId="6" fillId="5" borderId="1" xfId="3" applyFill="1" applyBorder="1" applyAlignment="1">
      <alignment horizontal="center" vertical="center"/>
    </xf>
    <xf numFmtId="4" fontId="6" fillId="5" borderId="13" xfId="3" applyNumberFormat="1" applyFill="1" applyBorder="1" applyAlignment="1">
      <alignment horizontal="center" vertical="center" wrapText="1"/>
    </xf>
    <xf numFmtId="4" fontId="6" fillId="5" borderId="13" xfId="3" applyNumberFormat="1" applyFill="1" applyBorder="1" applyAlignment="1">
      <alignment horizontal="center" vertical="center"/>
    </xf>
    <xf numFmtId="0" fontId="5" fillId="5" borderId="0" xfId="2" applyFill="1" applyAlignment="1">
      <alignment horizontal="left"/>
    </xf>
    <xf numFmtId="0" fontId="1" fillId="5" borderId="0" xfId="0" applyFont="1" applyFill="1"/>
    <xf numFmtId="0" fontId="5" fillId="5" borderId="0" xfId="0" applyFont="1" applyFill="1"/>
    <xf numFmtId="0" fontId="5" fillId="6" borderId="0" xfId="2" applyFill="1" applyAlignment="1">
      <alignment horizontal="left"/>
    </xf>
    <xf numFmtId="0" fontId="2" fillId="6" borderId="0" xfId="2" applyFont="1" applyFill="1" applyAlignment="1">
      <alignment horizontal="left"/>
    </xf>
    <xf numFmtId="0" fontId="1" fillId="5" borderId="0" xfId="2" applyFont="1" applyFill="1" applyAlignment="1">
      <alignment horizontal="left"/>
    </xf>
    <xf numFmtId="165" fontId="1" fillId="5" borderId="0" xfId="2" applyNumberFormat="1" applyFont="1" applyFill="1" applyAlignment="1">
      <alignment horizontal="left"/>
    </xf>
    <xf numFmtId="0" fontId="1" fillId="6" borderId="0" xfId="2" applyFont="1" applyFill="1" applyAlignment="1">
      <alignment horizontal="left"/>
    </xf>
    <xf numFmtId="0" fontId="3" fillId="6" borderId="0" xfId="1" applyFill="1" applyAlignment="1">
      <alignment horizontal="left"/>
    </xf>
    <xf numFmtId="0" fontId="4" fillId="6" borderId="0" xfId="2" applyFont="1" applyFill="1" applyAlignment="1">
      <alignment horizontal="left"/>
    </xf>
    <xf numFmtId="0" fontId="6" fillId="5" borderId="0" xfId="0" applyFont="1" applyFill="1"/>
    <xf numFmtId="0" fontId="7" fillId="5" borderId="0" xfId="0" applyFont="1" applyFill="1"/>
    <xf numFmtId="3" fontId="6" fillId="5" borderId="0" xfId="3" applyNumberFormat="1" applyFill="1" applyBorder="1" applyAlignment="1">
      <alignment horizontal="center" vertical="top"/>
    </xf>
    <xf numFmtId="3" fontId="6" fillId="5" borderId="0" xfId="3" applyNumberFormat="1" applyFill="1" applyBorder="1" applyAlignment="1">
      <alignment vertical="top"/>
    </xf>
    <xf numFmtId="0" fontId="6" fillId="5" borderId="0" xfId="3" applyFill="1" applyBorder="1" applyAlignment="1">
      <alignment horizontal="center" vertical="top"/>
    </xf>
    <xf numFmtId="0" fontId="6" fillId="5" borderId="0" xfId="3" applyFill="1" applyBorder="1" applyAlignment="1">
      <alignment horizontal="center" vertical="top" wrapText="1"/>
    </xf>
    <xf numFmtId="0" fontId="6" fillId="5" borderId="0" xfId="3" applyFill="1" applyBorder="1" applyAlignment="1">
      <alignment vertical="top" wrapText="1"/>
    </xf>
    <xf numFmtId="0" fontId="8" fillId="5" borderId="0" xfId="0" applyFont="1" applyFill="1"/>
    <xf numFmtId="0" fontId="1" fillId="5" borderId="0" xfId="3" applyFont="1" applyFill="1" applyBorder="1" applyAlignment="1">
      <alignment horizontal="left" vertical="top" wrapText="1"/>
    </xf>
    <xf numFmtId="0" fontId="1" fillId="5" borderId="0" xfId="3" applyFont="1" applyFill="1" applyBorder="1" applyAlignment="1">
      <alignment vertical="top" wrapText="1"/>
    </xf>
    <xf numFmtId="3" fontId="1" fillId="5" borderId="0" xfId="3" applyNumberFormat="1" applyFont="1" applyFill="1" applyBorder="1" applyAlignment="1">
      <alignment vertical="top"/>
    </xf>
    <xf numFmtId="3" fontId="1" fillId="5" borderId="0" xfId="3" applyNumberFormat="1" applyFont="1" applyFill="1" applyBorder="1" applyAlignment="1">
      <alignment horizontal="center" vertical="top"/>
    </xf>
    <xf numFmtId="0" fontId="4" fillId="6" borderId="0" xfId="2" applyFont="1" applyFill="1" applyAlignment="1">
      <alignment horizontal="left" wrapText="1"/>
    </xf>
    <xf numFmtId="0" fontId="2" fillId="5" borderId="0" xfId="0" applyFont="1" applyFill="1"/>
    <xf numFmtId="0" fontId="1" fillId="5" borderId="0" xfId="0" applyFont="1" applyFill="1" applyAlignment="1">
      <alignment horizontal="left" vertical="center" indent="7"/>
    </xf>
    <xf numFmtId="0" fontId="2" fillId="5" borderId="0" xfId="0" applyFont="1" applyFill="1" applyAlignment="1">
      <alignment horizontal="left" vertical="center" indent="7"/>
    </xf>
    <xf numFmtId="0" fontId="8" fillId="5" borderId="0" xfId="0" applyFont="1" applyFill="1" applyAlignment="1">
      <alignment vertical="center"/>
    </xf>
    <xf numFmtId="0" fontId="1" fillId="5" borderId="0" xfId="0" applyFont="1" applyFill="1" applyAlignment="1">
      <alignment vertical="center"/>
    </xf>
    <xf numFmtId="0" fontId="9" fillId="5" borderId="0" xfId="0" applyFont="1" applyFill="1" applyAlignment="1">
      <alignment vertical="center"/>
    </xf>
    <xf numFmtId="0" fontId="28" fillId="5" borderId="0" xfId="0" applyFont="1" applyFill="1" applyAlignment="1">
      <alignment horizontal="justify" vertical="center"/>
    </xf>
    <xf numFmtId="0" fontId="6" fillId="5" borderId="8" xfId="0" applyFont="1" applyFill="1" applyBorder="1" applyAlignment="1">
      <alignment horizontal="center" vertical="center" wrapText="1"/>
    </xf>
    <xf numFmtId="0" fontId="6" fillId="5" borderId="9" xfId="3" applyFill="1" applyBorder="1" applyAlignment="1">
      <alignment horizontal="center" vertical="center" wrapText="1"/>
    </xf>
    <xf numFmtId="0" fontId="6" fillId="5" borderId="9" xfId="3" applyFill="1" applyBorder="1" applyAlignment="1">
      <alignment horizontal="center" vertical="center"/>
    </xf>
    <xf numFmtId="0" fontId="6" fillId="5" borderId="10" xfId="0" applyFont="1" applyFill="1" applyBorder="1" applyAlignment="1">
      <alignment horizontal="center" vertical="center" wrapText="1"/>
    </xf>
    <xf numFmtId="0" fontId="29" fillId="6" borderId="13" xfId="0" applyFont="1" applyFill="1" applyBorder="1" applyAlignment="1">
      <alignment horizontal="center" vertical="center"/>
    </xf>
    <xf numFmtId="0" fontId="29" fillId="3" borderId="1" xfId="0" applyFont="1" applyFill="1" applyBorder="1" applyAlignment="1">
      <alignment horizontal="center" vertical="center"/>
    </xf>
    <xf numFmtId="0" fontId="29" fillId="6" borderId="13" xfId="0" applyFont="1" applyFill="1" applyBorder="1" applyAlignment="1">
      <alignment horizontal="center" vertical="center" wrapText="1"/>
    </xf>
    <xf numFmtId="0" fontId="1" fillId="0" borderId="0" xfId="0" applyFont="1"/>
    <xf numFmtId="0" fontId="6" fillId="5" borderId="13" xfId="0" applyFont="1" applyFill="1" applyBorder="1" applyAlignment="1">
      <alignment horizontal="center" vertical="center" wrapText="1"/>
    </xf>
    <xf numFmtId="0" fontId="6" fillId="5" borderId="0" xfId="0" applyFont="1" applyFill="1"/>
    <xf numFmtId="0" fontId="29" fillId="0" borderId="1" xfId="0" applyFont="1" applyBorder="1" applyAlignment="1">
      <alignment horizontal="center" vertical="center"/>
    </xf>
    <xf numFmtId="0" fontId="29" fillId="3"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29" fillId="5" borderId="13" xfId="0" applyFont="1" applyFill="1" applyBorder="1" applyAlignment="1">
      <alignment horizontal="center" vertical="center"/>
    </xf>
    <xf numFmtId="0" fontId="29" fillId="5" borderId="13" xfId="0" applyFont="1" applyFill="1" applyBorder="1" applyAlignment="1">
      <alignment horizontal="center" vertical="center" wrapText="1"/>
    </xf>
    <xf numFmtId="0" fontId="29" fillId="5" borderId="13" xfId="0" quotePrefix="1" applyFont="1" applyFill="1" applyBorder="1" applyAlignment="1">
      <alignment horizontal="center" vertical="center" wrapText="1"/>
    </xf>
    <xf numFmtId="0" fontId="29" fillId="0" borderId="0" xfId="0" applyFont="1" applyAlignment="1">
      <alignment wrapText="1"/>
    </xf>
    <xf numFmtId="0" fontId="29" fillId="7" borderId="13" xfId="0" applyFont="1" applyFill="1" applyBorder="1" applyAlignment="1">
      <alignment horizontal="center" vertical="center"/>
    </xf>
    <xf numFmtId="0" fontId="29" fillId="4" borderId="13" xfId="0" applyFont="1" applyFill="1" applyBorder="1" applyAlignment="1">
      <alignment horizontal="center" vertical="center"/>
    </xf>
    <xf numFmtId="0" fontId="29" fillId="7" borderId="13" xfId="0" applyFont="1" applyFill="1" applyBorder="1" applyAlignment="1">
      <alignment horizontal="center" vertical="center" wrapText="1"/>
    </xf>
    <xf numFmtId="0" fontId="29" fillId="4" borderId="13" xfId="0" applyFont="1" applyFill="1" applyBorder="1" applyAlignment="1">
      <alignment horizontal="center" vertical="center" wrapText="1"/>
    </xf>
    <xf numFmtId="0" fontId="30" fillId="6" borderId="13" xfId="0" applyFont="1" applyFill="1" applyBorder="1" applyAlignment="1">
      <alignment horizontal="center" vertical="center"/>
    </xf>
    <xf numFmtId="0" fontId="6" fillId="0" borderId="1" xfId="4" applyBorder="1" applyAlignment="1">
      <alignment horizontal="center" vertical="center" wrapText="1"/>
    </xf>
    <xf numFmtId="0" fontId="6" fillId="0" borderId="1" xfId="4" applyBorder="1" applyAlignment="1">
      <alignment horizontal="center" vertical="center"/>
    </xf>
    <xf numFmtId="0" fontId="6" fillId="0" borderId="13" xfId="4" applyBorder="1" applyAlignment="1">
      <alignment horizontal="center" vertical="center" wrapText="1"/>
    </xf>
    <xf numFmtId="0" fontId="6" fillId="0" borderId="13" xfId="4" applyBorder="1" applyAlignment="1">
      <alignment horizontal="center" vertical="center"/>
    </xf>
    <xf numFmtId="0" fontId="31" fillId="0" borderId="0" xfId="0" applyFont="1" applyAlignment="1">
      <alignment horizontal="justify" vertical="center"/>
    </xf>
  </cellXfs>
  <cellStyles count="6">
    <cellStyle name="Headline" xfId="2" xr:uid="{00000000-0005-0000-0000-000002000000}"/>
    <cellStyle name="Hyperlink" xfId="1" xr:uid="{00000000-0005-0000-0000-000001000000}"/>
    <cellStyle name="Normal" xfId="0" builtinId="0" customBuiltin="1"/>
    <cellStyle name="Normal 2" xfId="4" xr:uid="{00000000-0005-0000-0000-000004000000}"/>
    <cellStyle name="Normal 2 2" xfId="3" xr:uid="{00000000-0005-0000-0000-000003000000}"/>
    <cellStyle name="Обычный_CRF2002 (1)" xfId="5" xr:uid="{00000000-0005-0000-0000-000005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H:\2.%20Corona\0%20BTR_1_2024\Baas\2025%2001%2015_LUX-CTF-FTC-2024-V0.1-20241202-173400_started_BB.xlsx" TargetMode="External"/><Relationship Id="rId1" Type="http://schemas.openxmlformats.org/officeDocument/2006/relationships/externalLinkPath" Target="file:///H:\2.%20Corona\0%20BTR_1_2024\Baas\2025%2001%2015_LUX-CTF-FTC-2024-V0.1-20241202-173400_started_B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
      <sheetName val="Table1_2022"/>
      <sheetName val="Table1_2021"/>
      <sheetName val="Table2_2022"/>
      <sheetName val="Table2_2021"/>
      <sheetName val="Table3_2022"/>
      <sheetName val="Table3_2021"/>
      <sheetName val="Table4"/>
      <sheetName val="Table5"/>
      <sheetName val="Sheet1"/>
    </sheetNames>
    <sheetDataSet>
      <sheetData sheetId="0"/>
      <sheetData sheetId="1"/>
      <sheetData sheetId="2"/>
      <sheetData sheetId="3"/>
      <sheetData sheetId="4"/>
      <sheetData sheetId="5"/>
      <sheetData sheetId="6"/>
      <sheetData sheetId="7">
        <row r="21">
          <cell r="D21" t="str">
            <v>The CVE/082 programme supports the Ministry of Agriculture and Environment, ANAS, municipalities, and private sector actors in improving water and sanitation services on the islands of Fogo, Brava, and Santiago. It focuses on enhancing financial sustainability, increasing operational efficiency in service delivery, and strengthening the capacity of sanitation institutions by building on successful methodologies from previous Luxembourg-funded projects. The programme aims to optimize financial resource mobilization, improve energy efficiency, and ensure better service provision through targeted institutional support and capacity-building efforts.</v>
          </cell>
        </row>
      </sheetData>
      <sheetData sheetId="8"/>
      <sheetData sheetId="9"/>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eib.org/attachments/publications/20230044_luxembourg_eib_climate_finance_trust_fund_en.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showGridLines="0" tabSelected="1" zoomScaleNormal="100" workbookViewId="0"/>
  </sheetViews>
  <sheetFormatPr defaultColWidth="8.5546875" defaultRowHeight="11.4" customHeight="1" x14ac:dyDescent="0.25"/>
  <cols>
    <col min="1" max="1" width="10.109375" style="1" customWidth="1"/>
    <col min="2" max="2" width="3.44140625" style="1" customWidth="1"/>
    <col min="3" max="3" width="8.5546875" style="1" customWidth="1"/>
    <col min="4" max="16384" width="8.5546875" style="1"/>
  </cols>
  <sheetData>
    <row r="1" spans="1:3" ht="11.4" customHeight="1" x14ac:dyDescent="0.25">
      <c r="A1" s="2" t="s">
        <v>0</v>
      </c>
    </row>
    <row r="3" spans="1:3" ht="11.4" customHeight="1" x14ac:dyDescent="0.25">
      <c r="A3" s="3"/>
    </row>
    <row r="4" spans="1:3" ht="11.4" customHeight="1" x14ac:dyDescent="0.25">
      <c r="A4" s="4" t="s">
        <v>1</v>
      </c>
      <c r="C4" s="2" t="s">
        <v>2</v>
      </c>
    </row>
    <row r="5" spans="1:3" ht="11.4" customHeight="1" x14ac:dyDescent="0.25">
      <c r="A5" s="4" t="s">
        <v>3</v>
      </c>
    </row>
    <row r="6" spans="1:3" ht="11.4" customHeight="1" x14ac:dyDescent="0.25">
      <c r="A6" s="3" t="s">
        <v>4</v>
      </c>
    </row>
    <row r="7" spans="1:3" ht="11.4" customHeight="1" x14ac:dyDescent="0.25">
      <c r="A7" s="3" t="s">
        <v>5</v>
      </c>
    </row>
    <row r="8" spans="1:3" ht="11.4" customHeight="1" x14ac:dyDescent="0.25">
      <c r="A8" s="3" t="s">
        <v>6</v>
      </c>
    </row>
    <row r="9" spans="1:3" ht="11.4" customHeight="1" x14ac:dyDescent="0.25">
      <c r="A9" s="3" t="s">
        <v>7</v>
      </c>
    </row>
    <row r="10" spans="1:3" ht="14.4" x14ac:dyDescent="0.3">
      <c r="A10" s="3" t="s">
        <v>8</v>
      </c>
      <c r="C10" t="s">
        <v>9</v>
      </c>
    </row>
    <row r="11" spans="1:3" ht="14.4" x14ac:dyDescent="0.3">
      <c r="A11" s="3" t="s">
        <v>10</v>
      </c>
      <c r="C11" t="s">
        <v>9</v>
      </c>
    </row>
    <row r="12" spans="1:3" ht="11.4" customHeight="1" x14ac:dyDescent="0.25">
      <c r="A12" s="3" t="s">
        <v>11</v>
      </c>
    </row>
    <row r="13" spans="1:3" ht="11.4" customHeight="1" x14ac:dyDescent="0.25">
      <c r="A13" s="3" t="s">
        <v>12</v>
      </c>
    </row>
    <row r="14" spans="1:3" ht="11.4" customHeight="1" x14ac:dyDescent="0.25">
      <c r="A14" s="4" t="s">
        <v>13</v>
      </c>
      <c r="B14" s="4"/>
    </row>
    <row r="16" spans="1:3" ht="11.4" customHeight="1" x14ac:dyDescent="0.25">
      <c r="A16" s="5"/>
    </row>
  </sheetData>
  <hyperlinks>
    <hyperlink ref="A6" location="'Table1_2021'!A1" display="Table1_2021" xr:uid="{00000000-0004-0000-0000-000000000000}"/>
    <hyperlink ref="A7" location="'Table1_2022'!A1" display="Table1_2022" xr:uid="{00000000-0004-0000-0000-000001000000}"/>
    <hyperlink ref="A8" location="'Table2_2021'!A1" display="Table2_2021" xr:uid="{00000000-0004-0000-0000-000002000000}"/>
    <hyperlink ref="A9" location="'Table2_2022'!A1" display="Table2_2022" xr:uid="{00000000-0004-0000-0000-000003000000}"/>
    <hyperlink ref="A10" location="'Table3_2021'!A1" display="Table3_2021" xr:uid="{00000000-0004-0000-0000-000004000000}"/>
    <hyperlink ref="A11" location="'Table3_2022'!A1" display="Table3_2022" xr:uid="{00000000-0004-0000-0000-000005000000}"/>
    <hyperlink ref="A12" location="'Table4'!A1" display="Table4" xr:uid="{00000000-0004-0000-0000-000006000000}"/>
    <hyperlink ref="A13" location="'Table5'!A1" display="Table5" xr:uid="{00000000-0004-0000-0000-000007000000}"/>
  </hyperlinks>
  <pageMargins left="0.7" right="0.7" top="0.75" bottom="0.75" header="0.3" footer="0.3"/>
  <pageSetup orientation="portrait" horizontalDpi="4294967293" verticalDpi="4294967293"/>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11"/>
  <sheetViews>
    <sheetView showGridLines="0" zoomScaleNormal="100" workbookViewId="0"/>
  </sheetViews>
  <sheetFormatPr defaultColWidth="9.109375" defaultRowHeight="11.4" customHeight="1" x14ac:dyDescent="0.25"/>
  <cols>
    <col min="1" max="1" width="2.44140625" style="100" customWidth="1"/>
    <col min="2" max="2" width="23" style="100" customWidth="1"/>
    <col min="3" max="3" width="41.44140625" style="100" customWidth="1"/>
    <col min="4" max="4" width="11.44140625" style="100" customWidth="1"/>
    <col min="5" max="5" width="16.6640625" style="100" customWidth="1"/>
    <col min="6" max="16" width="11.44140625" style="100" customWidth="1"/>
    <col min="17" max="17" width="20.44140625" style="100" customWidth="1"/>
    <col min="18" max="18" width="9.109375" style="100" customWidth="1"/>
    <col min="19" max="16384" width="9.109375" style="100"/>
  </cols>
  <sheetData>
    <row r="1" spans="2:17" ht="15.9" customHeight="1" x14ac:dyDescent="0.3">
      <c r="B1" s="99" t="s">
        <v>14</v>
      </c>
      <c r="C1" s="99"/>
    </row>
    <row r="2" spans="2:17" ht="15.9" customHeight="1" x14ac:dyDescent="0.3">
      <c r="B2" s="101" t="s">
        <v>15</v>
      </c>
      <c r="C2" s="102"/>
      <c r="D2" s="103"/>
      <c r="I2" s="101" t="s">
        <v>53</v>
      </c>
      <c r="J2" s="101" t="s">
        <v>17</v>
      </c>
    </row>
    <row r="3" spans="2:17" ht="15.9" customHeight="1" x14ac:dyDescent="0.25">
      <c r="B3" s="104" t="s">
        <v>18</v>
      </c>
      <c r="C3" s="105" t="s">
        <v>631</v>
      </c>
    </row>
    <row r="4" spans="2:17" ht="15.9" customHeight="1" x14ac:dyDescent="0.25">
      <c r="B4" s="106"/>
      <c r="C4" s="106">
        <v>0.84560000000000002</v>
      </c>
    </row>
    <row r="5" spans="2:17" ht="12" x14ac:dyDescent="0.25">
      <c r="B5" s="107" t="s">
        <v>19</v>
      </c>
      <c r="C5" s="108"/>
    </row>
    <row r="6" spans="2:17" ht="12" x14ac:dyDescent="0.25">
      <c r="B6" s="107"/>
      <c r="C6" s="108"/>
    </row>
    <row r="7" spans="2:17" s="138" customFormat="1" ht="64.650000000000006" customHeight="1" x14ac:dyDescent="0.25">
      <c r="B7" s="86" t="s">
        <v>20</v>
      </c>
      <c r="C7" s="86" t="s">
        <v>21</v>
      </c>
      <c r="D7" s="87" t="s">
        <v>22</v>
      </c>
      <c r="E7" s="88"/>
      <c r="F7" s="88"/>
      <c r="G7" s="89"/>
      <c r="H7" s="86" t="s">
        <v>23</v>
      </c>
      <c r="I7" s="86" t="s">
        <v>24</v>
      </c>
      <c r="J7" s="86" t="s">
        <v>25</v>
      </c>
      <c r="K7" s="86" t="s">
        <v>26</v>
      </c>
      <c r="L7" s="86" t="s">
        <v>27</v>
      </c>
      <c r="M7" s="86" t="s">
        <v>28</v>
      </c>
      <c r="N7" s="86" t="s">
        <v>29</v>
      </c>
      <c r="O7" s="86" t="s">
        <v>30</v>
      </c>
      <c r="P7" s="90" t="s">
        <v>31</v>
      </c>
      <c r="Q7" s="86" t="s">
        <v>32</v>
      </c>
    </row>
    <row r="8" spans="2:17" s="138" customFormat="1" ht="23.4" customHeight="1" x14ac:dyDescent="0.25">
      <c r="B8" s="91"/>
      <c r="C8" s="91"/>
      <c r="D8" s="92" t="s">
        <v>33</v>
      </c>
      <c r="E8" s="93"/>
      <c r="F8" s="92" t="s">
        <v>34</v>
      </c>
      <c r="G8" s="93"/>
      <c r="H8" s="91"/>
      <c r="I8" s="91"/>
      <c r="J8" s="91"/>
      <c r="K8" s="91"/>
      <c r="L8" s="91"/>
      <c r="M8" s="91"/>
      <c r="N8" s="91"/>
      <c r="O8" s="91"/>
      <c r="P8" s="94"/>
      <c r="Q8" s="91"/>
    </row>
    <row r="9" spans="2:17" s="138" customFormat="1" ht="23.1" customHeight="1" x14ac:dyDescent="0.25">
      <c r="B9" s="91"/>
      <c r="C9" s="91"/>
      <c r="D9" s="95" t="s">
        <v>35</v>
      </c>
      <c r="E9" s="96" t="s">
        <v>36</v>
      </c>
      <c r="F9" s="95" t="s">
        <v>35</v>
      </c>
      <c r="G9" s="96" t="s">
        <v>36</v>
      </c>
      <c r="H9" s="91"/>
      <c r="I9" s="91"/>
      <c r="J9" s="91"/>
      <c r="K9" s="91"/>
      <c r="L9" s="91"/>
      <c r="M9" s="91"/>
      <c r="N9" s="91"/>
      <c r="O9" s="91"/>
      <c r="P9" s="94"/>
      <c r="Q9" s="91"/>
    </row>
    <row r="10" spans="2:17" s="138" customFormat="1" ht="23.1" customHeight="1" x14ac:dyDescent="0.25">
      <c r="B10" s="137" t="s">
        <v>152</v>
      </c>
      <c r="C10" s="137" t="s">
        <v>230</v>
      </c>
      <c r="D10" s="97">
        <v>384660</v>
      </c>
      <c r="E10" s="98">
        <f>D10*(1/$C$4)</f>
        <v>454895.9318826868</v>
      </c>
      <c r="F10" s="97">
        <v>384660</v>
      </c>
      <c r="G10" s="98">
        <f>F10*(1/$C$4)</f>
        <v>454895.9318826868</v>
      </c>
      <c r="H10" s="137" t="s">
        <v>345</v>
      </c>
      <c r="I10" s="137" t="s">
        <v>288</v>
      </c>
      <c r="J10" s="137" t="s">
        <v>283</v>
      </c>
      <c r="K10" s="137" t="s">
        <v>289</v>
      </c>
      <c r="L10" s="137" t="s">
        <v>291</v>
      </c>
      <c r="M10" s="137" t="s">
        <v>295</v>
      </c>
      <c r="N10" s="137">
        <v>31193</v>
      </c>
      <c r="O10" s="137" t="s">
        <v>341</v>
      </c>
      <c r="P10" s="137" t="s">
        <v>346</v>
      </c>
      <c r="Q10" s="137" t="s">
        <v>160</v>
      </c>
    </row>
    <row r="11" spans="2:17" s="138" customFormat="1" ht="23.1" customHeight="1" x14ac:dyDescent="0.25">
      <c r="B11" s="137" t="s">
        <v>152</v>
      </c>
      <c r="C11" s="137" t="s">
        <v>231</v>
      </c>
      <c r="D11" s="97">
        <v>25491.179736470145</v>
      </c>
      <c r="E11" s="98">
        <f t="shared" ref="E11:E74" si="0">D11*(1/$C$4)</f>
        <v>30145.671400745203</v>
      </c>
      <c r="F11" s="97">
        <v>25491.179736470145</v>
      </c>
      <c r="G11" s="98">
        <f t="shared" ref="G11:G74" si="1">F11*(1/$C$4)</f>
        <v>30145.671400745203</v>
      </c>
      <c r="H11" s="137" t="s">
        <v>345</v>
      </c>
      <c r="I11" s="137" t="s">
        <v>288</v>
      </c>
      <c r="J11" s="137" t="s">
        <v>283</v>
      </c>
      <c r="K11" s="137" t="s">
        <v>289</v>
      </c>
      <c r="L11" s="137" t="s">
        <v>291</v>
      </c>
      <c r="M11" s="137" t="s">
        <v>296</v>
      </c>
      <c r="N11" s="137">
        <v>43050</v>
      </c>
      <c r="O11" s="137" t="s">
        <v>341</v>
      </c>
      <c r="P11" s="137" t="s">
        <v>346</v>
      </c>
      <c r="Q11" s="137" t="s">
        <v>160</v>
      </c>
    </row>
    <row r="12" spans="2:17" s="138" customFormat="1" ht="23.1" customHeight="1" x14ac:dyDescent="0.25">
      <c r="B12" s="137" t="s">
        <v>152</v>
      </c>
      <c r="C12" s="137" t="s">
        <v>232</v>
      </c>
      <c r="D12" s="97">
        <v>27895.155151681756</v>
      </c>
      <c r="E12" s="98">
        <f t="shared" si="0"/>
        <v>32988.594077201698</v>
      </c>
      <c r="F12" s="97">
        <v>27895.155151681756</v>
      </c>
      <c r="G12" s="98">
        <f t="shared" si="1"/>
        <v>32988.594077201698</v>
      </c>
      <c r="H12" s="137" t="s">
        <v>345</v>
      </c>
      <c r="I12" s="137" t="s">
        <v>288</v>
      </c>
      <c r="J12" s="137" t="s">
        <v>283</v>
      </c>
      <c r="K12" s="137" t="s">
        <v>289</v>
      </c>
      <c r="L12" s="137" t="s">
        <v>292</v>
      </c>
      <c r="M12" s="137" t="s">
        <v>295</v>
      </c>
      <c r="N12" s="137">
        <v>31194</v>
      </c>
      <c r="O12" s="137" t="s">
        <v>341</v>
      </c>
      <c r="P12" s="137" t="s">
        <v>346</v>
      </c>
      <c r="Q12" s="137" t="s">
        <v>160</v>
      </c>
    </row>
    <row r="13" spans="2:17" s="138" customFormat="1" ht="23.1" customHeight="1" x14ac:dyDescent="0.25">
      <c r="B13" s="137" t="s">
        <v>128</v>
      </c>
      <c r="C13" s="137" t="s">
        <v>179</v>
      </c>
      <c r="D13" s="97">
        <v>64219.584810903129</v>
      </c>
      <c r="E13" s="98">
        <f>D13*(1/$C$4)</f>
        <v>75945.582794350907</v>
      </c>
      <c r="F13" s="97">
        <v>64219.584810903129</v>
      </c>
      <c r="G13" s="98">
        <f t="shared" si="1"/>
        <v>75945.582794350907</v>
      </c>
      <c r="H13" s="137" t="s">
        <v>345</v>
      </c>
      <c r="I13" s="137" t="s">
        <v>286</v>
      </c>
      <c r="J13" s="137" t="s">
        <v>283</v>
      </c>
      <c r="K13" s="137" t="s">
        <v>289</v>
      </c>
      <c r="L13" s="137" t="s">
        <v>291</v>
      </c>
      <c r="M13" s="137" t="s">
        <v>303</v>
      </c>
      <c r="N13" s="137">
        <v>15150</v>
      </c>
      <c r="O13" s="137" t="s">
        <v>341</v>
      </c>
      <c r="P13" s="137" t="s">
        <v>346</v>
      </c>
      <c r="Q13" s="137" t="s">
        <v>160</v>
      </c>
    </row>
    <row r="14" spans="2:17" s="138" customFormat="1" ht="23.1" customHeight="1" x14ac:dyDescent="0.25">
      <c r="B14" s="137" t="s">
        <v>128</v>
      </c>
      <c r="C14" s="137" t="s">
        <v>201</v>
      </c>
      <c r="D14" s="97">
        <v>16179.352762436831</v>
      </c>
      <c r="E14" s="98">
        <f t="shared" si="0"/>
        <v>19133.577060592277</v>
      </c>
      <c r="F14" s="97">
        <v>16179.352762436831</v>
      </c>
      <c r="G14" s="98">
        <f t="shared" si="1"/>
        <v>19133.577060592277</v>
      </c>
      <c r="H14" s="137" t="s">
        <v>345</v>
      </c>
      <c r="I14" s="137" t="s">
        <v>286</v>
      </c>
      <c r="J14" s="137" t="s">
        <v>283</v>
      </c>
      <c r="K14" s="137" t="s">
        <v>289</v>
      </c>
      <c r="L14" s="137" t="s">
        <v>291</v>
      </c>
      <c r="M14" s="137" t="s">
        <v>307</v>
      </c>
      <c r="N14" s="137">
        <v>73010</v>
      </c>
      <c r="O14" s="137" t="s">
        <v>341</v>
      </c>
      <c r="P14" s="137" t="s">
        <v>346</v>
      </c>
      <c r="Q14" s="137" t="s">
        <v>160</v>
      </c>
    </row>
    <row r="15" spans="2:17" s="138" customFormat="1" ht="23.1" customHeight="1" x14ac:dyDescent="0.25">
      <c r="B15" s="137" t="s">
        <v>128</v>
      </c>
      <c r="C15" s="137" t="s">
        <v>202</v>
      </c>
      <c r="D15" s="97">
        <v>33354.364708223336</v>
      </c>
      <c r="E15" s="98">
        <f t="shared" si="0"/>
        <v>39444.612947283982</v>
      </c>
      <c r="F15" s="97">
        <v>33354.364708223336</v>
      </c>
      <c r="G15" s="98">
        <f t="shared" si="1"/>
        <v>39444.612947283982</v>
      </c>
      <c r="H15" s="137" t="s">
        <v>345</v>
      </c>
      <c r="I15" s="137" t="s">
        <v>286</v>
      </c>
      <c r="J15" s="137" t="s">
        <v>283</v>
      </c>
      <c r="K15" s="137" t="s">
        <v>289</v>
      </c>
      <c r="L15" s="137" t="s">
        <v>291</v>
      </c>
      <c r="M15" s="137" t="s">
        <v>307</v>
      </c>
      <c r="N15" s="137">
        <v>73010</v>
      </c>
      <c r="O15" s="137" t="s">
        <v>341</v>
      </c>
      <c r="P15" s="137" t="s">
        <v>346</v>
      </c>
      <c r="Q15" s="137" t="s">
        <v>160</v>
      </c>
    </row>
    <row r="16" spans="2:17" s="138" customFormat="1" ht="23.1" customHeight="1" x14ac:dyDescent="0.25">
      <c r="B16" s="137" t="s">
        <v>128</v>
      </c>
      <c r="C16" s="137" t="s">
        <v>203</v>
      </c>
      <c r="D16" s="97">
        <v>127692.43026353991</v>
      </c>
      <c r="E16" s="98">
        <f t="shared" si="0"/>
        <v>151008.07741667444</v>
      </c>
      <c r="F16" s="97">
        <v>127692.43026353991</v>
      </c>
      <c r="G16" s="98">
        <f t="shared" si="1"/>
        <v>151008.07741667444</v>
      </c>
      <c r="H16" s="137" t="s">
        <v>345</v>
      </c>
      <c r="I16" s="137" t="s">
        <v>286</v>
      </c>
      <c r="J16" s="137" t="s">
        <v>283</v>
      </c>
      <c r="K16" s="137" t="s">
        <v>289</v>
      </c>
      <c r="L16" s="137" t="s">
        <v>291</v>
      </c>
      <c r="M16" s="137" t="s">
        <v>308</v>
      </c>
      <c r="N16" s="137">
        <v>74020</v>
      </c>
      <c r="O16" s="137" t="s">
        <v>341</v>
      </c>
      <c r="P16" s="137" t="s">
        <v>341</v>
      </c>
      <c r="Q16" s="137" t="s">
        <v>160</v>
      </c>
    </row>
    <row r="17" spans="2:17" s="138" customFormat="1" ht="23.1" customHeight="1" x14ac:dyDescent="0.25">
      <c r="B17" s="137" t="s">
        <v>128</v>
      </c>
      <c r="C17" s="137" t="s">
        <v>226</v>
      </c>
      <c r="D17" s="97">
        <v>59795.892453332912</v>
      </c>
      <c r="E17" s="98">
        <f t="shared" si="0"/>
        <v>70714.158530431538</v>
      </c>
      <c r="F17" s="97">
        <v>59795.892453332912</v>
      </c>
      <c r="G17" s="98">
        <f t="shared" si="1"/>
        <v>70714.158530431538</v>
      </c>
      <c r="H17" s="137" t="s">
        <v>345</v>
      </c>
      <c r="I17" s="137" t="s">
        <v>286</v>
      </c>
      <c r="J17" s="137" t="s">
        <v>283</v>
      </c>
      <c r="K17" s="137" t="s">
        <v>289</v>
      </c>
      <c r="L17" s="137" t="s">
        <v>293</v>
      </c>
      <c r="M17" s="137" t="s">
        <v>296</v>
      </c>
      <c r="N17" s="137">
        <v>43040</v>
      </c>
      <c r="O17" s="137" t="s">
        <v>341</v>
      </c>
      <c r="P17" s="137" t="s">
        <v>341</v>
      </c>
      <c r="Q17" s="137" t="s">
        <v>160</v>
      </c>
    </row>
    <row r="18" spans="2:17" s="138" customFormat="1" ht="23.1" customHeight="1" x14ac:dyDescent="0.25">
      <c r="B18" s="137" t="s">
        <v>128</v>
      </c>
      <c r="C18" s="137" t="s">
        <v>227</v>
      </c>
      <c r="D18" s="97">
        <v>43726.397469501833</v>
      </c>
      <c r="E18" s="98">
        <f t="shared" si="0"/>
        <v>51710.498426563187</v>
      </c>
      <c r="F18" s="97">
        <v>43726.397469501833</v>
      </c>
      <c r="G18" s="98">
        <f t="shared" si="1"/>
        <v>51710.498426563187</v>
      </c>
      <c r="H18" s="137" t="s">
        <v>345</v>
      </c>
      <c r="I18" s="137" t="s">
        <v>286</v>
      </c>
      <c r="J18" s="137" t="s">
        <v>283</v>
      </c>
      <c r="K18" s="137" t="s">
        <v>289</v>
      </c>
      <c r="L18" s="137" t="s">
        <v>293</v>
      </c>
      <c r="M18" s="137" t="s">
        <v>296</v>
      </c>
      <c r="N18" s="137">
        <v>43081</v>
      </c>
      <c r="O18" s="137" t="s">
        <v>341</v>
      </c>
      <c r="P18" s="137" t="s">
        <v>346</v>
      </c>
      <c r="Q18" s="137" t="s">
        <v>160</v>
      </c>
    </row>
    <row r="19" spans="2:17" s="138" customFormat="1" ht="23.1" customHeight="1" x14ac:dyDescent="0.25">
      <c r="B19" s="137" t="s">
        <v>138</v>
      </c>
      <c r="C19" s="137" t="s">
        <v>190</v>
      </c>
      <c r="D19" s="97">
        <v>2734.8191325178191</v>
      </c>
      <c r="E19" s="98">
        <f t="shared" si="0"/>
        <v>3234.1758899217348</v>
      </c>
      <c r="F19" s="97">
        <v>2734.8191325178191</v>
      </c>
      <c r="G19" s="98">
        <f t="shared" si="1"/>
        <v>3234.1758899217348</v>
      </c>
      <c r="H19" s="137" t="s">
        <v>345</v>
      </c>
      <c r="I19" s="137" t="s">
        <v>286</v>
      </c>
      <c r="J19" s="137" t="s">
        <v>283</v>
      </c>
      <c r="K19" s="137" t="s">
        <v>289</v>
      </c>
      <c r="L19" s="137" t="s">
        <v>291</v>
      </c>
      <c r="M19" s="137" t="s">
        <v>295</v>
      </c>
      <c r="N19" s="137">
        <v>31193</v>
      </c>
      <c r="O19" s="137" t="s">
        <v>341</v>
      </c>
      <c r="P19" s="137" t="s">
        <v>346</v>
      </c>
      <c r="Q19" s="137" t="s">
        <v>160</v>
      </c>
    </row>
    <row r="20" spans="2:17" s="138" customFormat="1" ht="23.1" customHeight="1" x14ac:dyDescent="0.25">
      <c r="B20" s="137" t="s">
        <v>138</v>
      </c>
      <c r="C20" s="137" t="s">
        <v>221</v>
      </c>
      <c r="D20" s="97">
        <v>54377.398418585901</v>
      </c>
      <c r="E20" s="98">
        <f t="shared" si="0"/>
        <v>64306.289520560429</v>
      </c>
      <c r="F20" s="97">
        <v>54377.398418585901</v>
      </c>
      <c r="G20" s="98">
        <f t="shared" si="1"/>
        <v>64306.289520560429</v>
      </c>
      <c r="H20" s="137" t="s">
        <v>345</v>
      </c>
      <c r="I20" s="137" t="s">
        <v>286</v>
      </c>
      <c r="J20" s="137" t="s">
        <v>283</v>
      </c>
      <c r="K20" s="137" t="s">
        <v>289</v>
      </c>
      <c r="L20" s="137" t="s">
        <v>292</v>
      </c>
      <c r="M20" s="137" t="s">
        <v>295</v>
      </c>
      <c r="N20" s="137">
        <v>31194</v>
      </c>
      <c r="O20" s="137" t="s">
        <v>341</v>
      </c>
      <c r="P20" s="137" t="s">
        <v>346</v>
      </c>
      <c r="Q20" s="137" t="s">
        <v>160</v>
      </c>
    </row>
    <row r="21" spans="2:17" s="138" customFormat="1" ht="23.1" customHeight="1" x14ac:dyDescent="0.25">
      <c r="B21" s="137" t="s">
        <v>130</v>
      </c>
      <c r="C21" s="137" t="s">
        <v>186</v>
      </c>
      <c r="D21" s="97">
        <v>119680.17</v>
      </c>
      <c r="E21" s="98">
        <f t="shared" si="0"/>
        <v>141532.84058656573</v>
      </c>
      <c r="F21" s="97">
        <v>119680.17</v>
      </c>
      <c r="G21" s="98">
        <f t="shared" si="1"/>
        <v>141532.84058656573</v>
      </c>
      <c r="H21" s="137" t="s">
        <v>345</v>
      </c>
      <c r="I21" s="137" t="s">
        <v>286</v>
      </c>
      <c r="J21" s="137" t="s">
        <v>283</v>
      </c>
      <c r="K21" s="137" t="s">
        <v>289</v>
      </c>
      <c r="L21" s="137" t="s">
        <v>291</v>
      </c>
      <c r="M21" s="137" t="s">
        <v>295</v>
      </c>
      <c r="N21" s="137">
        <v>31161</v>
      </c>
      <c r="O21" s="137" t="s">
        <v>340</v>
      </c>
      <c r="P21" s="137" t="s">
        <v>340</v>
      </c>
      <c r="Q21" s="137" t="s">
        <v>160</v>
      </c>
    </row>
    <row r="22" spans="2:17" s="138" customFormat="1" ht="23.1" customHeight="1" x14ac:dyDescent="0.25">
      <c r="B22" s="137" t="s">
        <v>130</v>
      </c>
      <c r="C22" s="137" t="s">
        <v>198</v>
      </c>
      <c r="D22" s="97">
        <v>83222.297708179103</v>
      </c>
      <c r="E22" s="98">
        <f t="shared" si="0"/>
        <v>98418.043647326267</v>
      </c>
      <c r="F22" s="97">
        <v>83222.297708179103</v>
      </c>
      <c r="G22" s="98">
        <f t="shared" si="1"/>
        <v>98418.043647326267</v>
      </c>
      <c r="H22" s="137" t="s">
        <v>345</v>
      </c>
      <c r="I22" s="137" t="s">
        <v>286</v>
      </c>
      <c r="J22" s="137" t="s">
        <v>283</v>
      </c>
      <c r="K22" s="137" t="s">
        <v>289</v>
      </c>
      <c r="L22" s="137" t="s">
        <v>291</v>
      </c>
      <c r="M22" s="137" t="s">
        <v>296</v>
      </c>
      <c r="N22" s="137">
        <v>43040</v>
      </c>
      <c r="O22" s="137" t="s">
        <v>341</v>
      </c>
      <c r="P22" s="137" t="s">
        <v>346</v>
      </c>
      <c r="Q22" s="137" t="s">
        <v>160</v>
      </c>
    </row>
    <row r="23" spans="2:17" s="138" customFormat="1" ht="24" x14ac:dyDescent="0.25">
      <c r="B23" s="137" t="s">
        <v>122</v>
      </c>
      <c r="C23" s="135" t="s">
        <v>598</v>
      </c>
      <c r="D23" s="97">
        <v>913146.03480318026</v>
      </c>
      <c r="E23" s="98">
        <f t="shared" si="0"/>
        <v>1079879.4167492669</v>
      </c>
      <c r="F23" s="97">
        <v>913146.03480318026</v>
      </c>
      <c r="G23" s="98">
        <f t="shared" si="1"/>
        <v>1079879.4167492669</v>
      </c>
      <c r="H23" s="137" t="s">
        <v>345</v>
      </c>
      <c r="I23" s="137" t="s">
        <v>285</v>
      </c>
      <c r="J23" s="137" t="s">
        <v>283</v>
      </c>
      <c r="K23" s="137" t="s">
        <v>289</v>
      </c>
      <c r="L23" s="137" t="s">
        <v>292</v>
      </c>
      <c r="M23" s="137" t="s">
        <v>295</v>
      </c>
      <c r="N23" s="137">
        <v>31130</v>
      </c>
      <c r="O23" s="137" t="s">
        <v>341</v>
      </c>
      <c r="P23" s="137" t="s">
        <v>346</v>
      </c>
      <c r="Q23" s="137" t="s">
        <v>160</v>
      </c>
    </row>
    <row r="24" spans="2:17" s="138" customFormat="1" ht="36" x14ac:dyDescent="0.25">
      <c r="B24" s="137" t="s">
        <v>122</v>
      </c>
      <c r="C24" s="135" t="s">
        <v>599</v>
      </c>
      <c r="D24" s="97">
        <v>4793936.0544479676</v>
      </c>
      <c r="E24" s="98">
        <f t="shared" si="0"/>
        <v>5669271.5875685513</v>
      </c>
      <c r="F24" s="97">
        <v>4793936.0544479676</v>
      </c>
      <c r="G24" s="98">
        <f t="shared" si="1"/>
        <v>5669271.5875685513</v>
      </c>
      <c r="H24" s="137" t="s">
        <v>345</v>
      </c>
      <c r="I24" s="137" t="s">
        <v>285</v>
      </c>
      <c r="J24" s="137" t="s">
        <v>283</v>
      </c>
      <c r="K24" s="137" t="s">
        <v>289</v>
      </c>
      <c r="L24" s="137" t="s">
        <v>292</v>
      </c>
      <c r="M24" s="137" t="s">
        <v>298</v>
      </c>
      <c r="N24" s="137">
        <v>31220</v>
      </c>
      <c r="O24" s="137" t="s">
        <v>341</v>
      </c>
      <c r="P24" s="137" t="s">
        <v>346</v>
      </c>
      <c r="Q24" s="137" t="s">
        <v>160</v>
      </c>
    </row>
    <row r="25" spans="2:17" s="138" customFormat="1" ht="23.1" customHeight="1" x14ac:dyDescent="0.25">
      <c r="B25" s="137" t="s">
        <v>122</v>
      </c>
      <c r="C25" s="137" t="s">
        <v>174</v>
      </c>
      <c r="D25" s="97">
        <v>163534.35193182837</v>
      </c>
      <c r="E25" s="98">
        <f t="shared" si="0"/>
        <v>193394.45592694933</v>
      </c>
      <c r="F25" s="97">
        <v>163534.35193182837</v>
      </c>
      <c r="G25" s="98">
        <f t="shared" si="1"/>
        <v>193394.45592694933</v>
      </c>
      <c r="H25" s="137" t="s">
        <v>345</v>
      </c>
      <c r="I25" s="137" t="s">
        <v>286</v>
      </c>
      <c r="J25" s="137" t="s">
        <v>283</v>
      </c>
      <c r="K25" s="137" t="s">
        <v>289</v>
      </c>
      <c r="L25" s="137" t="s">
        <v>291</v>
      </c>
      <c r="M25" s="137" t="s">
        <v>294</v>
      </c>
      <c r="N25" s="137">
        <v>14010</v>
      </c>
      <c r="O25" s="137" t="s">
        <v>341</v>
      </c>
      <c r="P25" s="137" t="s">
        <v>346</v>
      </c>
      <c r="Q25" s="137" t="s">
        <v>160</v>
      </c>
    </row>
    <row r="26" spans="2:17" s="138" customFormat="1" ht="23.1" customHeight="1" x14ac:dyDescent="0.25">
      <c r="B26" s="137" t="s">
        <v>122</v>
      </c>
      <c r="C26" s="137" t="s">
        <v>175</v>
      </c>
      <c r="D26" s="97">
        <v>108411.17713717431</v>
      </c>
      <c r="E26" s="98">
        <f t="shared" si="0"/>
        <v>128206.21704963848</v>
      </c>
      <c r="F26" s="97">
        <v>108411.17713717431</v>
      </c>
      <c r="G26" s="98">
        <f t="shared" si="1"/>
        <v>128206.21704963848</v>
      </c>
      <c r="H26" s="137" t="s">
        <v>345</v>
      </c>
      <c r="I26" s="137" t="s">
        <v>286</v>
      </c>
      <c r="J26" s="137" t="s">
        <v>283</v>
      </c>
      <c r="K26" s="137" t="s">
        <v>289</v>
      </c>
      <c r="L26" s="137" t="s">
        <v>291</v>
      </c>
      <c r="M26" s="137" t="s">
        <v>294</v>
      </c>
      <c r="N26" s="137">
        <v>14031</v>
      </c>
      <c r="O26" s="137" t="s">
        <v>341</v>
      </c>
      <c r="P26" s="137" t="s">
        <v>341</v>
      </c>
      <c r="Q26" s="137" t="s">
        <v>160</v>
      </c>
    </row>
    <row r="27" spans="2:17" s="138" customFormat="1" ht="23.1" customHeight="1" x14ac:dyDescent="0.25">
      <c r="B27" s="137" t="s">
        <v>122</v>
      </c>
      <c r="C27" s="137" t="s">
        <v>176</v>
      </c>
      <c r="D27" s="97">
        <v>199958.29753547991</v>
      </c>
      <c r="E27" s="98">
        <f t="shared" si="0"/>
        <v>236469.13142795637</v>
      </c>
      <c r="F27" s="97">
        <v>199958.29753547991</v>
      </c>
      <c r="G27" s="98">
        <f t="shared" si="1"/>
        <v>236469.13142795637</v>
      </c>
      <c r="H27" s="137" t="s">
        <v>345</v>
      </c>
      <c r="I27" s="137" t="s">
        <v>286</v>
      </c>
      <c r="J27" s="137" t="s">
        <v>283</v>
      </c>
      <c r="K27" s="137" t="s">
        <v>289</v>
      </c>
      <c r="L27" s="137" t="s">
        <v>291</v>
      </c>
      <c r="M27" s="137" t="s">
        <v>294</v>
      </c>
      <c r="N27" s="137">
        <v>14031</v>
      </c>
      <c r="O27" s="137" t="s">
        <v>341</v>
      </c>
      <c r="P27" s="137" t="s">
        <v>341</v>
      </c>
      <c r="Q27" s="137" t="s">
        <v>160</v>
      </c>
    </row>
    <row r="28" spans="2:17" s="138" customFormat="1" ht="23.1" customHeight="1" x14ac:dyDescent="0.25">
      <c r="B28" s="137" t="s">
        <v>122</v>
      </c>
      <c r="C28" s="137" t="s">
        <v>185</v>
      </c>
      <c r="D28" s="97">
        <v>168414.70536018282</v>
      </c>
      <c r="E28" s="98">
        <f t="shared" si="0"/>
        <v>199165.92403049054</v>
      </c>
      <c r="F28" s="97">
        <v>168414.70536018282</v>
      </c>
      <c r="G28" s="98">
        <f t="shared" si="1"/>
        <v>199165.92403049054</v>
      </c>
      <c r="H28" s="137" t="s">
        <v>345</v>
      </c>
      <c r="I28" s="137" t="s">
        <v>286</v>
      </c>
      <c r="J28" s="137" t="s">
        <v>283</v>
      </c>
      <c r="K28" s="137" t="s">
        <v>289</v>
      </c>
      <c r="L28" s="137" t="s">
        <v>291</v>
      </c>
      <c r="M28" s="137" t="s">
        <v>295</v>
      </c>
      <c r="N28" s="137">
        <v>31161</v>
      </c>
      <c r="O28" s="137" t="s">
        <v>341</v>
      </c>
      <c r="P28" s="137" t="s">
        <v>341</v>
      </c>
      <c r="Q28" s="137" t="s">
        <v>160</v>
      </c>
    </row>
    <row r="29" spans="2:17" s="138" customFormat="1" ht="23.1" customHeight="1" x14ac:dyDescent="0.25">
      <c r="B29" s="137" t="s">
        <v>122</v>
      </c>
      <c r="C29" s="137" t="s">
        <v>187</v>
      </c>
      <c r="D29" s="97">
        <v>142561.58564465848</v>
      </c>
      <c r="E29" s="98">
        <f t="shared" si="0"/>
        <v>168592.22521837568</v>
      </c>
      <c r="F29" s="97">
        <v>142561.58564465848</v>
      </c>
      <c r="G29" s="98">
        <f t="shared" si="1"/>
        <v>168592.22521837568</v>
      </c>
      <c r="H29" s="137" t="s">
        <v>345</v>
      </c>
      <c r="I29" s="137" t="s">
        <v>286</v>
      </c>
      <c r="J29" s="137" t="s">
        <v>283</v>
      </c>
      <c r="K29" s="137" t="s">
        <v>289</v>
      </c>
      <c r="L29" s="137" t="s">
        <v>291</v>
      </c>
      <c r="M29" s="137" t="s">
        <v>295</v>
      </c>
      <c r="N29" s="137">
        <v>31163</v>
      </c>
      <c r="O29" s="137" t="s">
        <v>341</v>
      </c>
      <c r="P29" s="137" t="s">
        <v>341</v>
      </c>
      <c r="Q29" s="137" t="s">
        <v>160</v>
      </c>
    </row>
    <row r="30" spans="2:17" s="138" customFormat="1" ht="23.1" customHeight="1" x14ac:dyDescent="0.25">
      <c r="B30" s="137" t="s">
        <v>122</v>
      </c>
      <c r="C30" s="137" t="s">
        <v>190</v>
      </c>
      <c r="D30" s="97">
        <v>34968.21787411259</v>
      </c>
      <c r="E30" s="98">
        <f t="shared" si="0"/>
        <v>41353.143181306274</v>
      </c>
      <c r="F30" s="97">
        <v>34968.21787411259</v>
      </c>
      <c r="G30" s="98">
        <f t="shared" si="1"/>
        <v>41353.143181306274</v>
      </c>
      <c r="H30" s="137" t="s">
        <v>345</v>
      </c>
      <c r="I30" s="137" t="s">
        <v>286</v>
      </c>
      <c r="J30" s="137" t="s">
        <v>283</v>
      </c>
      <c r="K30" s="137" t="s">
        <v>289</v>
      </c>
      <c r="L30" s="137" t="s">
        <v>291</v>
      </c>
      <c r="M30" s="137" t="s">
        <v>295</v>
      </c>
      <c r="N30" s="137">
        <v>31193</v>
      </c>
      <c r="O30" s="137" t="s">
        <v>341</v>
      </c>
      <c r="P30" s="137" t="s">
        <v>346</v>
      </c>
      <c r="Q30" s="137" t="s">
        <v>160</v>
      </c>
    </row>
    <row r="31" spans="2:17" s="138" customFormat="1" ht="23.1" customHeight="1" x14ac:dyDescent="0.25">
      <c r="B31" s="137" t="s">
        <v>122</v>
      </c>
      <c r="C31" s="137" t="s">
        <v>191</v>
      </c>
      <c r="D31" s="97">
        <v>36074.974414096505</v>
      </c>
      <c r="E31" s="98">
        <f t="shared" si="0"/>
        <v>42661.984879489712</v>
      </c>
      <c r="F31" s="97">
        <v>36074.974414096505</v>
      </c>
      <c r="G31" s="98">
        <f t="shared" si="1"/>
        <v>42661.984879489712</v>
      </c>
      <c r="H31" s="137" t="s">
        <v>345</v>
      </c>
      <c r="I31" s="137" t="s">
        <v>286</v>
      </c>
      <c r="J31" s="137" t="s">
        <v>283</v>
      </c>
      <c r="K31" s="137" t="s">
        <v>289</v>
      </c>
      <c r="L31" s="137" t="s">
        <v>291</v>
      </c>
      <c r="M31" s="137" t="s">
        <v>295</v>
      </c>
      <c r="N31" s="137">
        <v>31194</v>
      </c>
      <c r="O31" s="137" t="s">
        <v>341</v>
      </c>
      <c r="P31" s="137" t="s">
        <v>346</v>
      </c>
      <c r="Q31" s="137" t="s">
        <v>160</v>
      </c>
    </row>
    <row r="32" spans="2:17" s="138" customFormat="1" ht="23.1" customHeight="1" x14ac:dyDescent="0.25">
      <c r="B32" s="137" t="s">
        <v>122</v>
      </c>
      <c r="C32" s="137" t="s">
        <v>206</v>
      </c>
      <c r="D32" s="97">
        <v>161564.75956781046</v>
      </c>
      <c r="E32" s="98">
        <f t="shared" si="0"/>
        <v>191065.23127697545</v>
      </c>
      <c r="F32" s="97">
        <v>161564.75956781046</v>
      </c>
      <c r="G32" s="98">
        <f t="shared" si="1"/>
        <v>191065.23127697545</v>
      </c>
      <c r="H32" s="137" t="s">
        <v>345</v>
      </c>
      <c r="I32" s="137" t="s">
        <v>286</v>
      </c>
      <c r="J32" s="137" t="s">
        <v>283</v>
      </c>
      <c r="K32" s="137" t="s">
        <v>289</v>
      </c>
      <c r="L32" s="137" t="s">
        <v>292</v>
      </c>
      <c r="M32" s="137" t="s">
        <v>304</v>
      </c>
      <c r="N32" s="137">
        <v>16040</v>
      </c>
      <c r="O32" s="137" t="s">
        <v>341</v>
      </c>
      <c r="P32" s="137" t="s">
        <v>341</v>
      </c>
      <c r="Q32" s="137" t="s">
        <v>160</v>
      </c>
    </row>
    <row r="33" spans="2:17" s="138" customFormat="1" ht="23.1" customHeight="1" x14ac:dyDescent="0.25">
      <c r="B33" s="137" t="s">
        <v>122</v>
      </c>
      <c r="C33" s="137" t="s">
        <v>211</v>
      </c>
      <c r="D33" s="97">
        <v>42929.808711538964</v>
      </c>
      <c r="E33" s="98">
        <f t="shared" si="0"/>
        <v>50768.458741176633</v>
      </c>
      <c r="F33" s="97">
        <v>42929.808711538964</v>
      </c>
      <c r="G33" s="98">
        <f t="shared" si="1"/>
        <v>50768.458741176633</v>
      </c>
      <c r="H33" s="137" t="s">
        <v>345</v>
      </c>
      <c r="I33" s="137" t="s">
        <v>286</v>
      </c>
      <c r="J33" s="137" t="s">
        <v>283</v>
      </c>
      <c r="K33" s="137" t="s">
        <v>289</v>
      </c>
      <c r="L33" s="137" t="s">
        <v>292</v>
      </c>
      <c r="M33" s="137" t="s">
        <v>295</v>
      </c>
      <c r="N33" s="137">
        <v>31161</v>
      </c>
      <c r="O33" s="137" t="s">
        <v>341</v>
      </c>
      <c r="P33" s="137" t="s">
        <v>341</v>
      </c>
      <c r="Q33" s="137" t="s">
        <v>160</v>
      </c>
    </row>
    <row r="34" spans="2:17" s="138" customFormat="1" ht="23.1" customHeight="1" x14ac:dyDescent="0.25">
      <c r="B34" s="137" t="s">
        <v>122</v>
      </c>
      <c r="C34" s="137" t="s">
        <v>223</v>
      </c>
      <c r="D34" s="97">
        <v>1732.5544114907013</v>
      </c>
      <c r="E34" s="98">
        <f t="shared" si="0"/>
        <v>2048.9054062094388</v>
      </c>
      <c r="F34" s="97">
        <v>1732.5544114907013</v>
      </c>
      <c r="G34" s="98">
        <f t="shared" si="1"/>
        <v>2048.9054062094388</v>
      </c>
      <c r="H34" s="137" t="s">
        <v>345</v>
      </c>
      <c r="I34" s="137" t="s">
        <v>286</v>
      </c>
      <c r="J34" s="137" t="s">
        <v>283</v>
      </c>
      <c r="K34" s="137" t="s">
        <v>289</v>
      </c>
      <c r="L34" s="137" t="s">
        <v>292</v>
      </c>
      <c r="M34" s="137" t="s">
        <v>296</v>
      </c>
      <c r="N34" s="137">
        <v>43072</v>
      </c>
      <c r="O34" s="137" t="s">
        <v>341</v>
      </c>
      <c r="P34" s="137" t="s">
        <v>346</v>
      </c>
      <c r="Q34" s="137" t="s">
        <v>160</v>
      </c>
    </row>
    <row r="35" spans="2:17" s="138" customFormat="1" ht="23.1" customHeight="1" x14ac:dyDescent="0.25">
      <c r="B35" s="137" t="s">
        <v>122</v>
      </c>
      <c r="C35" s="137" t="s">
        <v>225</v>
      </c>
      <c r="D35" s="97">
        <v>195598.8769987846</v>
      </c>
      <c r="E35" s="98">
        <f t="shared" si="0"/>
        <v>231313.71452079539</v>
      </c>
      <c r="F35" s="97">
        <v>195598.8769987846</v>
      </c>
      <c r="G35" s="98">
        <f t="shared" si="1"/>
        <v>231313.71452079539</v>
      </c>
      <c r="H35" s="137" t="s">
        <v>345</v>
      </c>
      <c r="I35" s="137" t="s">
        <v>286</v>
      </c>
      <c r="J35" s="137" t="s">
        <v>283</v>
      </c>
      <c r="K35" s="137" t="s">
        <v>289</v>
      </c>
      <c r="L35" s="137" t="s">
        <v>293</v>
      </c>
      <c r="M35" s="137" t="s">
        <v>295</v>
      </c>
      <c r="N35" s="137">
        <v>31130</v>
      </c>
      <c r="O35" s="137" t="s">
        <v>341</v>
      </c>
      <c r="P35" s="137" t="s">
        <v>341</v>
      </c>
      <c r="Q35" s="137" t="s">
        <v>160</v>
      </c>
    </row>
    <row r="36" spans="2:17" s="138" customFormat="1" ht="23.1" customHeight="1" x14ac:dyDescent="0.25">
      <c r="B36" s="137" t="s">
        <v>129</v>
      </c>
      <c r="C36" s="137" t="s">
        <v>180</v>
      </c>
      <c r="D36" s="97">
        <v>318470.33085244655</v>
      </c>
      <c r="E36" s="98">
        <f t="shared" si="0"/>
        <v>376620.54263534356</v>
      </c>
      <c r="F36" s="97">
        <v>318470.33085244655</v>
      </c>
      <c r="G36" s="98">
        <f t="shared" si="1"/>
        <v>376620.54263534356</v>
      </c>
      <c r="H36" s="137" t="s">
        <v>345</v>
      </c>
      <c r="I36" s="137" t="s">
        <v>286</v>
      </c>
      <c r="J36" s="137" t="s">
        <v>283</v>
      </c>
      <c r="K36" s="137" t="s">
        <v>289</v>
      </c>
      <c r="L36" s="137" t="s">
        <v>291</v>
      </c>
      <c r="M36" s="137" t="s">
        <v>304</v>
      </c>
      <c r="N36" s="137">
        <v>16040</v>
      </c>
      <c r="O36" s="137" t="s">
        <v>341</v>
      </c>
      <c r="P36" s="137" t="s">
        <v>341</v>
      </c>
      <c r="Q36" s="137" t="s">
        <v>160</v>
      </c>
    </row>
    <row r="37" spans="2:17" s="138" customFormat="1" ht="23.1" customHeight="1" x14ac:dyDescent="0.25">
      <c r="B37" s="137" t="s">
        <v>129</v>
      </c>
      <c r="C37" s="137" t="s">
        <v>193</v>
      </c>
      <c r="D37" s="97">
        <v>21207.166725407627</v>
      </c>
      <c r="E37" s="98">
        <f t="shared" si="0"/>
        <v>25079.430848400694</v>
      </c>
      <c r="F37" s="97">
        <v>21207.166725407627</v>
      </c>
      <c r="G37" s="98">
        <f t="shared" si="1"/>
        <v>25079.430848400694</v>
      </c>
      <c r="H37" s="137" t="s">
        <v>345</v>
      </c>
      <c r="I37" s="137" t="s">
        <v>286</v>
      </c>
      <c r="J37" s="137" t="s">
        <v>283</v>
      </c>
      <c r="K37" s="137" t="s">
        <v>289</v>
      </c>
      <c r="L37" s="137" t="s">
        <v>291</v>
      </c>
      <c r="M37" s="137" t="s">
        <v>306</v>
      </c>
      <c r="N37" s="137">
        <v>41040</v>
      </c>
      <c r="O37" s="137" t="s">
        <v>341</v>
      </c>
      <c r="P37" s="137" t="s">
        <v>341</v>
      </c>
      <c r="Q37" s="137" t="s">
        <v>160</v>
      </c>
    </row>
    <row r="38" spans="2:17" s="138" customFormat="1" ht="23.1" customHeight="1" x14ac:dyDescent="0.25">
      <c r="B38" s="137" t="s">
        <v>117</v>
      </c>
      <c r="C38" s="137" t="s">
        <v>583</v>
      </c>
      <c r="D38" s="97">
        <v>3951773.3197889552</v>
      </c>
      <c r="E38" s="98">
        <f t="shared" si="0"/>
        <v>4673336.4708951693</v>
      </c>
      <c r="F38" s="97">
        <v>3951773.3197889552</v>
      </c>
      <c r="G38" s="98">
        <f t="shared" si="1"/>
        <v>4673336.4708951693</v>
      </c>
      <c r="H38" s="137" t="s">
        <v>345</v>
      </c>
      <c r="I38" s="137" t="s">
        <v>285</v>
      </c>
      <c r="J38" s="137" t="s">
        <v>283</v>
      </c>
      <c r="K38" s="137" t="s">
        <v>289</v>
      </c>
      <c r="L38" s="137" t="s">
        <v>291</v>
      </c>
      <c r="M38" s="137" t="s">
        <v>294</v>
      </c>
      <c r="N38" s="137">
        <v>14010</v>
      </c>
      <c r="O38" s="137" t="s">
        <v>341</v>
      </c>
      <c r="P38" s="137" t="s">
        <v>341</v>
      </c>
      <c r="Q38" s="137" t="s">
        <v>160</v>
      </c>
    </row>
    <row r="39" spans="2:17" s="138" customFormat="1" ht="23.1" customHeight="1" x14ac:dyDescent="0.25">
      <c r="B39" s="137" t="s">
        <v>117</v>
      </c>
      <c r="C39" s="137" t="s">
        <v>585</v>
      </c>
      <c r="D39" s="97">
        <v>195694.18158617092</v>
      </c>
      <c r="E39" s="98">
        <f t="shared" si="0"/>
        <v>231426.42098648404</v>
      </c>
      <c r="F39" s="97">
        <v>195694.18158617092</v>
      </c>
      <c r="G39" s="98">
        <f t="shared" si="1"/>
        <v>231426.42098648404</v>
      </c>
      <c r="H39" s="137" t="s">
        <v>345</v>
      </c>
      <c r="I39" s="137" t="s">
        <v>285</v>
      </c>
      <c r="J39" s="137" t="s">
        <v>283</v>
      </c>
      <c r="K39" s="137" t="s">
        <v>289</v>
      </c>
      <c r="L39" s="137" t="s">
        <v>292</v>
      </c>
      <c r="M39" s="137" t="s">
        <v>294</v>
      </c>
      <c r="N39" s="137">
        <v>14021</v>
      </c>
      <c r="O39" s="137" t="s">
        <v>341</v>
      </c>
      <c r="P39" s="137" t="s">
        <v>341</v>
      </c>
      <c r="Q39" s="137" t="s">
        <v>160</v>
      </c>
    </row>
    <row r="40" spans="2:17" s="138" customFormat="1" ht="23.1" customHeight="1" x14ac:dyDescent="0.25">
      <c r="B40" s="137" t="s">
        <v>117</v>
      </c>
      <c r="C40" s="137" t="s">
        <v>586</v>
      </c>
      <c r="D40" s="97">
        <v>1850636.0669259243</v>
      </c>
      <c r="E40" s="98">
        <f t="shared" si="0"/>
        <v>2188547.8558726632</v>
      </c>
      <c r="F40" s="97">
        <v>1850636.0669259243</v>
      </c>
      <c r="G40" s="98">
        <f t="shared" si="1"/>
        <v>2188547.8558726632</v>
      </c>
      <c r="H40" s="137" t="s">
        <v>345</v>
      </c>
      <c r="I40" s="137" t="s">
        <v>285</v>
      </c>
      <c r="J40" s="137" t="s">
        <v>283</v>
      </c>
      <c r="K40" s="137" t="s">
        <v>289</v>
      </c>
      <c r="L40" s="137" t="s">
        <v>293</v>
      </c>
      <c r="M40" s="137" t="s">
        <v>299</v>
      </c>
      <c r="N40" s="137">
        <v>23210</v>
      </c>
      <c r="O40" s="137" t="s">
        <v>341</v>
      </c>
      <c r="P40" s="137" t="s">
        <v>341</v>
      </c>
      <c r="Q40" s="137" t="s">
        <v>160</v>
      </c>
    </row>
    <row r="41" spans="2:17" s="138" customFormat="1" ht="48" x14ac:dyDescent="0.25">
      <c r="B41" s="137" t="s">
        <v>117</v>
      </c>
      <c r="C41" s="137" t="s">
        <v>601</v>
      </c>
      <c r="D41" s="97">
        <v>747329.47782805713</v>
      </c>
      <c r="E41" s="98">
        <f t="shared" si="0"/>
        <v>883786.04284301924</v>
      </c>
      <c r="F41" s="97">
        <v>747329.47782805713</v>
      </c>
      <c r="G41" s="98">
        <f t="shared" si="1"/>
        <v>883786.04284301924</v>
      </c>
      <c r="H41" s="137" t="s">
        <v>345</v>
      </c>
      <c r="I41" s="137" t="s">
        <v>285</v>
      </c>
      <c r="J41" s="137" t="s">
        <v>283</v>
      </c>
      <c r="K41" s="137" t="s">
        <v>289</v>
      </c>
      <c r="L41" s="137" t="s">
        <v>293</v>
      </c>
      <c r="M41" s="137" t="s">
        <v>299</v>
      </c>
      <c r="N41" s="137">
        <v>23210</v>
      </c>
      <c r="O41" s="137" t="s">
        <v>341</v>
      </c>
      <c r="P41" s="137" t="s">
        <v>341</v>
      </c>
      <c r="Q41" s="137" t="s">
        <v>160</v>
      </c>
    </row>
    <row r="42" spans="2:17" s="138" customFormat="1" ht="23.1" customHeight="1" x14ac:dyDescent="0.25">
      <c r="B42" s="137" t="s">
        <v>117</v>
      </c>
      <c r="C42" s="137" t="s">
        <v>224</v>
      </c>
      <c r="D42" s="97">
        <v>30848.880000000001</v>
      </c>
      <c r="E42" s="98">
        <f t="shared" si="0"/>
        <v>36481.646168401137</v>
      </c>
      <c r="F42" s="97">
        <v>30848.880000000001</v>
      </c>
      <c r="G42" s="98">
        <f t="shared" si="1"/>
        <v>36481.646168401137</v>
      </c>
      <c r="H42" s="137" t="s">
        <v>345</v>
      </c>
      <c r="I42" s="137" t="s">
        <v>286</v>
      </c>
      <c r="J42" s="137" t="s">
        <v>283</v>
      </c>
      <c r="K42" s="137" t="s">
        <v>289</v>
      </c>
      <c r="L42" s="137" t="s">
        <v>293</v>
      </c>
      <c r="M42" s="137" t="s">
        <v>299</v>
      </c>
      <c r="N42" s="137">
        <v>11320</v>
      </c>
      <c r="O42" s="137" t="s">
        <v>341</v>
      </c>
      <c r="P42" s="137" t="s">
        <v>341</v>
      </c>
      <c r="Q42" s="137" t="s">
        <v>160</v>
      </c>
    </row>
    <row r="43" spans="2:17" s="138" customFormat="1" ht="23.1" customHeight="1" x14ac:dyDescent="0.25">
      <c r="B43" s="137" t="s">
        <v>131</v>
      </c>
      <c r="C43" s="137" t="s">
        <v>188</v>
      </c>
      <c r="D43" s="97">
        <v>552.83272007192556</v>
      </c>
      <c r="E43" s="98">
        <f t="shared" si="0"/>
        <v>653.77568598855908</v>
      </c>
      <c r="F43" s="97">
        <v>552.83272007192556</v>
      </c>
      <c r="G43" s="98">
        <f t="shared" si="1"/>
        <v>653.77568598855908</v>
      </c>
      <c r="H43" s="137" t="s">
        <v>345</v>
      </c>
      <c r="I43" s="137" t="s">
        <v>286</v>
      </c>
      <c r="J43" s="137" t="s">
        <v>283</v>
      </c>
      <c r="K43" s="137" t="s">
        <v>289</v>
      </c>
      <c r="L43" s="137" t="s">
        <v>291</v>
      </c>
      <c r="M43" s="137" t="s">
        <v>295</v>
      </c>
      <c r="N43" s="137">
        <v>31166</v>
      </c>
      <c r="O43" s="137" t="s">
        <v>341</v>
      </c>
      <c r="P43" s="137" t="s">
        <v>341</v>
      </c>
      <c r="Q43" s="137" t="s">
        <v>160</v>
      </c>
    </row>
    <row r="44" spans="2:17" s="138" customFormat="1" ht="23.1" customHeight="1" x14ac:dyDescent="0.25">
      <c r="B44" s="137" t="s">
        <v>145</v>
      </c>
      <c r="C44" s="137" t="s">
        <v>215</v>
      </c>
      <c r="D44" s="97">
        <v>94691.820769605532</v>
      </c>
      <c r="E44" s="98">
        <f t="shared" si="0"/>
        <v>111981.81264144457</v>
      </c>
      <c r="F44" s="97">
        <v>94691.820769605532</v>
      </c>
      <c r="G44" s="98">
        <f t="shared" si="1"/>
        <v>111981.81264144457</v>
      </c>
      <c r="H44" s="137" t="s">
        <v>345</v>
      </c>
      <c r="I44" s="137" t="s">
        <v>286</v>
      </c>
      <c r="J44" s="137" t="s">
        <v>283</v>
      </c>
      <c r="K44" s="137" t="s">
        <v>289</v>
      </c>
      <c r="L44" s="137" t="s">
        <v>292</v>
      </c>
      <c r="M44" s="137" t="s">
        <v>295</v>
      </c>
      <c r="N44" s="137">
        <v>31181</v>
      </c>
      <c r="O44" s="137" t="s">
        <v>341</v>
      </c>
      <c r="P44" s="137" t="s">
        <v>346</v>
      </c>
      <c r="Q44" s="137" t="s">
        <v>160</v>
      </c>
    </row>
    <row r="45" spans="2:17" s="138" customFormat="1" ht="23.1" customHeight="1" x14ac:dyDescent="0.25">
      <c r="B45" s="137" t="s">
        <v>137</v>
      </c>
      <c r="C45" s="137" t="s">
        <v>189</v>
      </c>
      <c r="D45" s="97">
        <v>3169.146749132964</v>
      </c>
      <c r="E45" s="98">
        <f t="shared" si="0"/>
        <v>3747.8083599018019</v>
      </c>
      <c r="F45" s="97">
        <v>3169.146749132964</v>
      </c>
      <c r="G45" s="98">
        <f t="shared" si="1"/>
        <v>3747.8083599018019</v>
      </c>
      <c r="H45" s="137" t="s">
        <v>345</v>
      </c>
      <c r="I45" s="137" t="s">
        <v>286</v>
      </c>
      <c r="J45" s="137" t="s">
        <v>283</v>
      </c>
      <c r="K45" s="137" t="s">
        <v>289</v>
      </c>
      <c r="L45" s="137" t="s">
        <v>291</v>
      </c>
      <c r="M45" s="137" t="s">
        <v>295</v>
      </c>
      <c r="N45" s="137">
        <v>31181</v>
      </c>
      <c r="O45" s="137" t="s">
        <v>341</v>
      </c>
      <c r="P45" s="137" t="s">
        <v>346</v>
      </c>
      <c r="Q45" s="137" t="s">
        <v>160</v>
      </c>
    </row>
    <row r="46" spans="2:17" s="138" customFormat="1" ht="23.1" customHeight="1" x14ac:dyDescent="0.25">
      <c r="B46" s="137" t="s">
        <v>126</v>
      </c>
      <c r="C46" s="137" t="s">
        <v>177</v>
      </c>
      <c r="D46" s="97">
        <v>25311.039137628701</v>
      </c>
      <c r="E46" s="98">
        <f t="shared" si="0"/>
        <v>29932.638526050967</v>
      </c>
      <c r="F46" s="97">
        <v>25311.039137628701</v>
      </c>
      <c r="G46" s="98">
        <f t="shared" si="1"/>
        <v>29932.638526050967</v>
      </c>
      <c r="H46" s="137" t="s">
        <v>345</v>
      </c>
      <c r="I46" s="137" t="s">
        <v>286</v>
      </c>
      <c r="J46" s="137" t="s">
        <v>283</v>
      </c>
      <c r="K46" s="137" t="s">
        <v>289</v>
      </c>
      <c r="L46" s="137" t="s">
        <v>291</v>
      </c>
      <c r="M46" s="137" t="s">
        <v>294</v>
      </c>
      <c r="N46" s="137">
        <v>14031</v>
      </c>
      <c r="O46" s="137" t="s">
        <v>341</v>
      </c>
      <c r="P46" s="137" t="s">
        <v>341</v>
      </c>
      <c r="Q46" s="137" t="s">
        <v>160</v>
      </c>
    </row>
    <row r="47" spans="2:17" s="138" customFormat="1" ht="23.1" customHeight="1" x14ac:dyDescent="0.25">
      <c r="B47" s="137" t="s">
        <v>126</v>
      </c>
      <c r="C47" s="137" t="s">
        <v>182</v>
      </c>
      <c r="D47" s="97">
        <v>127025.4298762641</v>
      </c>
      <c r="E47" s="98">
        <f t="shared" si="0"/>
        <v>150219.28793314108</v>
      </c>
      <c r="F47" s="97">
        <v>127025.4298762641</v>
      </c>
      <c r="G47" s="98">
        <f t="shared" si="1"/>
        <v>150219.28793314108</v>
      </c>
      <c r="H47" s="137" t="s">
        <v>345</v>
      </c>
      <c r="I47" s="137" t="s">
        <v>286</v>
      </c>
      <c r="J47" s="137" t="s">
        <v>283</v>
      </c>
      <c r="K47" s="137" t="s">
        <v>289</v>
      </c>
      <c r="L47" s="137" t="s">
        <v>291</v>
      </c>
      <c r="M47" s="137" t="s">
        <v>304</v>
      </c>
      <c r="N47" s="137">
        <v>16040</v>
      </c>
      <c r="O47" s="137" t="s">
        <v>341</v>
      </c>
      <c r="P47" s="137" t="s">
        <v>346</v>
      </c>
      <c r="Q47" s="137" t="s">
        <v>160</v>
      </c>
    </row>
    <row r="48" spans="2:17" s="138" customFormat="1" ht="23.1" customHeight="1" x14ac:dyDescent="0.25">
      <c r="B48" s="137" t="s">
        <v>126</v>
      </c>
      <c r="C48" s="137" t="s">
        <v>194</v>
      </c>
      <c r="D48" s="97">
        <v>40561.955684873603</v>
      </c>
      <c r="E48" s="98">
        <f t="shared" si="0"/>
        <v>47968.254121184487</v>
      </c>
      <c r="F48" s="97">
        <v>40561.955684873603</v>
      </c>
      <c r="G48" s="98">
        <f t="shared" si="1"/>
        <v>47968.254121184487</v>
      </c>
      <c r="H48" s="137" t="s">
        <v>345</v>
      </c>
      <c r="I48" s="137" t="s">
        <v>286</v>
      </c>
      <c r="J48" s="137" t="s">
        <v>283</v>
      </c>
      <c r="K48" s="137" t="s">
        <v>289</v>
      </c>
      <c r="L48" s="137" t="s">
        <v>291</v>
      </c>
      <c r="M48" s="137" t="s">
        <v>306</v>
      </c>
      <c r="N48" s="137">
        <v>41040</v>
      </c>
      <c r="O48" s="137" t="s">
        <v>341</v>
      </c>
      <c r="P48" s="137" t="s">
        <v>346</v>
      </c>
      <c r="Q48" s="137" t="s">
        <v>160</v>
      </c>
    </row>
    <row r="49" spans="2:17" s="138" customFormat="1" ht="23.1" customHeight="1" x14ac:dyDescent="0.25">
      <c r="B49" s="137" t="s">
        <v>126</v>
      </c>
      <c r="C49" s="137" t="s">
        <v>208</v>
      </c>
      <c r="D49" s="97">
        <v>20347.249060049395</v>
      </c>
      <c r="E49" s="98">
        <f t="shared" si="0"/>
        <v>24062.498888421705</v>
      </c>
      <c r="F49" s="97">
        <v>20347.249060049395</v>
      </c>
      <c r="G49" s="98">
        <f t="shared" si="1"/>
        <v>24062.498888421705</v>
      </c>
      <c r="H49" s="137" t="s">
        <v>345</v>
      </c>
      <c r="I49" s="137" t="s">
        <v>286</v>
      </c>
      <c r="J49" s="137" t="s">
        <v>283</v>
      </c>
      <c r="K49" s="137" t="s">
        <v>289</v>
      </c>
      <c r="L49" s="137" t="s">
        <v>292</v>
      </c>
      <c r="M49" s="137" t="s">
        <v>295</v>
      </c>
      <c r="N49" s="137">
        <v>31120</v>
      </c>
      <c r="O49" s="137" t="s">
        <v>341</v>
      </c>
      <c r="P49" s="137" t="s">
        <v>346</v>
      </c>
      <c r="Q49" s="137" t="s">
        <v>160</v>
      </c>
    </row>
    <row r="50" spans="2:17" s="138" customFormat="1" ht="23.1" customHeight="1" x14ac:dyDescent="0.25">
      <c r="B50" s="137" t="s">
        <v>132</v>
      </c>
      <c r="C50" s="137" t="s">
        <v>188</v>
      </c>
      <c r="D50" s="97">
        <v>9496.6040273901217</v>
      </c>
      <c r="E50" s="98">
        <f t="shared" si="0"/>
        <v>11230.610249988316</v>
      </c>
      <c r="F50" s="97">
        <v>9496.6040273901217</v>
      </c>
      <c r="G50" s="98">
        <f t="shared" si="1"/>
        <v>11230.610249988316</v>
      </c>
      <c r="H50" s="137" t="s">
        <v>345</v>
      </c>
      <c r="I50" s="137" t="s">
        <v>286</v>
      </c>
      <c r="J50" s="137" t="s">
        <v>283</v>
      </c>
      <c r="K50" s="137" t="s">
        <v>289</v>
      </c>
      <c r="L50" s="137" t="s">
        <v>291</v>
      </c>
      <c r="M50" s="137" t="s">
        <v>295</v>
      </c>
      <c r="N50" s="137">
        <v>31166</v>
      </c>
      <c r="O50" s="137" t="s">
        <v>341</v>
      </c>
      <c r="P50" s="137" t="s">
        <v>341</v>
      </c>
      <c r="Q50" s="137" t="s">
        <v>160</v>
      </c>
    </row>
    <row r="51" spans="2:17" s="138" customFormat="1" ht="23.1" customHeight="1" x14ac:dyDescent="0.25">
      <c r="B51" s="137" t="s">
        <v>132</v>
      </c>
      <c r="C51" s="137" t="s">
        <v>189</v>
      </c>
      <c r="D51" s="97">
        <v>2179.8998656149638</v>
      </c>
      <c r="E51" s="98">
        <f t="shared" si="0"/>
        <v>2577.9326698379418</v>
      </c>
      <c r="F51" s="97">
        <v>2179.8998656149638</v>
      </c>
      <c r="G51" s="98">
        <f t="shared" si="1"/>
        <v>2577.9326698379418</v>
      </c>
      <c r="H51" s="137" t="s">
        <v>345</v>
      </c>
      <c r="I51" s="137" t="s">
        <v>286</v>
      </c>
      <c r="J51" s="137" t="s">
        <v>283</v>
      </c>
      <c r="K51" s="137" t="s">
        <v>289</v>
      </c>
      <c r="L51" s="137" t="s">
        <v>291</v>
      </c>
      <c r="M51" s="137" t="s">
        <v>295</v>
      </c>
      <c r="N51" s="137">
        <v>31181</v>
      </c>
      <c r="O51" s="137" t="s">
        <v>341</v>
      </c>
      <c r="P51" s="137" t="s">
        <v>346</v>
      </c>
      <c r="Q51" s="137" t="s">
        <v>160</v>
      </c>
    </row>
    <row r="52" spans="2:17" s="138" customFormat="1" ht="23.1" customHeight="1" x14ac:dyDescent="0.25">
      <c r="B52" s="137" t="s">
        <v>141</v>
      </c>
      <c r="C52" s="137" t="s">
        <v>205</v>
      </c>
      <c r="D52" s="97">
        <v>7020.54</v>
      </c>
      <c r="E52" s="98">
        <f t="shared" si="0"/>
        <v>8302.4361400189209</v>
      </c>
      <c r="F52" s="97">
        <v>7020.54</v>
      </c>
      <c r="G52" s="98">
        <f t="shared" si="1"/>
        <v>8302.4361400189209</v>
      </c>
      <c r="H52" s="137" t="s">
        <v>345</v>
      </c>
      <c r="I52" s="137" t="s">
        <v>286</v>
      </c>
      <c r="J52" s="137" t="s">
        <v>283</v>
      </c>
      <c r="K52" s="137" t="s">
        <v>289</v>
      </c>
      <c r="L52" s="137" t="s">
        <v>292</v>
      </c>
      <c r="M52" s="137" t="s">
        <v>303</v>
      </c>
      <c r="N52" s="137">
        <v>15170</v>
      </c>
      <c r="O52" s="137" t="s">
        <v>341</v>
      </c>
      <c r="P52" s="137" t="s">
        <v>346</v>
      </c>
      <c r="Q52" s="137" t="s">
        <v>160</v>
      </c>
    </row>
    <row r="53" spans="2:17" s="138" customFormat="1" ht="23.1" customHeight="1" x14ac:dyDescent="0.25">
      <c r="B53" s="137" t="s">
        <v>140</v>
      </c>
      <c r="C53" s="137" t="s">
        <v>199</v>
      </c>
      <c r="D53" s="97">
        <v>76599.798485484556</v>
      </c>
      <c r="E53" s="98">
        <f t="shared" si="0"/>
        <v>90586.327442626003</v>
      </c>
      <c r="F53" s="97">
        <v>76599.798485484556</v>
      </c>
      <c r="G53" s="98">
        <f t="shared" si="1"/>
        <v>90586.327442626003</v>
      </c>
      <c r="H53" s="137" t="s">
        <v>345</v>
      </c>
      <c r="I53" s="137" t="s">
        <v>286</v>
      </c>
      <c r="J53" s="137" t="s">
        <v>283</v>
      </c>
      <c r="K53" s="137" t="s">
        <v>289</v>
      </c>
      <c r="L53" s="137" t="s">
        <v>291</v>
      </c>
      <c r="M53" s="137" t="s">
        <v>296</v>
      </c>
      <c r="N53" s="137">
        <v>43072</v>
      </c>
      <c r="O53" s="137" t="s">
        <v>341</v>
      </c>
      <c r="P53" s="137" t="s">
        <v>346</v>
      </c>
      <c r="Q53" s="137" t="s">
        <v>160</v>
      </c>
    </row>
    <row r="54" spans="2:17" s="138" customFormat="1" ht="23.1" customHeight="1" x14ac:dyDescent="0.25">
      <c r="B54" s="137" t="s">
        <v>140</v>
      </c>
      <c r="C54" s="137" t="s">
        <v>214</v>
      </c>
      <c r="D54" s="97">
        <v>75211.573070974628</v>
      </c>
      <c r="E54" s="98">
        <f t="shared" si="0"/>
        <v>88944.622837008777</v>
      </c>
      <c r="F54" s="97">
        <v>75211.573070974628</v>
      </c>
      <c r="G54" s="98">
        <f t="shared" si="1"/>
        <v>88944.622837008777</v>
      </c>
      <c r="H54" s="137" t="s">
        <v>345</v>
      </c>
      <c r="I54" s="137" t="s">
        <v>286</v>
      </c>
      <c r="J54" s="137" t="s">
        <v>283</v>
      </c>
      <c r="K54" s="137" t="s">
        <v>289</v>
      </c>
      <c r="L54" s="137" t="s">
        <v>292</v>
      </c>
      <c r="M54" s="137" t="s">
        <v>295</v>
      </c>
      <c r="N54" s="137">
        <v>31166</v>
      </c>
      <c r="O54" s="137" t="s">
        <v>341</v>
      </c>
      <c r="P54" s="137" t="s">
        <v>346</v>
      </c>
      <c r="Q54" s="137" t="s">
        <v>160</v>
      </c>
    </row>
    <row r="55" spans="2:17" s="138" customFormat="1" ht="23.1" customHeight="1" x14ac:dyDescent="0.25">
      <c r="B55" s="137" t="s">
        <v>140</v>
      </c>
      <c r="C55" s="137" t="s">
        <v>216</v>
      </c>
      <c r="D55" s="97">
        <v>177869.18314609336</v>
      </c>
      <c r="E55" s="98">
        <f t="shared" si="0"/>
        <v>210346.71611411229</v>
      </c>
      <c r="F55" s="97">
        <v>177869.18314609336</v>
      </c>
      <c r="G55" s="98">
        <f t="shared" si="1"/>
        <v>210346.71611411229</v>
      </c>
      <c r="H55" s="137" t="s">
        <v>345</v>
      </c>
      <c r="I55" s="137" t="s">
        <v>286</v>
      </c>
      <c r="J55" s="137" t="s">
        <v>283</v>
      </c>
      <c r="K55" s="137" t="s">
        <v>289</v>
      </c>
      <c r="L55" s="137" t="s">
        <v>292</v>
      </c>
      <c r="M55" s="137" t="s">
        <v>295</v>
      </c>
      <c r="N55" s="137">
        <v>31181</v>
      </c>
      <c r="O55" s="137" t="s">
        <v>341</v>
      </c>
      <c r="P55" s="137" t="s">
        <v>346</v>
      </c>
      <c r="Q55" s="137" t="s">
        <v>160</v>
      </c>
    </row>
    <row r="56" spans="2:17" s="138" customFormat="1" ht="23.1" customHeight="1" x14ac:dyDescent="0.25">
      <c r="B56" s="137" t="s">
        <v>140</v>
      </c>
      <c r="C56" s="137" t="s">
        <v>221</v>
      </c>
      <c r="D56" s="97">
        <v>42663.178467277976</v>
      </c>
      <c r="E56" s="98">
        <f t="shared" si="0"/>
        <v>50453.143882779063</v>
      </c>
      <c r="F56" s="97">
        <v>42663.178467277976</v>
      </c>
      <c r="G56" s="98">
        <f t="shared" si="1"/>
        <v>50453.143882779063</v>
      </c>
      <c r="H56" s="137" t="s">
        <v>345</v>
      </c>
      <c r="I56" s="137" t="s">
        <v>286</v>
      </c>
      <c r="J56" s="137" t="s">
        <v>283</v>
      </c>
      <c r="K56" s="137" t="s">
        <v>289</v>
      </c>
      <c r="L56" s="137" t="s">
        <v>292</v>
      </c>
      <c r="M56" s="137" t="s">
        <v>295</v>
      </c>
      <c r="N56" s="137">
        <v>31194</v>
      </c>
      <c r="O56" s="137" t="s">
        <v>341</v>
      </c>
      <c r="P56" s="137" t="s">
        <v>346</v>
      </c>
      <c r="Q56" s="137" t="s">
        <v>160</v>
      </c>
    </row>
    <row r="57" spans="2:17" s="138" customFormat="1" ht="23.1" customHeight="1" x14ac:dyDescent="0.25">
      <c r="B57" s="137" t="s">
        <v>151</v>
      </c>
      <c r="C57" s="137" t="s">
        <v>229</v>
      </c>
      <c r="D57" s="97">
        <v>169526.64576098003</v>
      </c>
      <c r="E57" s="98">
        <f t="shared" si="0"/>
        <v>200480.89612225641</v>
      </c>
      <c r="F57" s="97">
        <v>169526.64576098003</v>
      </c>
      <c r="G57" s="98">
        <f t="shared" si="1"/>
        <v>200480.89612225641</v>
      </c>
      <c r="H57" s="137" t="s">
        <v>345</v>
      </c>
      <c r="I57" s="137" t="s">
        <v>287</v>
      </c>
      <c r="J57" s="137" t="s">
        <v>283</v>
      </c>
      <c r="K57" s="137" t="s">
        <v>289</v>
      </c>
      <c r="L57" s="137" t="s">
        <v>292</v>
      </c>
      <c r="M57" s="137" t="s">
        <v>298</v>
      </c>
      <c r="N57" s="137">
        <v>31220</v>
      </c>
      <c r="O57" s="137" t="s">
        <v>340</v>
      </c>
      <c r="P57" s="137" t="s">
        <v>340</v>
      </c>
      <c r="Q57" s="137" t="s">
        <v>160</v>
      </c>
    </row>
    <row r="58" spans="2:17" s="138" customFormat="1" ht="23.1" customHeight="1" x14ac:dyDescent="0.25">
      <c r="B58" s="137" t="s">
        <v>148</v>
      </c>
      <c r="C58" s="137" t="s">
        <v>221</v>
      </c>
      <c r="D58" s="97">
        <v>45421.778635730727</v>
      </c>
      <c r="E58" s="98">
        <f t="shared" si="0"/>
        <v>53715.443041308805</v>
      </c>
      <c r="F58" s="97">
        <v>45421.778635730727</v>
      </c>
      <c r="G58" s="98">
        <f t="shared" si="1"/>
        <v>53715.443041308805</v>
      </c>
      <c r="H58" s="137" t="s">
        <v>345</v>
      </c>
      <c r="I58" s="137" t="s">
        <v>286</v>
      </c>
      <c r="J58" s="137" t="s">
        <v>283</v>
      </c>
      <c r="K58" s="137" t="s">
        <v>289</v>
      </c>
      <c r="L58" s="137" t="s">
        <v>292</v>
      </c>
      <c r="M58" s="137" t="s">
        <v>295</v>
      </c>
      <c r="N58" s="137">
        <v>31194</v>
      </c>
      <c r="O58" s="137" t="s">
        <v>341</v>
      </c>
      <c r="P58" s="137" t="s">
        <v>346</v>
      </c>
      <c r="Q58" s="137" t="s">
        <v>160</v>
      </c>
    </row>
    <row r="59" spans="2:17" s="138" customFormat="1" ht="23.1" customHeight="1" x14ac:dyDescent="0.25">
      <c r="B59" s="137" t="s">
        <v>150</v>
      </c>
      <c r="C59" s="137" t="s">
        <v>228</v>
      </c>
      <c r="D59" s="97">
        <v>439715.06</v>
      </c>
      <c r="E59" s="98">
        <f t="shared" si="0"/>
        <v>520003.61873226106</v>
      </c>
      <c r="F59" s="97">
        <v>439715.06</v>
      </c>
      <c r="G59" s="98">
        <f t="shared" si="1"/>
        <v>520003.61873226106</v>
      </c>
      <c r="H59" s="137" t="s">
        <v>345</v>
      </c>
      <c r="I59" s="137" t="s">
        <v>287</v>
      </c>
      <c r="J59" s="137" t="s">
        <v>283</v>
      </c>
      <c r="K59" s="137" t="s">
        <v>289</v>
      </c>
      <c r="L59" s="137" t="s">
        <v>291</v>
      </c>
      <c r="M59" s="137" t="s">
        <v>303</v>
      </c>
      <c r="N59" s="137">
        <v>15160</v>
      </c>
      <c r="O59" s="137" t="s">
        <v>340</v>
      </c>
      <c r="P59" s="137" t="s">
        <v>340</v>
      </c>
      <c r="Q59" s="137" t="s">
        <v>160</v>
      </c>
    </row>
    <row r="60" spans="2:17" s="138" customFormat="1" ht="23.1" customHeight="1" x14ac:dyDescent="0.25">
      <c r="B60" s="137" t="s">
        <v>150</v>
      </c>
      <c r="C60" s="137" t="s">
        <v>361</v>
      </c>
      <c r="D60" s="97">
        <v>400000</v>
      </c>
      <c r="E60" s="98">
        <f t="shared" si="0"/>
        <v>473036.89687795646</v>
      </c>
      <c r="F60" s="97">
        <v>400000</v>
      </c>
      <c r="G60" s="98">
        <f t="shared" si="1"/>
        <v>473036.89687795646</v>
      </c>
      <c r="H60" s="137" t="s">
        <v>345</v>
      </c>
      <c r="I60" s="137" t="s">
        <v>285</v>
      </c>
      <c r="J60" s="137" t="s">
        <v>283</v>
      </c>
      <c r="K60" s="137" t="s">
        <v>289</v>
      </c>
      <c r="L60" s="137" t="s">
        <v>292</v>
      </c>
      <c r="M60" s="137" t="s">
        <v>355</v>
      </c>
      <c r="N60" s="137">
        <v>99810</v>
      </c>
      <c r="O60" s="137" t="s">
        <v>340</v>
      </c>
      <c r="P60" s="137" t="s">
        <v>340</v>
      </c>
      <c r="Q60" s="137"/>
    </row>
    <row r="61" spans="2:17" s="138" customFormat="1" ht="23.1" customHeight="1" x14ac:dyDescent="0.25">
      <c r="B61" s="137" t="s">
        <v>146</v>
      </c>
      <c r="C61" s="137" t="s">
        <v>217</v>
      </c>
      <c r="D61" s="97">
        <v>161190.07426828187</v>
      </c>
      <c r="E61" s="98">
        <f t="shared" si="0"/>
        <v>190622.13134848847</v>
      </c>
      <c r="F61" s="97">
        <v>161190.07426828187</v>
      </c>
      <c r="G61" s="98">
        <f t="shared" si="1"/>
        <v>190622.13134848847</v>
      </c>
      <c r="H61" s="137" t="s">
        <v>345</v>
      </c>
      <c r="I61" s="137" t="s">
        <v>286</v>
      </c>
      <c r="J61" s="137" t="s">
        <v>283</v>
      </c>
      <c r="K61" s="137" t="s">
        <v>289</v>
      </c>
      <c r="L61" s="137" t="s">
        <v>292</v>
      </c>
      <c r="M61" s="137" t="s">
        <v>295</v>
      </c>
      <c r="N61" s="137">
        <v>31181</v>
      </c>
      <c r="O61" s="137" t="s">
        <v>341</v>
      </c>
      <c r="P61" s="137" t="s">
        <v>346</v>
      </c>
      <c r="Q61" s="137" t="s">
        <v>160</v>
      </c>
    </row>
    <row r="62" spans="2:17" s="138" customFormat="1" ht="23.1" customHeight="1" x14ac:dyDescent="0.25">
      <c r="B62" s="137" t="s">
        <v>146</v>
      </c>
      <c r="C62" s="137" t="s">
        <v>223</v>
      </c>
      <c r="D62" s="97">
        <v>12562.239356687589</v>
      </c>
      <c r="E62" s="98">
        <f t="shared" si="0"/>
        <v>14856.006807814083</v>
      </c>
      <c r="F62" s="97">
        <v>12562.239356687589</v>
      </c>
      <c r="G62" s="98">
        <f t="shared" si="1"/>
        <v>14856.006807814083</v>
      </c>
      <c r="H62" s="137" t="s">
        <v>345</v>
      </c>
      <c r="I62" s="137" t="s">
        <v>286</v>
      </c>
      <c r="J62" s="137" t="s">
        <v>283</v>
      </c>
      <c r="K62" s="137" t="s">
        <v>289</v>
      </c>
      <c r="L62" s="137" t="s">
        <v>292</v>
      </c>
      <c r="M62" s="137" t="s">
        <v>296</v>
      </c>
      <c r="N62" s="137">
        <v>43072</v>
      </c>
      <c r="O62" s="137" t="s">
        <v>341</v>
      </c>
      <c r="P62" s="137" t="s">
        <v>346</v>
      </c>
      <c r="Q62" s="137" t="s">
        <v>160</v>
      </c>
    </row>
    <row r="63" spans="2:17" s="138" customFormat="1" ht="23.1" customHeight="1" x14ac:dyDescent="0.25">
      <c r="B63" s="137" t="s">
        <v>142</v>
      </c>
      <c r="C63" s="137" t="s">
        <v>207</v>
      </c>
      <c r="D63" s="97">
        <v>14868.728863191271</v>
      </c>
      <c r="E63" s="98">
        <f t="shared" si="0"/>
        <v>17583.64340490926</v>
      </c>
      <c r="F63" s="97">
        <v>14868.728863191271</v>
      </c>
      <c r="G63" s="98">
        <f t="shared" si="1"/>
        <v>17583.64340490926</v>
      </c>
      <c r="H63" s="137" t="s">
        <v>345</v>
      </c>
      <c r="I63" s="137" t="s">
        <v>286</v>
      </c>
      <c r="J63" s="137" t="s">
        <v>283</v>
      </c>
      <c r="K63" s="137" t="s">
        <v>289</v>
      </c>
      <c r="L63" s="137" t="s">
        <v>292</v>
      </c>
      <c r="M63" s="137" t="s">
        <v>299</v>
      </c>
      <c r="N63" s="137">
        <v>23210</v>
      </c>
      <c r="O63" s="137" t="s">
        <v>341</v>
      </c>
      <c r="P63" s="137" t="s">
        <v>341</v>
      </c>
      <c r="Q63" s="137" t="s">
        <v>160</v>
      </c>
    </row>
    <row r="64" spans="2:17" s="138" customFormat="1" ht="23.1" customHeight="1" x14ac:dyDescent="0.25">
      <c r="B64" s="137" t="s">
        <v>142</v>
      </c>
      <c r="C64" s="137" t="s">
        <v>218</v>
      </c>
      <c r="D64" s="97">
        <v>105343.55626101677</v>
      </c>
      <c r="E64" s="98">
        <f t="shared" si="0"/>
        <v>124578.47239949949</v>
      </c>
      <c r="F64" s="97">
        <v>105343.55626101677</v>
      </c>
      <c r="G64" s="98">
        <f t="shared" si="1"/>
        <v>124578.47239949949</v>
      </c>
      <c r="H64" s="137" t="s">
        <v>345</v>
      </c>
      <c r="I64" s="137" t="s">
        <v>286</v>
      </c>
      <c r="J64" s="137" t="s">
        <v>283</v>
      </c>
      <c r="K64" s="137" t="s">
        <v>289</v>
      </c>
      <c r="L64" s="137" t="s">
        <v>292</v>
      </c>
      <c r="M64" s="137" t="s">
        <v>295</v>
      </c>
      <c r="N64" s="137">
        <v>31181</v>
      </c>
      <c r="O64" s="137" t="s">
        <v>341</v>
      </c>
      <c r="P64" s="137" t="s">
        <v>346</v>
      </c>
      <c r="Q64" s="137" t="s">
        <v>160</v>
      </c>
    </row>
    <row r="65" spans="2:17" s="138" customFormat="1" ht="23.1" customHeight="1" x14ac:dyDescent="0.25">
      <c r="B65" s="137" t="s">
        <v>133</v>
      </c>
      <c r="C65" s="137" t="s">
        <v>188</v>
      </c>
      <c r="D65" s="97">
        <v>440.13375982646318</v>
      </c>
      <c r="E65" s="98">
        <f t="shared" si="0"/>
        <v>520.49876989884478</v>
      </c>
      <c r="F65" s="97">
        <v>440.13375982646318</v>
      </c>
      <c r="G65" s="98">
        <f t="shared" si="1"/>
        <v>520.49876989884478</v>
      </c>
      <c r="H65" s="137" t="s">
        <v>345</v>
      </c>
      <c r="I65" s="137" t="s">
        <v>286</v>
      </c>
      <c r="J65" s="137" t="s">
        <v>283</v>
      </c>
      <c r="K65" s="137" t="s">
        <v>289</v>
      </c>
      <c r="L65" s="137" t="s">
        <v>291</v>
      </c>
      <c r="M65" s="137" t="s">
        <v>295</v>
      </c>
      <c r="N65" s="137">
        <v>31166</v>
      </c>
      <c r="O65" s="137" t="s">
        <v>341</v>
      </c>
      <c r="P65" s="137" t="s">
        <v>341</v>
      </c>
      <c r="Q65" s="137" t="s">
        <v>160</v>
      </c>
    </row>
    <row r="66" spans="2:17" s="138" customFormat="1" ht="23.1" customHeight="1" x14ac:dyDescent="0.25">
      <c r="B66" s="137" t="s">
        <v>133</v>
      </c>
      <c r="C66" s="137" t="s">
        <v>189</v>
      </c>
      <c r="D66" s="97">
        <v>434.4148685621625</v>
      </c>
      <c r="E66" s="98">
        <f t="shared" si="0"/>
        <v>513.73565345572661</v>
      </c>
      <c r="F66" s="97">
        <v>434.4148685621625</v>
      </c>
      <c r="G66" s="98">
        <f t="shared" si="1"/>
        <v>513.73565345572661</v>
      </c>
      <c r="H66" s="137" t="s">
        <v>345</v>
      </c>
      <c r="I66" s="137" t="s">
        <v>286</v>
      </c>
      <c r="J66" s="137" t="s">
        <v>283</v>
      </c>
      <c r="K66" s="137" t="s">
        <v>289</v>
      </c>
      <c r="L66" s="137" t="s">
        <v>291</v>
      </c>
      <c r="M66" s="137" t="s">
        <v>295</v>
      </c>
      <c r="N66" s="137">
        <v>31181</v>
      </c>
      <c r="O66" s="137" t="s">
        <v>341</v>
      </c>
      <c r="P66" s="137" t="s">
        <v>346</v>
      </c>
      <c r="Q66" s="137" t="s">
        <v>160</v>
      </c>
    </row>
    <row r="67" spans="2:17" s="138" customFormat="1" ht="23.1" customHeight="1" x14ac:dyDescent="0.25">
      <c r="B67" s="137" t="s">
        <v>147</v>
      </c>
      <c r="C67" s="137" t="s">
        <v>219</v>
      </c>
      <c r="D67" s="97">
        <v>54425.793703536772</v>
      </c>
      <c r="E67" s="98">
        <f t="shared" si="0"/>
        <v>64363.521409102141</v>
      </c>
      <c r="F67" s="97">
        <v>54425.793703536772</v>
      </c>
      <c r="G67" s="98">
        <f t="shared" si="1"/>
        <v>64363.521409102141</v>
      </c>
      <c r="H67" s="137" t="s">
        <v>345</v>
      </c>
      <c r="I67" s="137" t="s">
        <v>286</v>
      </c>
      <c r="J67" s="137" t="s">
        <v>283</v>
      </c>
      <c r="K67" s="137" t="s">
        <v>289</v>
      </c>
      <c r="L67" s="137" t="s">
        <v>292</v>
      </c>
      <c r="M67" s="137" t="s">
        <v>295</v>
      </c>
      <c r="N67" s="137">
        <v>31181</v>
      </c>
      <c r="O67" s="137" t="s">
        <v>341</v>
      </c>
      <c r="P67" s="137" t="s">
        <v>346</v>
      </c>
      <c r="Q67" s="137" t="s">
        <v>160</v>
      </c>
    </row>
    <row r="68" spans="2:17" s="138" customFormat="1" ht="23.1" customHeight="1" x14ac:dyDescent="0.25">
      <c r="B68" s="137" t="s">
        <v>123</v>
      </c>
      <c r="C68" s="137" t="s">
        <v>170</v>
      </c>
      <c r="D68" s="97">
        <v>750000</v>
      </c>
      <c r="E68" s="98">
        <f t="shared" si="0"/>
        <v>886944.18164616835</v>
      </c>
      <c r="F68" s="97">
        <v>750000</v>
      </c>
      <c r="G68" s="98">
        <f t="shared" si="1"/>
        <v>886944.18164616835</v>
      </c>
      <c r="H68" s="137" t="s">
        <v>345</v>
      </c>
      <c r="I68" s="137" t="s">
        <v>285</v>
      </c>
      <c r="J68" s="137" t="s">
        <v>283</v>
      </c>
      <c r="K68" s="137" t="s">
        <v>289</v>
      </c>
      <c r="L68" s="137" t="s">
        <v>293</v>
      </c>
      <c r="M68" s="137" t="s">
        <v>300</v>
      </c>
      <c r="N68" s="137">
        <v>23620</v>
      </c>
      <c r="O68" s="137" t="s">
        <v>341</v>
      </c>
      <c r="P68" s="137" t="s">
        <v>341</v>
      </c>
      <c r="Q68" s="137" t="s">
        <v>160</v>
      </c>
    </row>
    <row r="69" spans="2:17" s="138" customFormat="1" ht="23.1" customHeight="1" x14ac:dyDescent="0.25">
      <c r="B69" s="137" t="s">
        <v>144</v>
      </c>
      <c r="C69" s="137" t="s">
        <v>213</v>
      </c>
      <c r="D69" s="97">
        <v>102870.41971103703</v>
      </c>
      <c r="E69" s="98">
        <f t="shared" si="0"/>
        <v>121653.76030160481</v>
      </c>
      <c r="F69" s="97">
        <v>102870.41971103703</v>
      </c>
      <c r="G69" s="98">
        <f t="shared" si="1"/>
        <v>121653.76030160481</v>
      </c>
      <c r="H69" s="137" t="s">
        <v>345</v>
      </c>
      <c r="I69" s="137" t="s">
        <v>286</v>
      </c>
      <c r="J69" s="137" t="s">
        <v>283</v>
      </c>
      <c r="K69" s="137" t="s">
        <v>289</v>
      </c>
      <c r="L69" s="137" t="s">
        <v>292</v>
      </c>
      <c r="M69" s="137" t="s">
        <v>295</v>
      </c>
      <c r="N69" s="137">
        <v>31161</v>
      </c>
      <c r="O69" s="137" t="s">
        <v>341</v>
      </c>
      <c r="P69" s="137" t="s">
        <v>346</v>
      </c>
      <c r="Q69" s="137" t="s">
        <v>160</v>
      </c>
    </row>
    <row r="70" spans="2:17" s="138" customFormat="1" ht="23.1" customHeight="1" x14ac:dyDescent="0.25">
      <c r="B70" s="137" t="s">
        <v>127</v>
      </c>
      <c r="C70" s="137" t="s">
        <v>178</v>
      </c>
      <c r="D70" s="97">
        <v>36932.240990177204</v>
      </c>
      <c r="E70" s="98">
        <f t="shared" si="0"/>
        <v>43675.781681855726</v>
      </c>
      <c r="F70" s="97">
        <v>36932.240990177204</v>
      </c>
      <c r="G70" s="98">
        <f t="shared" si="1"/>
        <v>43675.781681855726</v>
      </c>
      <c r="H70" s="137" t="s">
        <v>345</v>
      </c>
      <c r="I70" s="137" t="s">
        <v>286</v>
      </c>
      <c r="J70" s="137" t="s">
        <v>283</v>
      </c>
      <c r="K70" s="137" t="s">
        <v>289</v>
      </c>
      <c r="L70" s="137" t="s">
        <v>291</v>
      </c>
      <c r="M70" s="137" t="s">
        <v>294</v>
      </c>
      <c r="N70" s="137">
        <v>14031</v>
      </c>
      <c r="O70" s="137" t="s">
        <v>341</v>
      </c>
      <c r="P70" s="137" t="s">
        <v>341</v>
      </c>
      <c r="Q70" s="137" t="s">
        <v>160</v>
      </c>
    </row>
    <row r="71" spans="2:17" s="138" customFormat="1" ht="23.1" customHeight="1" x14ac:dyDescent="0.25">
      <c r="B71" s="137" t="s">
        <v>127</v>
      </c>
      <c r="C71" s="137" t="s">
        <v>181</v>
      </c>
      <c r="D71" s="97">
        <v>53635.657430273168</v>
      </c>
      <c r="E71" s="98">
        <f t="shared" si="0"/>
        <v>63429.112382063817</v>
      </c>
      <c r="F71" s="97">
        <v>53635.657430273168</v>
      </c>
      <c r="G71" s="98">
        <f t="shared" si="1"/>
        <v>63429.112382063817</v>
      </c>
      <c r="H71" s="137" t="s">
        <v>345</v>
      </c>
      <c r="I71" s="137" t="s">
        <v>286</v>
      </c>
      <c r="J71" s="137" t="s">
        <v>283</v>
      </c>
      <c r="K71" s="137" t="s">
        <v>289</v>
      </c>
      <c r="L71" s="137" t="s">
        <v>291</v>
      </c>
      <c r="M71" s="137" t="s">
        <v>304</v>
      </c>
      <c r="N71" s="137">
        <v>16040</v>
      </c>
      <c r="O71" s="137" t="s">
        <v>341</v>
      </c>
      <c r="P71" s="137" t="s">
        <v>341</v>
      </c>
      <c r="Q71" s="137" t="s">
        <v>160</v>
      </c>
    </row>
    <row r="72" spans="2:17" s="138" customFormat="1" ht="23.1" customHeight="1" x14ac:dyDescent="0.25">
      <c r="B72" s="137" t="s">
        <v>127</v>
      </c>
      <c r="C72" s="137" t="s">
        <v>195</v>
      </c>
      <c r="D72" s="97">
        <v>102986.46834536381</v>
      </c>
      <c r="E72" s="98">
        <f t="shared" si="0"/>
        <v>121790.99851627697</v>
      </c>
      <c r="F72" s="97">
        <v>102986.46834536381</v>
      </c>
      <c r="G72" s="98">
        <f t="shared" si="1"/>
        <v>121790.99851627697</v>
      </c>
      <c r="H72" s="137" t="s">
        <v>345</v>
      </c>
      <c r="I72" s="137" t="s">
        <v>286</v>
      </c>
      <c r="J72" s="137" t="s">
        <v>283</v>
      </c>
      <c r="K72" s="137" t="s">
        <v>289</v>
      </c>
      <c r="L72" s="137" t="s">
        <v>291</v>
      </c>
      <c r="M72" s="137" t="s">
        <v>306</v>
      </c>
      <c r="N72" s="137">
        <v>41040</v>
      </c>
      <c r="O72" s="137" t="s">
        <v>341</v>
      </c>
      <c r="P72" s="137" t="s">
        <v>346</v>
      </c>
      <c r="Q72" s="137" t="s">
        <v>160</v>
      </c>
    </row>
    <row r="73" spans="2:17" s="138" customFormat="1" ht="23.1" customHeight="1" x14ac:dyDescent="0.25">
      <c r="B73" s="137" t="s">
        <v>127</v>
      </c>
      <c r="C73" s="137" t="s">
        <v>222</v>
      </c>
      <c r="D73" s="97">
        <v>59540.49</v>
      </c>
      <c r="E73" s="98">
        <f t="shared" si="0"/>
        <v>70412.121570482486</v>
      </c>
      <c r="F73" s="97">
        <v>59540.49</v>
      </c>
      <c r="G73" s="98">
        <f t="shared" si="1"/>
        <v>70412.121570482486</v>
      </c>
      <c r="H73" s="137" t="s">
        <v>345</v>
      </c>
      <c r="I73" s="137" t="s">
        <v>286</v>
      </c>
      <c r="J73" s="137" t="s">
        <v>283</v>
      </c>
      <c r="K73" s="137" t="s">
        <v>289</v>
      </c>
      <c r="L73" s="137" t="s">
        <v>292</v>
      </c>
      <c r="M73" s="137" t="s">
        <v>306</v>
      </c>
      <c r="N73" s="137">
        <v>41081</v>
      </c>
      <c r="O73" s="137" t="s">
        <v>340</v>
      </c>
      <c r="P73" s="137" t="s">
        <v>340</v>
      </c>
      <c r="Q73" s="137" t="s">
        <v>160</v>
      </c>
    </row>
    <row r="74" spans="2:17" s="138" customFormat="1" ht="23.1" customHeight="1" x14ac:dyDescent="0.25">
      <c r="B74" s="137" t="s">
        <v>134</v>
      </c>
      <c r="C74" s="137" t="s">
        <v>188</v>
      </c>
      <c r="D74" s="97">
        <v>1055.9689499818728</v>
      </c>
      <c r="E74" s="98">
        <f t="shared" si="0"/>
        <v>1248.7806882472478</v>
      </c>
      <c r="F74" s="97">
        <v>1055.9689499818728</v>
      </c>
      <c r="G74" s="98">
        <f t="shared" si="1"/>
        <v>1248.7806882472478</v>
      </c>
      <c r="H74" s="137" t="s">
        <v>345</v>
      </c>
      <c r="I74" s="137" t="s">
        <v>286</v>
      </c>
      <c r="J74" s="137" t="s">
        <v>283</v>
      </c>
      <c r="K74" s="137" t="s">
        <v>289</v>
      </c>
      <c r="L74" s="137" t="s">
        <v>291</v>
      </c>
      <c r="M74" s="137" t="s">
        <v>295</v>
      </c>
      <c r="N74" s="137">
        <v>31166</v>
      </c>
      <c r="O74" s="137" t="s">
        <v>341</v>
      </c>
      <c r="P74" s="137" t="s">
        <v>341</v>
      </c>
      <c r="Q74" s="137" t="s">
        <v>160</v>
      </c>
    </row>
    <row r="75" spans="2:17" s="138" customFormat="1" ht="23.1" customHeight="1" x14ac:dyDescent="0.25">
      <c r="B75" s="137" t="s">
        <v>134</v>
      </c>
      <c r="C75" s="137" t="s">
        <v>189</v>
      </c>
      <c r="D75" s="97">
        <v>1055.9689499818728</v>
      </c>
      <c r="E75" s="98">
        <f t="shared" ref="E75:E234" si="2">D75*(1/$C$4)</f>
        <v>1248.7806882472478</v>
      </c>
      <c r="F75" s="97">
        <v>1055.9689499818728</v>
      </c>
      <c r="G75" s="98">
        <f t="shared" ref="G75:G234" si="3">F75*(1/$C$4)</f>
        <v>1248.7806882472478</v>
      </c>
      <c r="H75" s="137" t="s">
        <v>345</v>
      </c>
      <c r="I75" s="137" t="s">
        <v>286</v>
      </c>
      <c r="J75" s="137" t="s">
        <v>283</v>
      </c>
      <c r="K75" s="137" t="s">
        <v>289</v>
      </c>
      <c r="L75" s="137" t="s">
        <v>291</v>
      </c>
      <c r="M75" s="137" t="s">
        <v>295</v>
      </c>
      <c r="N75" s="137">
        <v>31181</v>
      </c>
      <c r="O75" s="137" t="s">
        <v>341</v>
      </c>
      <c r="P75" s="137" t="s">
        <v>346</v>
      </c>
      <c r="Q75" s="137" t="s">
        <v>160</v>
      </c>
    </row>
    <row r="76" spans="2:17" s="138" customFormat="1" ht="23.1" customHeight="1" x14ac:dyDescent="0.25">
      <c r="B76" s="137" t="s">
        <v>118</v>
      </c>
      <c r="C76" s="137" t="s">
        <v>590</v>
      </c>
      <c r="D76" s="97">
        <v>5828448.1175722452</v>
      </c>
      <c r="E76" s="98">
        <f t="shared" si="2"/>
        <v>6892677.5278763538</v>
      </c>
      <c r="F76" s="97">
        <v>5828448.1175722452</v>
      </c>
      <c r="G76" s="98">
        <f t="shared" si="3"/>
        <v>6892677.5278763538</v>
      </c>
      <c r="H76" s="137" t="s">
        <v>345</v>
      </c>
      <c r="I76" s="137" t="s">
        <v>285</v>
      </c>
      <c r="J76" s="137" t="s">
        <v>283</v>
      </c>
      <c r="K76" s="137" t="s">
        <v>289</v>
      </c>
      <c r="L76" s="137" t="s">
        <v>291</v>
      </c>
      <c r="M76" s="137" t="s">
        <v>295</v>
      </c>
      <c r="N76" s="137">
        <v>31120</v>
      </c>
      <c r="O76" s="137" t="s">
        <v>341</v>
      </c>
      <c r="P76" s="137" t="s">
        <v>341</v>
      </c>
      <c r="Q76" s="137" t="s">
        <v>160</v>
      </c>
    </row>
    <row r="77" spans="2:17" s="138" customFormat="1" ht="23.1" customHeight="1" x14ac:dyDescent="0.25">
      <c r="B77" s="137" t="s">
        <v>118</v>
      </c>
      <c r="C77" s="137" t="s">
        <v>593</v>
      </c>
      <c r="D77" s="97">
        <v>634937.06455047452</v>
      </c>
      <c r="E77" s="98">
        <f t="shared" si="2"/>
        <v>750871.64681938803</v>
      </c>
      <c r="F77" s="97">
        <v>634937.06455047452</v>
      </c>
      <c r="G77" s="98">
        <f t="shared" si="3"/>
        <v>750871.64681938803</v>
      </c>
      <c r="H77" s="137" t="s">
        <v>345</v>
      </c>
      <c r="I77" s="137" t="s">
        <v>285</v>
      </c>
      <c r="J77" s="137" t="s">
        <v>283</v>
      </c>
      <c r="K77" s="137" t="s">
        <v>289</v>
      </c>
      <c r="L77" s="137" t="s">
        <v>292</v>
      </c>
      <c r="M77" s="137" t="s">
        <v>295</v>
      </c>
      <c r="N77" s="137">
        <v>31120</v>
      </c>
      <c r="O77" s="137" t="s">
        <v>341</v>
      </c>
      <c r="P77" s="137" t="s">
        <v>341</v>
      </c>
      <c r="Q77" s="137" t="s">
        <v>160</v>
      </c>
    </row>
    <row r="78" spans="2:17" s="138" customFormat="1" ht="23.1" customHeight="1" x14ac:dyDescent="0.25">
      <c r="B78" s="137" t="s">
        <v>118</v>
      </c>
      <c r="C78" s="137" t="s">
        <v>183</v>
      </c>
      <c r="D78" s="97">
        <v>94149.852878367703</v>
      </c>
      <c r="E78" s="98">
        <f t="shared" si="2"/>
        <v>111340.88561774799</v>
      </c>
      <c r="F78" s="97">
        <v>94149.852878367703</v>
      </c>
      <c r="G78" s="98">
        <f t="shared" si="3"/>
        <v>111340.88561774799</v>
      </c>
      <c r="H78" s="137" t="s">
        <v>345</v>
      </c>
      <c r="I78" s="137" t="s">
        <v>286</v>
      </c>
      <c r="J78" s="137" t="s">
        <v>283</v>
      </c>
      <c r="K78" s="137" t="s">
        <v>289</v>
      </c>
      <c r="L78" s="137" t="s">
        <v>291</v>
      </c>
      <c r="M78" s="137" t="s">
        <v>304</v>
      </c>
      <c r="N78" s="137">
        <v>16040</v>
      </c>
      <c r="O78" s="137" t="s">
        <v>341</v>
      </c>
      <c r="P78" s="137" t="s">
        <v>346</v>
      </c>
      <c r="Q78" s="137" t="s">
        <v>160</v>
      </c>
    </row>
    <row r="79" spans="2:17" s="138" customFormat="1" ht="23.1" customHeight="1" x14ac:dyDescent="0.25">
      <c r="B79" s="137" t="s">
        <v>118</v>
      </c>
      <c r="C79" s="137" t="s">
        <v>190</v>
      </c>
      <c r="D79" s="97">
        <v>43911.076437445859</v>
      </c>
      <c r="E79" s="98">
        <f t="shared" si="2"/>
        <v>51928.898341350352</v>
      </c>
      <c r="F79" s="97">
        <v>43911.076437445859</v>
      </c>
      <c r="G79" s="98">
        <f t="shared" si="3"/>
        <v>51928.898341350352</v>
      </c>
      <c r="H79" s="137" t="s">
        <v>345</v>
      </c>
      <c r="I79" s="137" t="s">
        <v>286</v>
      </c>
      <c r="J79" s="137" t="s">
        <v>283</v>
      </c>
      <c r="K79" s="137" t="s">
        <v>289</v>
      </c>
      <c r="L79" s="137" t="s">
        <v>291</v>
      </c>
      <c r="M79" s="137" t="s">
        <v>295</v>
      </c>
      <c r="N79" s="137">
        <v>31193</v>
      </c>
      <c r="O79" s="137" t="s">
        <v>341</v>
      </c>
      <c r="P79" s="137" t="s">
        <v>346</v>
      </c>
      <c r="Q79" s="137" t="s">
        <v>160</v>
      </c>
    </row>
    <row r="80" spans="2:17" s="138" customFormat="1" ht="23.1" customHeight="1" x14ac:dyDescent="0.25">
      <c r="B80" s="137" t="s">
        <v>118</v>
      </c>
      <c r="C80" s="137" t="s">
        <v>196</v>
      </c>
      <c r="D80" s="97">
        <v>30053.235021586039</v>
      </c>
      <c r="E80" s="98">
        <f t="shared" si="2"/>
        <v>35540.722589387464</v>
      </c>
      <c r="F80" s="97">
        <v>30053.235021586039</v>
      </c>
      <c r="G80" s="98">
        <f t="shared" si="3"/>
        <v>35540.722589387464</v>
      </c>
      <c r="H80" s="137" t="s">
        <v>345</v>
      </c>
      <c r="I80" s="137" t="s">
        <v>286</v>
      </c>
      <c r="J80" s="137" t="s">
        <v>283</v>
      </c>
      <c r="K80" s="137" t="s">
        <v>289</v>
      </c>
      <c r="L80" s="137" t="s">
        <v>291</v>
      </c>
      <c r="M80" s="137" t="s">
        <v>306</v>
      </c>
      <c r="N80" s="137">
        <v>41040</v>
      </c>
      <c r="O80" s="137" t="s">
        <v>341</v>
      </c>
      <c r="P80" s="137" t="s">
        <v>346</v>
      </c>
      <c r="Q80" s="137" t="s">
        <v>160</v>
      </c>
    </row>
    <row r="81" spans="2:17" s="138" customFormat="1" ht="23.1" customHeight="1" x14ac:dyDescent="0.25">
      <c r="B81" s="137" t="s">
        <v>119</v>
      </c>
      <c r="C81" s="137" t="s">
        <v>577</v>
      </c>
      <c r="D81" s="97">
        <v>1977985.1391023346</v>
      </c>
      <c r="E81" s="98">
        <f t="shared" si="2"/>
        <v>2339149.8806792037</v>
      </c>
      <c r="F81" s="97">
        <v>1977985.1391023346</v>
      </c>
      <c r="G81" s="98">
        <f t="shared" si="3"/>
        <v>2339149.8806792037</v>
      </c>
      <c r="H81" s="137" t="s">
        <v>345</v>
      </c>
      <c r="I81" s="137" t="s">
        <v>285</v>
      </c>
      <c r="J81" s="137" t="s">
        <v>283</v>
      </c>
      <c r="K81" s="137" t="s">
        <v>289</v>
      </c>
      <c r="L81" s="137" t="s">
        <v>291</v>
      </c>
      <c r="M81" s="137" t="s">
        <v>296</v>
      </c>
      <c r="N81" s="137">
        <v>43040</v>
      </c>
      <c r="O81" s="137" t="s">
        <v>341</v>
      </c>
      <c r="P81" s="137" t="s">
        <v>346</v>
      </c>
      <c r="Q81" s="137" t="s">
        <v>160</v>
      </c>
    </row>
    <row r="82" spans="2:17" s="138" customFormat="1" ht="34.5" customHeight="1" x14ac:dyDescent="0.25">
      <c r="B82" s="137" t="s">
        <v>119</v>
      </c>
      <c r="C82" s="137" t="s">
        <v>209</v>
      </c>
      <c r="D82" s="97">
        <v>25714.544934093297</v>
      </c>
      <c r="E82" s="98">
        <f t="shared" si="2"/>
        <v>30409.821350630671</v>
      </c>
      <c r="F82" s="97">
        <v>25714.544934093297</v>
      </c>
      <c r="G82" s="98">
        <f t="shared" si="3"/>
        <v>30409.821350630671</v>
      </c>
      <c r="H82" s="137" t="s">
        <v>345</v>
      </c>
      <c r="I82" s="137" t="s">
        <v>286</v>
      </c>
      <c r="J82" s="137" t="s">
        <v>283</v>
      </c>
      <c r="K82" s="137" t="s">
        <v>289</v>
      </c>
      <c r="L82" s="137" t="s">
        <v>292</v>
      </c>
      <c r="M82" s="137" t="s">
        <v>295</v>
      </c>
      <c r="N82" s="137">
        <v>31120</v>
      </c>
      <c r="O82" s="137" t="s">
        <v>341</v>
      </c>
      <c r="P82" s="137" t="s">
        <v>346</v>
      </c>
      <c r="Q82" s="137" t="s">
        <v>160</v>
      </c>
    </row>
    <row r="83" spans="2:17" s="138" customFormat="1" ht="23.1" customHeight="1" x14ac:dyDescent="0.25">
      <c r="B83" s="137" t="s">
        <v>124</v>
      </c>
      <c r="C83" s="137" t="s">
        <v>171</v>
      </c>
      <c r="D83" s="97">
        <v>81111.844471513672</v>
      </c>
      <c r="E83" s="98">
        <f t="shared" si="2"/>
        <v>95922.238022130638</v>
      </c>
      <c r="F83" s="97">
        <v>81111.844471513672</v>
      </c>
      <c r="G83" s="98">
        <f t="shared" si="3"/>
        <v>95922.238022130638</v>
      </c>
      <c r="H83" s="137" t="s">
        <v>345</v>
      </c>
      <c r="I83" s="137" t="s">
        <v>286</v>
      </c>
      <c r="J83" s="137" t="s">
        <v>283</v>
      </c>
      <c r="K83" s="137" t="s">
        <v>289</v>
      </c>
      <c r="L83" s="137" t="s">
        <v>291</v>
      </c>
      <c r="M83" s="137" t="s">
        <v>301</v>
      </c>
      <c r="N83" s="137">
        <v>11220</v>
      </c>
      <c r="O83" s="137" t="s">
        <v>341</v>
      </c>
      <c r="P83" s="137" t="s">
        <v>346</v>
      </c>
      <c r="Q83" s="137" t="s">
        <v>160</v>
      </c>
    </row>
    <row r="84" spans="2:17" s="138" customFormat="1" ht="23.1" customHeight="1" x14ac:dyDescent="0.25">
      <c r="B84" s="137" t="s">
        <v>124</v>
      </c>
      <c r="C84" s="137" t="s">
        <v>172</v>
      </c>
      <c r="D84" s="97">
        <v>11832.816586909334</v>
      </c>
      <c r="E84" s="98">
        <f t="shared" si="2"/>
        <v>13993.397098994008</v>
      </c>
      <c r="F84" s="97">
        <v>11832.816586909334</v>
      </c>
      <c r="G84" s="98">
        <f t="shared" si="3"/>
        <v>13993.397098994008</v>
      </c>
      <c r="H84" s="137" t="s">
        <v>345</v>
      </c>
      <c r="I84" s="137" t="s">
        <v>286</v>
      </c>
      <c r="J84" s="137" t="s">
        <v>283</v>
      </c>
      <c r="K84" s="137" t="s">
        <v>289</v>
      </c>
      <c r="L84" s="137" t="s">
        <v>291</v>
      </c>
      <c r="M84" s="137" t="s">
        <v>301</v>
      </c>
      <c r="N84" s="137">
        <v>11230</v>
      </c>
      <c r="O84" s="137" t="s">
        <v>341</v>
      </c>
      <c r="P84" s="137" t="s">
        <v>346</v>
      </c>
      <c r="Q84" s="137" t="s">
        <v>160</v>
      </c>
    </row>
    <row r="85" spans="2:17" s="138" customFormat="1" ht="23.1" customHeight="1" x14ac:dyDescent="0.25">
      <c r="B85" s="137" t="s">
        <v>124</v>
      </c>
      <c r="C85" s="137" t="s">
        <v>184</v>
      </c>
      <c r="D85" s="97">
        <v>25934.069863444609</v>
      </c>
      <c r="E85" s="98">
        <f t="shared" si="2"/>
        <v>30669.429829049914</v>
      </c>
      <c r="F85" s="97">
        <v>25934.069863444609</v>
      </c>
      <c r="G85" s="98">
        <f t="shared" si="3"/>
        <v>30669.429829049914</v>
      </c>
      <c r="H85" s="137" t="s">
        <v>345</v>
      </c>
      <c r="I85" s="137" t="s">
        <v>286</v>
      </c>
      <c r="J85" s="137" t="s">
        <v>283</v>
      </c>
      <c r="K85" s="137" t="s">
        <v>289</v>
      </c>
      <c r="L85" s="137" t="s">
        <v>291</v>
      </c>
      <c r="M85" s="137" t="s">
        <v>305</v>
      </c>
      <c r="N85" s="137">
        <v>24040</v>
      </c>
      <c r="O85" s="137" t="s">
        <v>341</v>
      </c>
      <c r="P85" s="137" t="s">
        <v>346</v>
      </c>
      <c r="Q85" s="137" t="s">
        <v>160</v>
      </c>
    </row>
    <row r="86" spans="2:17" s="138" customFormat="1" ht="23.1" customHeight="1" x14ac:dyDescent="0.25">
      <c r="B86" s="137" t="s">
        <v>124</v>
      </c>
      <c r="C86" s="137" t="s">
        <v>204</v>
      </c>
      <c r="D86" s="97">
        <v>24017.28367102861</v>
      </c>
      <c r="E86" s="98">
        <f t="shared" si="2"/>
        <v>28402.65334795247</v>
      </c>
      <c r="F86" s="97">
        <v>24017.28367102861</v>
      </c>
      <c r="G86" s="98">
        <f t="shared" si="3"/>
        <v>28402.65334795247</v>
      </c>
      <c r="H86" s="137" t="s">
        <v>345</v>
      </c>
      <c r="I86" s="137" t="s">
        <v>286</v>
      </c>
      <c r="J86" s="137" t="s">
        <v>283</v>
      </c>
      <c r="K86" s="137" t="s">
        <v>289</v>
      </c>
      <c r="L86" s="137" t="s">
        <v>292</v>
      </c>
      <c r="M86" s="137" t="s">
        <v>302</v>
      </c>
      <c r="N86" s="137">
        <v>11330</v>
      </c>
      <c r="O86" s="137" t="s">
        <v>341</v>
      </c>
      <c r="P86" s="137" t="s">
        <v>346</v>
      </c>
      <c r="Q86" s="137" t="s">
        <v>160</v>
      </c>
    </row>
    <row r="87" spans="2:17" s="138" customFormat="1" ht="23.1" customHeight="1" x14ac:dyDescent="0.25">
      <c r="B87" s="137" t="s">
        <v>124</v>
      </c>
      <c r="C87" s="137" t="s">
        <v>220</v>
      </c>
      <c r="D87" s="97">
        <v>14221.580808933682</v>
      </c>
      <c r="E87" s="98">
        <f t="shared" si="2"/>
        <v>16818.331136392717</v>
      </c>
      <c r="F87" s="97">
        <v>14221.580808933682</v>
      </c>
      <c r="G87" s="98">
        <f t="shared" si="3"/>
        <v>16818.331136392717</v>
      </c>
      <c r="H87" s="137" t="s">
        <v>345</v>
      </c>
      <c r="I87" s="137" t="s">
        <v>286</v>
      </c>
      <c r="J87" s="137" t="s">
        <v>283</v>
      </c>
      <c r="K87" s="137" t="s">
        <v>289</v>
      </c>
      <c r="L87" s="137" t="s">
        <v>292</v>
      </c>
      <c r="M87" s="137" t="s">
        <v>295</v>
      </c>
      <c r="N87" s="137">
        <v>31181</v>
      </c>
      <c r="O87" s="137" t="s">
        <v>341</v>
      </c>
      <c r="P87" s="137" t="s">
        <v>346</v>
      </c>
      <c r="Q87" s="137" t="s">
        <v>160</v>
      </c>
    </row>
    <row r="88" spans="2:17" s="138" customFormat="1" ht="23.1" customHeight="1" x14ac:dyDescent="0.25">
      <c r="B88" s="137" t="s">
        <v>124</v>
      </c>
      <c r="C88" s="137" t="s">
        <v>218</v>
      </c>
      <c r="D88" s="97">
        <v>97702.165447755498</v>
      </c>
      <c r="E88" s="98">
        <f t="shared" si="2"/>
        <v>115541.82290415739</v>
      </c>
      <c r="F88" s="97">
        <v>97702.165447755498</v>
      </c>
      <c r="G88" s="98">
        <f t="shared" si="3"/>
        <v>115541.82290415739</v>
      </c>
      <c r="H88" s="137" t="s">
        <v>345</v>
      </c>
      <c r="I88" s="137" t="s">
        <v>286</v>
      </c>
      <c r="J88" s="137" t="s">
        <v>283</v>
      </c>
      <c r="K88" s="137" t="s">
        <v>289</v>
      </c>
      <c r="L88" s="137" t="s">
        <v>292</v>
      </c>
      <c r="M88" s="137" t="s">
        <v>295</v>
      </c>
      <c r="N88" s="137">
        <v>31181</v>
      </c>
      <c r="O88" s="137" t="s">
        <v>341</v>
      </c>
      <c r="P88" s="137" t="s">
        <v>346</v>
      </c>
      <c r="Q88" s="137" t="s">
        <v>160</v>
      </c>
    </row>
    <row r="89" spans="2:17" s="138" customFormat="1" ht="23.1" customHeight="1" x14ac:dyDescent="0.25">
      <c r="B89" s="137" t="s">
        <v>149</v>
      </c>
      <c r="C89" s="137" t="s">
        <v>223</v>
      </c>
      <c r="D89" s="97">
        <v>7460.0019706608709</v>
      </c>
      <c r="E89" s="98">
        <f t="shared" si="2"/>
        <v>8822.140457262145</v>
      </c>
      <c r="F89" s="97">
        <v>7460.0019706608709</v>
      </c>
      <c r="G89" s="98">
        <f t="shared" si="3"/>
        <v>8822.140457262145</v>
      </c>
      <c r="H89" s="137" t="s">
        <v>345</v>
      </c>
      <c r="I89" s="137" t="s">
        <v>286</v>
      </c>
      <c r="J89" s="137" t="s">
        <v>283</v>
      </c>
      <c r="K89" s="137" t="s">
        <v>289</v>
      </c>
      <c r="L89" s="137" t="s">
        <v>292</v>
      </c>
      <c r="M89" s="137" t="s">
        <v>296</v>
      </c>
      <c r="N89" s="137">
        <v>43072</v>
      </c>
      <c r="O89" s="137" t="s">
        <v>341</v>
      </c>
      <c r="P89" s="137" t="s">
        <v>346</v>
      </c>
      <c r="Q89" s="137" t="s">
        <v>160</v>
      </c>
    </row>
    <row r="90" spans="2:17" s="138" customFormat="1" ht="23.1" customHeight="1" x14ac:dyDescent="0.25">
      <c r="B90" s="137" t="s">
        <v>121</v>
      </c>
      <c r="C90" s="137" t="s">
        <v>169</v>
      </c>
      <c r="D90" s="97">
        <v>1000000</v>
      </c>
      <c r="E90" s="98">
        <f t="shared" si="2"/>
        <v>1182592.2421948912</v>
      </c>
      <c r="F90" s="97">
        <v>1000000</v>
      </c>
      <c r="G90" s="98">
        <f t="shared" si="3"/>
        <v>1182592.2421948912</v>
      </c>
      <c r="H90" s="137" t="s">
        <v>345</v>
      </c>
      <c r="I90" s="137" t="s">
        <v>285</v>
      </c>
      <c r="J90" s="137" t="s">
        <v>283</v>
      </c>
      <c r="K90" s="137" t="s">
        <v>289</v>
      </c>
      <c r="L90" s="137" t="s">
        <v>291</v>
      </c>
      <c r="M90" s="137" t="s">
        <v>297</v>
      </c>
      <c r="N90" s="137">
        <v>52010</v>
      </c>
      <c r="O90" s="137" t="s">
        <v>340</v>
      </c>
      <c r="P90" s="137" t="s">
        <v>340</v>
      </c>
      <c r="Q90" s="137" t="s">
        <v>160</v>
      </c>
    </row>
    <row r="91" spans="2:17" s="138" customFormat="1" ht="23.1" customHeight="1" x14ac:dyDescent="0.25">
      <c r="B91" s="137" t="s">
        <v>121</v>
      </c>
      <c r="C91" s="137" t="s">
        <v>190</v>
      </c>
      <c r="D91" s="97">
        <v>59853.4283537261</v>
      </c>
      <c r="E91" s="98">
        <f t="shared" si="2"/>
        <v>70782.200039884221</v>
      </c>
      <c r="F91" s="97">
        <v>59853.4283537261</v>
      </c>
      <c r="G91" s="98">
        <f t="shared" si="3"/>
        <v>70782.200039884221</v>
      </c>
      <c r="H91" s="137" t="s">
        <v>345</v>
      </c>
      <c r="I91" s="137" t="s">
        <v>286</v>
      </c>
      <c r="J91" s="137" t="s">
        <v>283</v>
      </c>
      <c r="K91" s="137" t="s">
        <v>289</v>
      </c>
      <c r="L91" s="137" t="s">
        <v>291</v>
      </c>
      <c r="M91" s="137" t="s">
        <v>295</v>
      </c>
      <c r="N91" s="137">
        <v>31193</v>
      </c>
      <c r="O91" s="137" t="s">
        <v>341</v>
      </c>
      <c r="P91" s="137" t="s">
        <v>346</v>
      </c>
      <c r="Q91" s="137" t="s">
        <v>160</v>
      </c>
    </row>
    <row r="92" spans="2:17" s="138" customFormat="1" ht="23.1" customHeight="1" x14ac:dyDescent="0.25">
      <c r="B92" s="137" t="s">
        <v>121</v>
      </c>
      <c r="C92" s="137" t="s">
        <v>197</v>
      </c>
      <c r="D92" s="97">
        <v>26193.998998145813</v>
      </c>
      <c r="E92" s="98">
        <f t="shared" si="2"/>
        <v>30976.82000726799</v>
      </c>
      <c r="F92" s="97">
        <v>26193.998998145813</v>
      </c>
      <c r="G92" s="98">
        <f t="shared" si="3"/>
        <v>30976.82000726799</v>
      </c>
      <c r="H92" s="137" t="s">
        <v>345</v>
      </c>
      <c r="I92" s="137" t="s">
        <v>286</v>
      </c>
      <c r="J92" s="137" t="s">
        <v>283</v>
      </c>
      <c r="K92" s="137" t="s">
        <v>289</v>
      </c>
      <c r="L92" s="137" t="s">
        <v>291</v>
      </c>
      <c r="M92" s="137" t="s">
        <v>306</v>
      </c>
      <c r="N92" s="137">
        <v>41040</v>
      </c>
      <c r="O92" s="137" t="s">
        <v>341</v>
      </c>
      <c r="P92" s="137" t="s">
        <v>346</v>
      </c>
      <c r="Q92" s="137" t="s">
        <v>160</v>
      </c>
    </row>
    <row r="93" spans="2:17" s="138" customFormat="1" ht="23.1" customHeight="1" x14ac:dyDescent="0.25">
      <c r="B93" s="137" t="s">
        <v>121</v>
      </c>
      <c r="C93" s="137" t="s">
        <v>200</v>
      </c>
      <c r="D93" s="97">
        <v>43418.933035807946</v>
      </c>
      <c r="E93" s="98">
        <f t="shared" si="2"/>
        <v>51346.893372525949</v>
      </c>
      <c r="F93" s="97">
        <v>43418.933035807946</v>
      </c>
      <c r="G93" s="98">
        <f t="shared" si="3"/>
        <v>51346.893372525949</v>
      </c>
      <c r="H93" s="137" t="s">
        <v>345</v>
      </c>
      <c r="I93" s="137" t="s">
        <v>286</v>
      </c>
      <c r="J93" s="137" t="s">
        <v>283</v>
      </c>
      <c r="K93" s="137" t="s">
        <v>289</v>
      </c>
      <c r="L93" s="137" t="s">
        <v>291</v>
      </c>
      <c r="M93" s="137" t="s">
        <v>296</v>
      </c>
      <c r="N93" s="137">
        <v>43073</v>
      </c>
      <c r="O93" s="137" t="s">
        <v>341</v>
      </c>
      <c r="P93" s="137" t="s">
        <v>346</v>
      </c>
      <c r="Q93" s="137" t="s">
        <v>160</v>
      </c>
    </row>
    <row r="94" spans="2:17" s="138" customFormat="1" ht="23.1" customHeight="1" x14ac:dyDescent="0.25">
      <c r="B94" s="137" t="s">
        <v>121</v>
      </c>
      <c r="C94" s="137" t="s">
        <v>210</v>
      </c>
      <c r="D94" s="97">
        <v>164900.95437000273</v>
      </c>
      <c r="E94" s="98">
        <f t="shared" si="2"/>
        <v>195010.58936849894</v>
      </c>
      <c r="F94" s="97">
        <v>164900.95437000273</v>
      </c>
      <c r="G94" s="98">
        <f t="shared" si="3"/>
        <v>195010.58936849894</v>
      </c>
      <c r="H94" s="137" t="s">
        <v>345</v>
      </c>
      <c r="I94" s="137" t="s">
        <v>286</v>
      </c>
      <c r="J94" s="137" t="s">
        <v>283</v>
      </c>
      <c r="K94" s="137" t="s">
        <v>289</v>
      </c>
      <c r="L94" s="137" t="s">
        <v>292</v>
      </c>
      <c r="M94" s="137" t="s">
        <v>295</v>
      </c>
      <c r="N94" s="137">
        <v>31120</v>
      </c>
      <c r="O94" s="137" t="s">
        <v>341</v>
      </c>
      <c r="P94" s="137" t="s">
        <v>346</v>
      </c>
      <c r="Q94" s="137" t="s">
        <v>160</v>
      </c>
    </row>
    <row r="95" spans="2:17" s="138" customFormat="1" ht="23.1" customHeight="1" x14ac:dyDescent="0.25">
      <c r="B95" s="137" t="s">
        <v>121</v>
      </c>
      <c r="C95" s="137" t="s">
        <v>221</v>
      </c>
      <c r="D95" s="97">
        <v>31987.984824063849</v>
      </c>
      <c r="E95" s="98">
        <f t="shared" si="2"/>
        <v>37828.742696385816</v>
      </c>
      <c r="F95" s="97">
        <v>31987.984824063849</v>
      </c>
      <c r="G95" s="98">
        <f t="shared" si="3"/>
        <v>37828.742696385816</v>
      </c>
      <c r="H95" s="137" t="s">
        <v>345</v>
      </c>
      <c r="I95" s="137" t="s">
        <v>286</v>
      </c>
      <c r="J95" s="137" t="s">
        <v>283</v>
      </c>
      <c r="K95" s="137" t="s">
        <v>289</v>
      </c>
      <c r="L95" s="137" t="s">
        <v>292</v>
      </c>
      <c r="M95" s="137" t="s">
        <v>295</v>
      </c>
      <c r="N95" s="137">
        <v>31194</v>
      </c>
      <c r="O95" s="137" t="s">
        <v>341</v>
      </c>
      <c r="P95" s="137" t="s">
        <v>346</v>
      </c>
      <c r="Q95" s="137" t="s">
        <v>160</v>
      </c>
    </row>
    <row r="96" spans="2:17" s="138" customFormat="1" ht="23.1" customHeight="1" x14ac:dyDescent="0.25">
      <c r="B96" s="137" t="s">
        <v>125</v>
      </c>
      <c r="C96" s="137" t="s">
        <v>173</v>
      </c>
      <c r="D96" s="97">
        <v>41467.53576796969</v>
      </c>
      <c r="E96" s="98">
        <f t="shared" si="2"/>
        <v>49039.18610214012</v>
      </c>
      <c r="F96" s="97">
        <v>41467.53576796969</v>
      </c>
      <c r="G96" s="98">
        <f t="shared" si="3"/>
        <v>49039.18610214012</v>
      </c>
      <c r="H96" s="137" t="s">
        <v>345</v>
      </c>
      <c r="I96" s="137" t="s">
        <v>286</v>
      </c>
      <c r="J96" s="137" t="s">
        <v>283</v>
      </c>
      <c r="K96" s="137" t="s">
        <v>289</v>
      </c>
      <c r="L96" s="137" t="s">
        <v>291</v>
      </c>
      <c r="M96" s="137" t="s">
        <v>302</v>
      </c>
      <c r="N96" s="137">
        <v>11330</v>
      </c>
      <c r="O96" s="137" t="s">
        <v>341</v>
      </c>
      <c r="P96" s="137" t="s">
        <v>346</v>
      </c>
      <c r="Q96" s="137" t="s">
        <v>160</v>
      </c>
    </row>
    <row r="97" spans="2:17" s="138" customFormat="1" ht="23.1" customHeight="1" x14ac:dyDescent="0.25">
      <c r="B97" s="137" t="s">
        <v>125</v>
      </c>
      <c r="C97" s="137" t="s">
        <v>221</v>
      </c>
      <c r="D97" s="97">
        <v>13463.514589385224</v>
      </c>
      <c r="E97" s="98">
        <f t="shared" si="2"/>
        <v>15921.8479060847</v>
      </c>
      <c r="F97" s="97">
        <v>13463.514589385224</v>
      </c>
      <c r="G97" s="98">
        <f t="shared" si="3"/>
        <v>15921.8479060847</v>
      </c>
      <c r="H97" s="137" t="s">
        <v>345</v>
      </c>
      <c r="I97" s="137" t="s">
        <v>286</v>
      </c>
      <c r="J97" s="137" t="s">
        <v>283</v>
      </c>
      <c r="K97" s="137" t="s">
        <v>289</v>
      </c>
      <c r="L97" s="137" t="s">
        <v>292</v>
      </c>
      <c r="M97" s="137" t="s">
        <v>295</v>
      </c>
      <c r="N97" s="137">
        <v>31194</v>
      </c>
      <c r="O97" s="137" t="s">
        <v>341</v>
      </c>
      <c r="P97" s="137" t="s">
        <v>346</v>
      </c>
      <c r="Q97" s="137" t="s">
        <v>160</v>
      </c>
    </row>
    <row r="98" spans="2:17" s="138" customFormat="1" ht="23.1" customHeight="1" x14ac:dyDescent="0.25">
      <c r="B98" s="137" t="s">
        <v>139</v>
      </c>
      <c r="C98" s="137" t="s">
        <v>192</v>
      </c>
      <c r="D98" s="97">
        <v>48947.600365529113</v>
      </c>
      <c r="E98" s="98">
        <f t="shared" si="2"/>
        <v>57885.052466330548</v>
      </c>
      <c r="F98" s="97">
        <v>48947.600365529113</v>
      </c>
      <c r="G98" s="98">
        <f t="shared" si="3"/>
        <v>57885.052466330548</v>
      </c>
      <c r="H98" s="137" t="s">
        <v>345</v>
      </c>
      <c r="I98" s="137" t="s">
        <v>286</v>
      </c>
      <c r="J98" s="137" t="s">
        <v>283</v>
      </c>
      <c r="K98" s="137" t="s">
        <v>289</v>
      </c>
      <c r="L98" s="137" t="s">
        <v>291</v>
      </c>
      <c r="M98" s="137" t="s">
        <v>295</v>
      </c>
      <c r="N98" s="137">
        <v>31194</v>
      </c>
      <c r="O98" s="137" t="s">
        <v>341</v>
      </c>
      <c r="P98" s="137" t="s">
        <v>346</v>
      </c>
      <c r="Q98" s="137" t="s">
        <v>160</v>
      </c>
    </row>
    <row r="99" spans="2:17" s="138" customFormat="1" ht="23.1" customHeight="1" x14ac:dyDescent="0.25">
      <c r="B99" s="137" t="s">
        <v>139</v>
      </c>
      <c r="C99" s="137" t="s">
        <v>212</v>
      </c>
      <c r="D99" s="97">
        <v>311209.31387354911</v>
      </c>
      <c r="E99" s="98">
        <f t="shared" si="2"/>
        <v>368033.72028565407</v>
      </c>
      <c r="F99" s="97">
        <v>311209.31387354911</v>
      </c>
      <c r="G99" s="98">
        <f t="shared" si="3"/>
        <v>368033.72028565407</v>
      </c>
      <c r="H99" s="137" t="s">
        <v>345</v>
      </c>
      <c r="I99" s="137" t="s">
        <v>286</v>
      </c>
      <c r="J99" s="137" t="s">
        <v>283</v>
      </c>
      <c r="K99" s="137" t="s">
        <v>289</v>
      </c>
      <c r="L99" s="137" t="s">
        <v>292</v>
      </c>
      <c r="M99" s="137" t="s">
        <v>295</v>
      </c>
      <c r="N99" s="137">
        <v>31161</v>
      </c>
      <c r="O99" s="137" t="s">
        <v>341</v>
      </c>
      <c r="P99" s="137" t="s">
        <v>341</v>
      </c>
      <c r="Q99" s="137" t="s">
        <v>160</v>
      </c>
    </row>
    <row r="100" spans="2:17" s="138" customFormat="1" ht="23.1" customHeight="1" x14ac:dyDescent="0.25">
      <c r="B100" s="137" t="s">
        <v>143</v>
      </c>
      <c r="C100" s="137" t="s">
        <v>211</v>
      </c>
      <c r="D100" s="97">
        <v>48167.557836786145</v>
      </c>
      <c r="E100" s="98">
        <f t="shared" si="2"/>
        <v>56962.580223257028</v>
      </c>
      <c r="F100" s="97">
        <v>48167.557836786145</v>
      </c>
      <c r="G100" s="98">
        <f t="shared" si="3"/>
        <v>56962.580223257028</v>
      </c>
      <c r="H100" s="137" t="s">
        <v>345</v>
      </c>
      <c r="I100" s="137" t="s">
        <v>286</v>
      </c>
      <c r="J100" s="137" t="s">
        <v>283</v>
      </c>
      <c r="K100" s="137" t="s">
        <v>289</v>
      </c>
      <c r="L100" s="137" t="s">
        <v>292</v>
      </c>
      <c r="M100" s="137" t="s">
        <v>295</v>
      </c>
      <c r="N100" s="137">
        <v>31161</v>
      </c>
      <c r="O100" s="137" t="s">
        <v>341</v>
      </c>
      <c r="P100" s="137" t="s">
        <v>341</v>
      </c>
      <c r="Q100" s="137" t="s">
        <v>160</v>
      </c>
    </row>
    <row r="101" spans="2:17" s="138" customFormat="1" ht="23.1" customHeight="1" x14ac:dyDescent="0.25">
      <c r="B101" s="137" t="s">
        <v>135</v>
      </c>
      <c r="C101" s="137" t="s">
        <v>188</v>
      </c>
      <c r="D101" s="97">
        <v>3935.5459785841317</v>
      </c>
      <c r="E101" s="98">
        <f t="shared" si="2"/>
        <v>4654.146143074895</v>
      </c>
      <c r="F101" s="97">
        <v>3935.5459785841317</v>
      </c>
      <c r="G101" s="98">
        <f t="shared" si="3"/>
        <v>4654.146143074895</v>
      </c>
      <c r="H101" s="137" t="s">
        <v>345</v>
      </c>
      <c r="I101" s="137" t="s">
        <v>286</v>
      </c>
      <c r="J101" s="137" t="s">
        <v>283</v>
      </c>
      <c r="K101" s="137" t="s">
        <v>289</v>
      </c>
      <c r="L101" s="137" t="s">
        <v>291</v>
      </c>
      <c r="M101" s="137" t="s">
        <v>295</v>
      </c>
      <c r="N101" s="137">
        <v>31166</v>
      </c>
      <c r="O101" s="137" t="s">
        <v>341</v>
      </c>
      <c r="P101" s="137" t="s">
        <v>341</v>
      </c>
      <c r="Q101" s="137" t="s">
        <v>160</v>
      </c>
    </row>
    <row r="102" spans="2:17" s="138" customFormat="1" ht="23.1" customHeight="1" x14ac:dyDescent="0.25">
      <c r="B102" s="137" t="s">
        <v>135</v>
      </c>
      <c r="C102" s="137" t="s">
        <v>189</v>
      </c>
      <c r="D102" s="97">
        <v>4295.7296547524993</v>
      </c>
      <c r="E102" s="98">
        <f t="shared" si="2"/>
        <v>5080.0965642768433</v>
      </c>
      <c r="F102" s="97">
        <v>4295.7296547524993</v>
      </c>
      <c r="G102" s="98">
        <f t="shared" si="3"/>
        <v>5080.0965642768433</v>
      </c>
      <c r="H102" s="137" t="s">
        <v>345</v>
      </c>
      <c r="I102" s="137" t="s">
        <v>286</v>
      </c>
      <c r="J102" s="137" t="s">
        <v>283</v>
      </c>
      <c r="K102" s="137" t="s">
        <v>289</v>
      </c>
      <c r="L102" s="137" t="s">
        <v>291</v>
      </c>
      <c r="M102" s="137" t="s">
        <v>295</v>
      </c>
      <c r="N102" s="137">
        <v>31181</v>
      </c>
      <c r="O102" s="137" t="s">
        <v>341</v>
      </c>
      <c r="P102" s="137" t="s">
        <v>346</v>
      </c>
      <c r="Q102" s="137" t="s">
        <v>160</v>
      </c>
    </row>
    <row r="103" spans="2:17" s="138" customFormat="1" ht="36.75" customHeight="1" x14ac:dyDescent="0.25">
      <c r="B103" s="137" t="s">
        <v>120</v>
      </c>
      <c r="C103" s="137" t="s">
        <v>602</v>
      </c>
      <c r="D103" s="97">
        <v>13875.647908548421</v>
      </c>
      <c r="E103" s="98">
        <f t="shared" si="2"/>
        <v>16409.23357207713</v>
      </c>
      <c r="F103" s="97">
        <v>13875.647908548421</v>
      </c>
      <c r="G103" s="98">
        <f t="shared" si="3"/>
        <v>16409.23357207713</v>
      </c>
      <c r="H103" s="137" t="s">
        <v>345</v>
      </c>
      <c r="I103" s="137" t="s">
        <v>285</v>
      </c>
      <c r="J103" s="137" t="s">
        <v>283</v>
      </c>
      <c r="K103" s="137" t="s">
        <v>289</v>
      </c>
      <c r="L103" s="137" t="s">
        <v>291</v>
      </c>
      <c r="M103" s="137" t="s">
        <v>296</v>
      </c>
      <c r="N103" s="137">
        <v>43040</v>
      </c>
      <c r="O103" s="137" t="s">
        <v>341</v>
      </c>
      <c r="P103" s="137" t="s">
        <v>346</v>
      </c>
      <c r="Q103" s="137" t="s">
        <v>160</v>
      </c>
    </row>
    <row r="104" spans="2:17" s="138" customFormat="1" ht="23.1" customHeight="1" x14ac:dyDescent="0.25">
      <c r="B104" s="137" t="s">
        <v>136</v>
      </c>
      <c r="C104" s="137" t="s">
        <v>188</v>
      </c>
      <c r="D104" s="97">
        <v>5264.8676687859925</v>
      </c>
      <c r="E104" s="98">
        <f t="shared" si="2"/>
        <v>6226.1916612890163</v>
      </c>
      <c r="F104" s="97">
        <v>5264.8676687859925</v>
      </c>
      <c r="G104" s="98">
        <f t="shared" si="3"/>
        <v>6226.1916612890163</v>
      </c>
      <c r="H104" s="137" t="s">
        <v>345</v>
      </c>
      <c r="I104" s="137" t="s">
        <v>286</v>
      </c>
      <c r="J104" s="137" t="s">
        <v>283</v>
      </c>
      <c r="K104" s="137" t="s">
        <v>289</v>
      </c>
      <c r="L104" s="137" t="s">
        <v>291</v>
      </c>
      <c r="M104" s="137" t="s">
        <v>295</v>
      </c>
      <c r="N104" s="137">
        <v>31166</v>
      </c>
      <c r="O104" s="137" t="s">
        <v>341</v>
      </c>
      <c r="P104" s="137" t="s">
        <v>341</v>
      </c>
      <c r="Q104" s="137" t="s">
        <v>160</v>
      </c>
    </row>
    <row r="105" spans="2:17" s="138" customFormat="1" ht="23.1" customHeight="1" x14ac:dyDescent="0.25">
      <c r="B105" s="137" t="s">
        <v>136</v>
      </c>
      <c r="C105" s="137" t="s">
        <v>189</v>
      </c>
      <c r="D105" s="97">
        <v>4525.352966793027</v>
      </c>
      <c r="E105" s="98">
        <f t="shared" si="2"/>
        <v>5351.647311723068</v>
      </c>
      <c r="F105" s="97">
        <v>4525.352966793027</v>
      </c>
      <c r="G105" s="98">
        <f t="shared" si="3"/>
        <v>5351.647311723068</v>
      </c>
      <c r="H105" s="137" t="s">
        <v>345</v>
      </c>
      <c r="I105" s="137" t="s">
        <v>286</v>
      </c>
      <c r="J105" s="137" t="s">
        <v>283</v>
      </c>
      <c r="K105" s="137" t="s">
        <v>289</v>
      </c>
      <c r="L105" s="137" t="s">
        <v>291</v>
      </c>
      <c r="M105" s="137" t="s">
        <v>295</v>
      </c>
      <c r="N105" s="137">
        <v>31181</v>
      </c>
      <c r="O105" s="137" t="s">
        <v>341</v>
      </c>
      <c r="P105" s="137" t="s">
        <v>346</v>
      </c>
      <c r="Q105" s="137" t="s">
        <v>160</v>
      </c>
    </row>
    <row r="106" spans="2:17" s="138" customFormat="1" ht="23.1" customHeight="1" x14ac:dyDescent="0.25">
      <c r="B106" s="137" t="s">
        <v>152</v>
      </c>
      <c r="C106" s="137" t="s">
        <v>230</v>
      </c>
      <c r="D106" s="97">
        <v>384660</v>
      </c>
      <c r="E106" s="98">
        <f>D106*(1/$C$4)</f>
        <v>454895.9318826868</v>
      </c>
      <c r="F106" s="97">
        <v>384660</v>
      </c>
      <c r="G106" s="98">
        <f>F106*(1/$C$4)</f>
        <v>454895.9318826868</v>
      </c>
      <c r="H106" s="137" t="s">
        <v>344</v>
      </c>
      <c r="I106" s="137" t="s">
        <v>288</v>
      </c>
      <c r="J106" s="137" t="s">
        <v>283</v>
      </c>
      <c r="K106" s="137" t="s">
        <v>289</v>
      </c>
      <c r="L106" s="137" t="s">
        <v>291</v>
      </c>
      <c r="M106" s="137" t="s">
        <v>295</v>
      </c>
      <c r="N106" s="137">
        <v>31193</v>
      </c>
      <c r="O106" s="137" t="s">
        <v>341</v>
      </c>
      <c r="P106" s="137" t="s">
        <v>346</v>
      </c>
      <c r="Q106" s="137" t="s">
        <v>160</v>
      </c>
    </row>
    <row r="107" spans="2:17" s="138" customFormat="1" ht="23.1" customHeight="1" x14ac:dyDescent="0.25">
      <c r="B107" s="137" t="s">
        <v>152</v>
      </c>
      <c r="C107" s="137" t="s">
        <v>231</v>
      </c>
      <c r="D107" s="97">
        <v>25491.179736470145</v>
      </c>
      <c r="E107" s="98">
        <f t="shared" ref="E107:E170" si="4">D107*(1/$C$4)</f>
        <v>30145.671400745203</v>
      </c>
      <c r="F107" s="97">
        <v>25491.179736470145</v>
      </c>
      <c r="G107" s="98">
        <f t="shared" ref="G107:G170" si="5">F107*(1/$C$4)</f>
        <v>30145.671400745203</v>
      </c>
      <c r="H107" s="137" t="s">
        <v>344</v>
      </c>
      <c r="I107" s="137" t="s">
        <v>288</v>
      </c>
      <c r="J107" s="137" t="s">
        <v>283</v>
      </c>
      <c r="K107" s="137" t="s">
        <v>289</v>
      </c>
      <c r="L107" s="137" t="s">
        <v>291</v>
      </c>
      <c r="M107" s="137" t="s">
        <v>296</v>
      </c>
      <c r="N107" s="137">
        <v>43050</v>
      </c>
      <c r="O107" s="137" t="s">
        <v>341</v>
      </c>
      <c r="P107" s="137" t="s">
        <v>346</v>
      </c>
      <c r="Q107" s="137" t="s">
        <v>160</v>
      </c>
    </row>
    <row r="108" spans="2:17" s="138" customFormat="1" ht="23.1" customHeight="1" x14ac:dyDescent="0.25">
      <c r="B108" s="137" t="s">
        <v>152</v>
      </c>
      <c r="C108" s="137" t="s">
        <v>232</v>
      </c>
      <c r="D108" s="97">
        <v>27895.155151681756</v>
      </c>
      <c r="E108" s="98">
        <f t="shared" si="4"/>
        <v>32988.594077201698</v>
      </c>
      <c r="F108" s="97">
        <v>27895.155151681756</v>
      </c>
      <c r="G108" s="98">
        <f t="shared" si="5"/>
        <v>32988.594077201698</v>
      </c>
      <c r="H108" s="137" t="s">
        <v>344</v>
      </c>
      <c r="I108" s="137" t="s">
        <v>288</v>
      </c>
      <c r="J108" s="137" t="s">
        <v>283</v>
      </c>
      <c r="K108" s="137" t="s">
        <v>289</v>
      </c>
      <c r="L108" s="137" t="s">
        <v>292</v>
      </c>
      <c r="M108" s="137" t="s">
        <v>295</v>
      </c>
      <c r="N108" s="137">
        <v>31194</v>
      </c>
      <c r="O108" s="137" t="s">
        <v>341</v>
      </c>
      <c r="P108" s="137" t="s">
        <v>346</v>
      </c>
      <c r="Q108" s="137" t="s">
        <v>160</v>
      </c>
    </row>
    <row r="109" spans="2:17" s="138" customFormat="1" ht="23.1" customHeight="1" x14ac:dyDescent="0.25">
      <c r="B109" s="137" t="s">
        <v>128</v>
      </c>
      <c r="C109" s="137" t="s">
        <v>179</v>
      </c>
      <c r="D109" s="97">
        <v>64219.584810903129</v>
      </c>
      <c r="E109" s="98">
        <f t="shared" si="4"/>
        <v>75945.582794350907</v>
      </c>
      <c r="F109" s="97">
        <v>64219.584810903129</v>
      </c>
      <c r="G109" s="98">
        <f t="shared" si="5"/>
        <v>75945.582794350907</v>
      </c>
      <c r="H109" s="137" t="s">
        <v>344</v>
      </c>
      <c r="I109" s="137" t="s">
        <v>286</v>
      </c>
      <c r="J109" s="137" t="s">
        <v>283</v>
      </c>
      <c r="K109" s="137" t="s">
        <v>289</v>
      </c>
      <c r="L109" s="137" t="s">
        <v>291</v>
      </c>
      <c r="M109" s="137" t="s">
        <v>303</v>
      </c>
      <c r="N109" s="137">
        <v>15150</v>
      </c>
      <c r="O109" s="137" t="s">
        <v>341</v>
      </c>
      <c r="P109" s="137" t="s">
        <v>346</v>
      </c>
      <c r="Q109" s="137" t="s">
        <v>160</v>
      </c>
    </row>
    <row r="110" spans="2:17" s="138" customFormat="1" ht="23.1" customHeight="1" x14ac:dyDescent="0.25">
      <c r="B110" s="137" t="s">
        <v>128</v>
      </c>
      <c r="C110" s="137" t="s">
        <v>201</v>
      </c>
      <c r="D110" s="97">
        <v>16179.352762436831</v>
      </c>
      <c r="E110" s="98">
        <f t="shared" si="4"/>
        <v>19133.577060592277</v>
      </c>
      <c r="F110" s="97">
        <v>16179.352762436831</v>
      </c>
      <c r="G110" s="98">
        <f t="shared" si="5"/>
        <v>19133.577060592277</v>
      </c>
      <c r="H110" s="137" t="s">
        <v>344</v>
      </c>
      <c r="I110" s="137" t="s">
        <v>286</v>
      </c>
      <c r="J110" s="137" t="s">
        <v>283</v>
      </c>
      <c r="K110" s="137" t="s">
        <v>289</v>
      </c>
      <c r="L110" s="137" t="s">
        <v>291</v>
      </c>
      <c r="M110" s="137" t="s">
        <v>307</v>
      </c>
      <c r="N110" s="137">
        <v>73010</v>
      </c>
      <c r="O110" s="137" t="s">
        <v>341</v>
      </c>
      <c r="P110" s="137" t="s">
        <v>346</v>
      </c>
      <c r="Q110" s="137" t="s">
        <v>160</v>
      </c>
    </row>
    <row r="111" spans="2:17" s="138" customFormat="1" ht="23.1" customHeight="1" x14ac:dyDescent="0.25">
      <c r="B111" s="137" t="s">
        <v>128</v>
      </c>
      <c r="C111" s="137" t="s">
        <v>202</v>
      </c>
      <c r="D111" s="97">
        <v>33354.364708223336</v>
      </c>
      <c r="E111" s="98">
        <f t="shared" si="4"/>
        <v>39444.612947283982</v>
      </c>
      <c r="F111" s="97">
        <v>33354.364708223336</v>
      </c>
      <c r="G111" s="98">
        <f t="shared" si="5"/>
        <v>39444.612947283982</v>
      </c>
      <c r="H111" s="137" t="s">
        <v>344</v>
      </c>
      <c r="I111" s="137" t="s">
        <v>286</v>
      </c>
      <c r="J111" s="137" t="s">
        <v>283</v>
      </c>
      <c r="K111" s="137" t="s">
        <v>289</v>
      </c>
      <c r="L111" s="137" t="s">
        <v>291</v>
      </c>
      <c r="M111" s="137" t="s">
        <v>307</v>
      </c>
      <c r="N111" s="137">
        <v>73010</v>
      </c>
      <c r="O111" s="137" t="s">
        <v>341</v>
      </c>
      <c r="P111" s="137" t="s">
        <v>346</v>
      </c>
      <c r="Q111" s="137" t="s">
        <v>160</v>
      </c>
    </row>
    <row r="112" spans="2:17" s="138" customFormat="1" ht="23.1" customHeight="1" x14ac:dyDescent="0.25">
      <c r="B112" s="137" t="s">
        <v>128</v>
      </c>
      <c r="C112" s="137" t="s">
        <v>203</v>
      </c>
      <c r="D112" s="97">
        <v>127692.43026353991</v>
      </c>
      <c r="E112" s="98">
        <f t="shared" si="4"/>
        <v>151008.07741667444</v>
      </c>
      <c r="F112" s="97">
        <v>127692.43026353991</v>
      </c>
      <c r="G112" s="98">
        <f t="shared" si="5"/>
        <v>151008.07741667444</v>
      </c>
      <c r="H112" s="137" t="s">
        <v>344</v>
      </c>
      <c r="I112" s="137" t="s">
        <v>286</v>
      </c>
      <c r="J112" s="137" t="s">
        <v>283</v>
      </c>
      <c r="K112" s="137" t="s">
        <v>289</v>
      </c>
      <c r="L112" s="137" t="s">
        <v>291</v>
      </c>
      <c r="M112" s="137" t="s">
        <v>308</v>
      </c>
      <c r="N112" s="137">
        <v>74020</v>
      </c>
      <c r="O112" s="137" t="s">
        <v>341</v>
      </c>
      <c r="P112" s="137" t="s">
        <v>341</v>
      </c>
      <c r="Q112" s="137" t="s">
        <v>160</v>
      </c>
    </row>
    <row r="113" spans="2:17" s="138" customFormat="1" ht="23.1" customHeight="1" x14ac:dyDescent="0.25">
      <c r="B113" s="137" t="s">
        <v>128</v>
      </c>
      <c r="C113" s="137" t="s">
        <v>226</v>
      </c>
      <c r="D113" s="97">
        <v>59795.892453332912</v>
      </c>
      <c r="E113" s="98">
        <f t="shared" si="4"/>
        <v>70714.158530431538</v>
      </c>
      <c r="F113" s="97">
        <v>59795.892453332912</v>
      </c>
      <c r="G113" s="98">
        <f t="shared" si="5"/>
        <v>70714.158530431538</v>
      </c>
      <c r="H113" s="137" t="s">
        <v>344</v>
      </c>
      <c r="I113" s="137" t="s">
        <v>286</v>
      </c>
      <c r="J113" s="137" t="s">
        <v>283</v>
      </c>
      <c r="K113" s="137" t="s">
        <v>289</v>
      </c>
      <c r="L113" s="137" t="s">
        <v>293</v>
      </c>
      <c r="M113" s="137" t="s">
        <v>296</v>
      </c>
      <c r="N113" s="137">
        <v>43040</v>
      </c>
      <c r="O113" s="137" t="s">
        <v>341</v>
      </c>
      <c r="P113" s="137" t="s">
        <v>341</v>
      </c>
      <c r="Q113" s="137" t="s">
        <v>160</v>
      </c>
    </row>
    <row r="114" spans="2:17" s="138" customFormat="1" ht="23.1" customHeight="1" x14ac:dyDescent="0.25">
      <c r="B114" s="137" t="s">
        <v>128</v>
      </c>
      <c r="C114" s="137" t="s">
        <v>227</v>
      </c>
      <c r="D114" s="97">
        <v>43726.397469501833</v>
      </c>
      <c r="E114" s="98">
        <f t="shared" si="4"/>
        <v>51710.498426563187</v>
      </c>
      <c r="F114" s="97">
        <v>43726.397469501833</v>
      </c>
      <c r="G114" s="98">
        <f t="shared" si="5"/>
        <v>51710.498426563187</v>
      </c>
      <c r="H114" s="137" t="s">
        <v>344</v>
      </c>
      <c r="I114" s="137" t="s">
        <v>286</v>
      </c>
      <c r="J114" s="137" t="s">
        <v>283</v>
      </c>
      <c r="K114" s="137" t="s">
        <v>289</v>
      </c>
      <c r="L114" s="137" t="s">
        <v>293</v>
      </c>
      <c r="M114" s="137" t="s">
        <v>296</v>
      </c>
      <c r="N114" s="137">
        <v>43081</v>
      </c>
      <c r="O114" s="137" t="s">
        <v>341</v>
      </c>
      <c r="P114" s="137" t="s">
        <v>346</v>
      </c>
      <c r="Q114" s="137" t="s">
        <v>160</v>
      </c>
    </row>
    <row r="115" spans="2:17" s="138" customFormat="1" ht="23.1" customHeight="1" x14ac:dyDescent="0.25">
      <c r="B115" s="137" t="s">
        <v>138</v>
      </c>
      <c r="C115" s="137" t="s">
        <v>190</v>
      </c>
      <c r="D115" s="97">
        <v>2734.8191325178191</v>
      </c>
      <c r="E115" s="98">
        <f t="shared" si="4"/>
        <v>3234.1758899217348</v>
      </c>
      <c r="F115" s="97">
        <v>2734.8191325178191</v>
      </c>
      <c r="G115" s="98">
        <f t="shared" si="5"/>
        <v>3234.1758899217348</v>
      </c>
      <c r="H115" s="137" t="s">
        <v>344</v>
      </c>
      <c r="I115" s="137" t="s">
        <v>286</v>
      </c>
      <c r="J115" s="137" t="s">
        <v>283</v>
      </c>
      <c r="K115" s="137" t="s">
        <v>289</v>
      </c>
      <c r="L115" s="137" t="s">
        <v>291</v>
      </c>
      <c r="M115" s="137" t="s">
        <v>295</v>
      </c>
      <c r="N115" s="137">
        <v>31193</v>
      </c>
      <c r="O115" s="137" t="s">
        <v>341</v>
      </c>
      <c r="P115" s="137" t="s">
        <v>346</v>
      </c>
      <c r="Q115" s="137" t="s">
        <v>160</v>
      </c>
    </row>
    <row r="116" spans="2:17" s="138" customFormat="1" ht="23.1" customHeight="1" x14ac:dyDescent="0.25">
      <c r="B116" s="137" t="s">
        <v>138</v>
      </c>
      <c r="C116" s="137" t="s">
        <v>221</v>
      </c>
      <c r="D116" s="97">
        <v>54377.398418585901</v>
      </c>
      <c r="E116" s="98">
        <f t="shared" si="4"/>
        <v>64306.289520560429</v>
      </c>
      <c r="F116" s="97">
        <v>54377.398418585901</v>
      </c>
      <c r="G116" s="98">
        <f t="shared" si="5"/>
        <v>64306.289520560429</v>
      </c>
      <c r="H116" s="137" t="s">
        <v>344</v>
      </c>
      <c r="I116" s="137" t="s">
        <v>286</v>
      </c>
      <c r="J116" s="137" t="s">
        <v>283</v>
      </c>
      <c r="K116" s="137" t="s">
        <v>289</v>
      </c>
      <c r="L116" s="137" t="s">
        <v>292</v>
      </c>
      <c r="M116" s="137" t="s">
        <v>295</v>
      </c>
      <c r="N116" s="137">
        <v>31194</v>
      </c>
      <c r="O116" s="137" t="s">
        <v>341</v>
      </c>
      <c r="P116" s="137" t="s">
        <v>346</v>
      </c>
      <c r="Q116" s="137" t="s">
        <v>160</v>
      </c>
    </row>
    <row r="117" spans="2:17" s="138" customFormat="1" ht="23.1" customHeight="1" x14ac:dyDescent="0.25">
      <c r="B117" s="137" t="s">
        <v>130</v>
      </c>
      <c r="C117" s="137" t="s">
        <v>186</v>
      </c>
      <c r="D117" s="97">
        <v>119680.17</v>
      </c>
      <c r="E117" s="98">
        <f t="shared" si="4"/>
        <v>141532.84058656573</v>
      </c>
      <c r="F117" s="97">
        <v>119680.17</v>
      </c>
      <c r="G117" s="98">
        <f t="shared" si="5"/>
        <v>141532.84058656573</v>
      </c>
      <c r="H117" s="137" t="s">
        <v>344</v>
      </c>
      <c r="I117" s="137" t="s">
        <v>286</v>
      </c>
      <c r="J117" s="137" t="s">
        <v>283</v>
      </c>
      <c r="K117" s="137" t="s">
        <v>289</v>
      </c>
      <c r="L117" s="137" t="s">
        <v>291</v>
      </c>
      <c r="M117" s="137" t="s">
        <v>295</v>
      </c>
      <c r="N117" s="137">
        <v>31161</v>
      </c>
      <c r="O117" s="137" t="s">
        <v>340</v>
      </c>
      <c r="P117" s="137" t="s">
        <v>340</v>
      </c>
      <c r="Q117" s="137" t="s">
        <v>160</v>
      </c>
    </row>
    <row r="118" spans="2:17" s="138" customFormat="1" ht="23.1" customHeight="1" x14ac:dyDescent="0.25">
      <c r="B118" s="137" t="s">
        <v>130</v>
      </c>
      <c r="C118" s="137" t="s">
        <v>198</v>
      </c>
      <c r="D118" s="97">
        <v>83222.297708179103</v>
      </c>
      <c r="E118" s="98">
        <f t="shared" si="4"/>
        <v>98418.043647326267</v>
      </c>
      <c r="F118" s="97">
        <v>83222.297708179103</v>
      </c>
      <c r="G118" s="98">
        <f t="shared" si="5"/>
        <v>98418.043647326267</v>
      </c>
      <c r="H118" s="137" t="s">
        <v>344</v>
      </c>
      <c r="I118" s="137" t="s">
        <v>286</v>
      </c>
      <c r="J118" s="137" t="s">
        <v>283</v>
      </c>
      <c r="K118" s="137" t="s">
        <v>289</v>
      </c>
      <c r="L118" s="137" t="s">
        <v>291</v>
      </c>
      <c r="M118" s="137" t="s">
        <v>296</v>
      </c>
      <c r="N118" s="137">
        <v>43040</v>
      </c>
      <c r="O118" s="137" t="s">
        <v>341</v>
      </c>
      <c r="P118" s="137" t="s">
        <v>346</v>
      </c>
      <c r="Q118" s="137" t="s">
        <v>160</v>
      </c>
    </row>
    <row r="119" spans="2:17" s="138" customFormat="1" ht="24" x14ac:dyDescent="0.25">
      <c r="B119" s="137" t="s">
        <v>122</v>
      </c>
      <c r="C119" s="135" t="s">
        <v>598</v>
      </c>
      <c r="D119" s="97">
        <v>913146.03480318026</v>
      </c>
      <c r="E119" s="98">
        <f t="shared" si="4"/>
        <v>1079879.4167492669</v>
      </c>
      <c r="F119" s="97">
        <v>913146.03480318026</v>
      </c>
      <c r="G119" s="98">
        <f t="shared" si="5"/>
        <v>1079879.4167492669</v>
      </c>
      <c r="H119" s="137" t="s">
        <v>344</v>
      </c>
      <c r="I119" s="137" t="s">
        <v>285</v>
      </c>
      <c r="J119" s="137" t="s">
        <v>283</v>
      </c>
      <c r="K119" s="137" t="s">
        <v>289</v>
      </c>
      <c r="L119" s="137" t="s">
        <v>292</v>
      </c>
      <c r="M119" s="137" t="s">
        <v>295</v>
      </c>
      <c r="N119" s="137">
        <v>31130</v>
      </c>
      <c r="O119" s="137" t="s">
        <v>341</v>
      </c>
      <c r="P119" s="137" t="s">
        <v>346</v>
      </c>
      <c r="Q119" s="137" t="s">
        <v>160</v>
      </c>
    </row>
    <row r="120" spans="2:17" s="138" customFormat="1" ht="36" x14ac:dyDescent="0.25">
      <c r="B120" s="137" t="s">
        <v>122</v>
      </c>
      <c r="C120" s="135" t="s">
        <v>599</v>
      </c>
      <c r="D120" s="97">
        <v>4793936.0544479676</v>
      </c>
      <c r="E120" s="98">
        <f t="shared" si="4"/>
        <v>5669271.5875685513</v>
      </c>
      <c r="F120" s="97">
        <v>4793936.0544479676</v>
      </c>
      <c r="G120" s="98">
        <f t="shared" si="5"/>
        <v>5669271.5875685513</v>
      </c>
      <c r="H120" s="137" t="s">
        <v>344</v>
      </c>
      <c r="I120" s="137" t="s">
        <v>285</v>
      </c>
      <c r="J120" s="137" t="s">
        <v>283</v>
      </c>
      <c r="K120" s="137" t="s">
        <v>289</v>
      </c>
      <c r="L120" s="137" t="s">
        <v>292</v>
      </c>
      <c r="M120" s="137" t="s">
        <v>298</v>
      </c>
      <c r="N120" s="137">
        <v>31220</v>
      </c>
      <c r="O120" s="137" t="s">
        <v>341</v>
      </c>
      <c r="P120" s="137" t="s">
        <v>346</v>
      </c>
      <c r="Q120" s="137" t="s">
        <v>160</v>
      </c>
    </row>
    <row r="121" spans="2:17" s="138" customFormat="1" ht="23.1" customHeight="1" x14ac:dyDescent="0.25">
      <c r="B121" s="137" t="s">
        <v>122</v>
      </c>
      <c r="C121" s="137" t="s">
        <v>174</v>
      </c>
      <c r="D121" s="97">
        <v>163534.35193182837</v>
      </c>
      <c r="E121" s="98">
        <f t="shared" si="4"/>
        <v>193394.45592694933</v>
      </c>
      <c r="F121" s="97">
        <v>163534.35193182837</v>
      </c>
      <c r="G121" s="98">
        <f t="shared" si="5"/>
        <v>193394.45592694933</v>
      </c>
      <c r="H121" s="137" t="s">
        <v>344</v>
      </c>
      <c r="I121" s="137" t="s">
        <v>286</v>
      </c>
      <c r="J121" s="137" t="s">
        <v>283</v>
      </c>
      <c r="K121" s="137" t="s">
        <v>289</v>
      </c>
      <c r="L121" s="137" t="s">
        <v>291</v>
      </c>
      <c r="M121" s="137" t="s">
        <v>294</v>
      </c>
      <c r="N121" s="137">
        <v>14010</v>
      </c>
      <c r="O121" s="137" t="s">
        <v>341</v>
      </c>
      <c r="P121" s="137" t="s">
        <v>346</v>
      </c>
      <c r="Q121" s="137" t="s">
        <v>160</v>
      </c>
    </row>
    <row r="122" spans="2:17" s="138" customFormat="1" ht="23.1" customHeight="1" x14ac:dyDescent="0.25">
      <c r="B122" s="137" t="s">
        <v>122</v>
      </c>
      <c r="C122" s="137" t="s">
        <v>175</v>
      </c>
      <c r="D122" s="97">
        <v>108411.17713717431</v>
      </c>
      <c r="E122" s="98">
        <f t="shared" si="4"/>
        <v>128206.21704963848</v>
      </c>
      <c r="F122" s="97">
        <v>108411.17713717431</v>
      </c>
      <c r="G122" s="98">
        <f t="shared" si="5"/>
        <v>128206.21704963848</v>
      </c>
      <c r="H122" s="137" t="s">
        <v>344</v>
      </c>
      <c r="I122" s="137" t="s">
        <v>286</v>
      </c>
      <c r="J122" s="137" t="s">
        <v>283</v>
      </c>
      <c r="K122" s="137" t="s">
        <v>289</v>
      </c>
      <c r="L122" s="137" t="s">
        <v>291</v>
      </c>
      <c r="M122" s="137" t="s">
        <v>294</v>
      </c>
      <c r="N122" s="137">
        <v>14031</v>
      </c>
      <c r="O122" s="137" t="s">
        <v>341</v>
      </c>
      <c r="P122" s="137" t="s">
        <v>341</v>
      </c>
      <c r="Q122" s="137" t="s">
        <v>160</v>
      </c>
    </row>
    <row r="123" spans="2:17" s="138" customFormat="1" ht="23.1" customHeight="1" x14ac:dyDescent="0.25">
      <c r="B123" s="137" t="s">
        <v>122</v>
      </c>
      <c r="C123" s="137" t="s">
        <v>176</v>
      </c>
      <c r="D123" s="97">
        <v>199958.29753547991</v>
      </c>
      <c r="E123" s="98">
        <f t="shared" si="4"/>
        <v>236469.13142795637</v>
      </c>
      <c r="F123" s="97">
        <v>199958.29753547991</v>
      </c>
      <c r="G123" s="98">
        <f t="shared" si="5"/>
        <v>236469.13142795637</v>
      </c>
      <c r="H123" s="137" t="s">
        <v>344</v>
      </c>
      <c r="I123" s="137" t="s">
        <v>286</v>
      </c>
      <c r="J123" s="137" t="s">
        <v>283</v>
      </c>
      <c r="K123" s="137" t="s">
        <v>289</v>
      </c>
      <c r="L123" s="137" t="s">
        <v>291</v>
      </c>
      <c r="M123" s="137" t="s">
        <v>294</v>
      </c>
      <c r="N123" s="137">
        <v>14031</v>
      </c>
      <c r="O123" s="137" t="s">
        <v>341</v>
      </c>
      <c r="P123" s="137" t="s">
        <v>341</v>
      </c>
      <c r="Q123" s="137" t="s">
        <v>160</v>
      </c>
    </row>
    <row r="124" spans="2:17" s="138" customFormat="1" ht="23.1" customHeight="1" x14ac:dyDescent="0.25">
      <c r="B124" s="137" t="s">
        <v>122</v>
      </c>
      <c r="C124" s="137" t="s">
        <v>185</v>
      </c>
      <c r="D124" s="97">
        <v>168414.70536018282</v>
      </c>
      <c r="E124" s="98">
        <f t="shared" si="4"/>
        <v>199165.92403049054</v>
      </c>
      <c r="F124" s="97">
        <v>168414.70536018282</v>
      </c>
      <c r="G124" s="98">
        <f t="shared" si="5"/>
        <v>199165.92403049054</v>
      </c>
      <c r="H124" s="137" t="s">
        <v>344</v>
      </c>
      <c r="I124" s="137" t="s">
        <v>286</v>
      </c>
      <c r="J124" s="137" t="s">
        <v>283</v>
      </c>
      <c r="K124" s="137" t="s">
        <v>289</v>
      </c>
      <c r="L124" s="137" t="s">
        <v>291</v>
      </c>
      <c r="M124" s="137" t="s">
        <v>295</v>
      </c>
      <c r="N124" s="137">
        <v>31161</v>
      </c>
      <c r="O124" s="137" t="s">
        <v>341</v>
      </c>
      <c r="P124" s="137" t="s">
        <v>341</v>
      </c>
      <c r="Q124" s="137" t="s">
        <v>160</v>
      </c>
    </row>
    <row r="125" spans="2:17" s="138" customFormat="1" ht="23.1" customHeight="1" x14ac:dyDescent="0.25">
      <c r="B125" s="137" t="s">
        <v>122</v>
      </c>
      <c r="C125" s="137" t="s">
        <v>187</v>
      </c>
      <c r="D125" s="97">
        <v>142561.58564465848</v>
      </c>
      <c r="E125" s="98">
        <f t="shared" si="4"/>
        <v>168592.22521837568</v>
      </c>
      <c r="F125" s="97">
        <v>142561.58564465848</v>
      </c>
      <c r="G125" s="98">
        <f t="shared" si="5"/>
        <v>168592.22521837568</v>
      </c>
      <c r="H125" s="137" t="s">
        <v>344</v>
      </c>
      <c r="I125" s="137" t="s">
        <v>286</v>
      </c>
      <c r="J125" s="137" t="s">
        <v>283</v>
      </c>
      <c r="K125" s="137" t="s">
        <v>289</v>
      </c>
      <c r="L125" s="137" t="s">
        <v>291</v>
      </c>
      <c r="M125" s="137" t="s">
        <v>295</v>
      </c>
      <c r="N125" s="137">
        <v>31163</v>
      </c>
      <c r="O125" s="137" t="s">
        <v>341</v>
      </c>
      <c r="P125" s="137" t="s">
        <v>341</v>
      </c>
      <c r="Q125" s="137" t="s">
        <v>160</v>
      </c>
    </row>
    <row r="126" spans="2:17" s="138" customFormat="1" ht="23.1" customHeight="1" x14ac:dyDescent="0.25">
      <c r="B126" s="137" t="s">
        <v>122</v>
      </c>
      <c r="C126" s="137" t="s">
        <v>190</v>
      </c>
      <c r="D126" s="97">
        <v>34968.21787411259</v>
      </c>
      <c r="E126" s="98">
        <f t="shared" si="4"/>
        <v>41353.143181306274</v>
      </c>
      <c r="F126" s="97">
        <v>34968.21787411259</v>
      </c>
      <c r="G126" s="98">
        <f t="shared" si="5"/>
        <v>41353.143181306274</v>
      </c>
      <c r="H126" s="137" t="s">
        <v>344</v>
      </c>
      <c r="I126" s="137" t="s">
        <v>286</v>
      </c>
      <c r="J126" s="137" t="s">
        <v>283</v>
      </c>
      <c r="K126" s="137" t="s">
        <v>289</v>
      </c>
      <c r="L126" s="137" t="s">
        <v>291</v>
      </c>
      <c r="M126" s="137" t="s">
        <v>295</v>
      </c>
      <c r="N126" s="137">
        <v>31193</v>
      </c>
      <c r="O126" s="137" t="s">
        <v>341</v>
      </c>
      <c r="P126" s="137" t="s">
        <v>346</v>
      </c>
      <c r="Q126" s="137" t="s">
        <v>160</v>
      </c>
    </row>
    <row r="127" spans="2:17" s="138" customFormat="1" ht="23.1" customHeight="1" x14ac:dyDescent="0.25">
      <c r="B127" s="137" t="s">
        <v>122</v>
      </c>
      <c r="C127" s="137" t="s">
        <v>191</v>
      </c>
      <c r="D127" s="97">
        <v>36074.974414096505</v>
      </c>
      <c r="E127" s="98">
        <f t="shared" si="4"/>
        <v>42661.984879489712</v>
      </c>
      <c r="F127" s="97">
        <v>36074.974414096505</v>
      </c>
      <c r="G127" s="98">
        <f t="shared" si="5"/>
        <v>42661.984879489712</v>
      </c>
      <c r="H127" s="137" t="s">
        <v>344</v>
      </c>
      <c r="I127" s="137" t="s">
        <v>286</v>
      </c>
      <c r="J127" s="137" t="s">
        <v>283</v>
      </c>
      <c r="K127" s="137" t="s">
        <v>289</v>
      </c>
      <c r="L127" s="137" t="s">
        <v>291</v>
      </c>
      <c r="M127" s="137" t="s">
        <v>295</v>
      </c>
      <c r="N127" s="137">
        <v>31194</v>
      </c>
      <c r="O127" s="137" t="s">
        <v>341</v>
      </c>
      <c r="P127" s="137" t="s">
        <v>346</v>
      </c>
      <c r="Q127" s="137" t="s">
        <v>160</v>
      </c>
    </row>
    <row r="128" spans="2:17" s="138" customFormat="1" ht="23.1" customHeight="1" x14ac:dyDescent="0.25">
      <c r="B128" s="137" t="s">
        <v>122</v>
      </c>
      <c r="C128" s="137" t="s">
        <v>206</v>
      </c>
      <c r="D128" s="97">
        <v>161564.75956781046</v>
      </c>
      <c r="E128" s="98">
        <f t="shared" si="4"/>
        <v>191065.23127697545</v>
      </c>
      <c r="F128" s="97">
        <v>161564.75956781046</v>
      </c>
      <c r="G128" s="98">
        <f t="shared" si="5"/>
        <v>191065.23127697545</v>
      </c>
      <c r="H128" s="137" t="s">
        <v>344</v>
      </c>
      <c r="I128" s="137" t="s">
        <v>286</v>
      </c>
      <c r="J128" s="137" t="s">
        <v>283</v>
      </c>
      <c r="K128" s="137" t="s">
        <v>289</v>
      </c>
      <c r="L128" s="137" t="s">
        <v>292</v>
      </c>
      <c r="M128" s="137" t="s">
        <v>304</v>
      </c>
      <c r="N128" s="137">
        <v>16040</v>
      </c>
      <c r="O128" s="137" t="s">
        <v>341</v>
      </c>
      <c r="P128" s="137" t="s">
        <v>341</v>
      </c>
      <c r="Q128" s="137" t="s">
        <v>160</v>
      </c>
    </row>
    <row r="129" spans="2:17" s="138" customFormat="1" ht="23.1" customHeight="1" x14ac:dyDescent="0.25">
      <c r="B129" s="137" t="s">
        <v>122</v>
      </c>
      <c r="C129" s="137" t="s">
        <v>211</v>
      </c>
      <c r="D129" s="97">
        <v>42929.808711538964</v>
      </c>
      <c r="E129" s="98">
        <f t="shared" si="4"/>
        <v>50768.458741176633</v>
      </c>
      <c r="F129" s="97">
        <v>42929.808711538964</v>
      </c>
      <c r="G129" s="98">
        <f t="shared" si="5"/>
        <v>50768.458741176633</v>
      </c>
      <c r="H129" s="137" t="s">
        <v>344</v>
      </c>
      <c r="I129" s="137" t="s">
        <v>286</v>
      </c>
      <c r="J129" s="137" t="s">
        <v>283</v>
      </c>
      <c r="K129" s="137" t="s">
        <v>289</v>
      </c>
      <c r="L129" s="137" t="s">
        <v>292</v>
      </c>
      <c r="M129" s="137" t="s">
        <v>295</v>
      </c>
      <c r="N129" s="137">
        <v>31161</v>
      </c>
      <c r="O129" s="137" t="s">
        <v>341</v>
      </c>
      <c r="P129" s="137" t="s">
        <v>341</v>
      </c>
      <c r="Q129" s="137" t="s">
        <v>160</v>
      </c>
    </row>
    <row r="130" spans="2:17" s="138" customFormat="1" ht="23.1" customHeight="1" x14ac:dyDescent="0.25">
      <c r="B130" s="137" t="s">
        <v>122</v>
      </c>
      <c r="C130" s="137" t="s">
        <v>223</v>
      </c>
      <c r="D130" s="97">
        <v>1732.5544114907013</v>
      </c>
      <c r="E130" s="98">
        <f t="shared" si="4"/>
        <v>2048.9054062094388</v>
      </c>
      <c r="F130" s="97">
        <v>1732.5544114907013</v>
      </c>
      <c r="G130" s="98">
        <f t="shared" si="5"/>
        <v>2048.9054062094388</v>
      </c>
      <c r="H130" s="137" t="s">
        <v>344</v>
      </c>
      <c r="I130" s="137" t="s">
        <v>286</v>
      </c>
      <c r="J130" s="137" t="s">
        <v>283</v>
      </c>
      <c r="K130" s="137" t="s">
        <v>289</v>
      </c>
      <c r="L130" s="137" t="s">
        <v>292</v>
      </c>
      <c r="M130" s="137" t="s">
        <v>296</v>
      </c>
      <c r="N130" s="137">
        <v>43072</v>
      </c>
      <c r="O130" s="137" t="s">
        <v>341</v>
      </c>
      <c r="P130" s="137" t="s">
        <v>346</v>
      </c>
      <c r="Q130" s="137" t="s">
        <v>160</v>
      </c>
    </row>
    <row r="131" spans="2:17" s="138" customFormat="1" ht="23.1" customHeight="1" x14ac:dyDescent="0.25">
      <c r="B131" s="137" t="s">
        <v>122</v>
      </c>
      <c r="C131" s="137" t="s">
        <v>225</v>
      </c>
      <c r="D131" s="97">
        <v>195598.8769987846</v>
      </c>
      <c r="E131" s="98">
        <f t="shared" si="4"/>
        <v>231313.71452079539</v>
      </c>
      <c r="F131" s="97">
        <v>195598.8769987846</v>
      </c>
      <c r="G131" s="98">
        <f t="shared" si="5"/>
        <v>231313.71452079539</v>
      </c>
      <c r="H131" s="137" t="s">
        <v>344</v>
      </c>
      <c r="I131" s="137" t="s">
        <v>286</v>
      </c>
      <c r="J131" s="137" t="s">
        <v>283</v>
      </c>
      <c r="K131" s="137" t="s">
        <v>289</v>
      </c>
      <c r="L131" s="137" t="s">
        <v>293</v>
      </c>
      <c r="M131" s="137" t="s">
        <v>295</v>
      </c>
      <c r="N131" s="137">
        <v>31130</v>
      </c>
      <c r="O131" s="137" t="s">
        <v>341</v>
      </c>
      <c r="P131" s="137" t="s">
        <v>341</v>
      </c>
      <c r="Q131" s="137" t="s">
        <v>160</v>
      </c>
    </row>
    <row r="132" spans="2:17" s="138" customFormat="1" ht="23.1" customHeight="1" x14ac:dyDescent="0.25">
      <c r="B132" s="137" t="s">
        <v>129</v>
      </c>
      <c r="C132" s="137" t="s">
        <v>180</v>
      </c>
      <c r="D132" s="97">
        <v>318470.33085244655</v>
      </c>
      <c r="E132" s="98">
        <f t="shared" si="4"/>
        <v>376620.54263534356</v>
      </c>
      <c r="F132" s="97">
        <v>318470.33085244655</v>
      </c>
      <c r="G132" s="98">
        <f t="shared" si="5"/>
        <v>376620.54263534356</v>
      </c>
      <c r="H132" s="137" t="s">
        <v>344</v>
      </c>
      <c r="I132" s="137" t="s">
        <v>286</v>
      </c>
      <c r="J132" s="137" t="s">
        <v>283</v>
      </c>
      <c r="K132" s="137" t="s">
        <v>289</v>
      </c>
      <c r="L132" s="137" t="s">
        <v>291</v>
      </c>
      <c r="M132" s="137" t="s">
        <v>304</v>
      </c>
      <c r="N132" s="137">
        <v>16040</v>
      </c>
      <c r="O132" s="137" t="s">
        <v>341</v>
      </c>
      <c r="P132" s="137" t="s">
        <v>341</v>
      </c>
      <c r="Q132" s="137" t="s">
        <v>160</v>
      </c>
    </row>
    <row r="133" spans="2:17" s="138" customFormat="1" ht="23.1" customHeight="1" x14ac:dyDescent="0.25">
      <c r="B133" s="137" t="s">
        <v>129</v>
      </c>
      <c r="C133" s="137" t="s">
        <v>193</v>
      </c>
      <c r="D133" s="97">
        <v>21207.166725407627</v>
      </c>
      <c r="E133" s="98">
        <f t="shared" si="4"/>
        <v>25079.430848400694</v>
      </c>
      <c r="F133" s="97">
        <v>21207.166725407627</v>
      </c>
      <c r="G133" s="98">
        <f t="shared" si="5"/>
        <v>25079.430848400694</v>
      </c>
      <c r="H133" s="137" t="s">
        <v>344</v>
      </c>
      <c r="I133" s="137" t="s">
        <v>286</v>
      </c>
      <c r="J133" s="137" t="s">
        <v>283</v>
      </c>
      <c r="K133" s="137" t="s">
        <v>289</v>
      </c>
      <c r="L133" s="137" t="s">
        <v>291</v>
      </c>
      <c r="M133" s="137" t="s">
        <v>306</v>
      </c>
      <c r="N133" s="137">
        <v>41040</v>
      </c>
      <c r="O133" s="137" t="s">
        <v>341</v>
      </c>
      <c r="P133" s="137" t="s">
        <v>341</v>
      </c>
      <c r="Q133" s="137" t="s">
        <v>160</v>
      </c>
    </row>
    <row r="134" spans="2:17" s="138" customFormat="1" ht="23.1" customHeight="1" x14ac:dyDescent="0.25">
      <c r="B134" s="137" t="s">
        <v>117</v>
      </c>
      <c r="C134" s="137" t="s">
        <v>583</v>
      </c>
      <c r="D134" s="97">
        <v>3951773.3197889552</v>
      </c>
      <c r="E134" s="98">
        <f t="shared" si="4"/>
        <v>4673336.4708951693</v>
      </c>
      <c r="F134" s="97">
        <v>3951773.3197889552</v>
      </c>
      <c r="G134" s="98">
        <f t="shared" si="5"/>
        <v>4673336.4708951693</v>
      </c>
      <c r="H134" s="137" t="s">
        <v>344</v>
      </c>
      <c r="I134" s="137" t="s">
        <v>285</v>
      </c>
      <c r="J134" s="137" t="s">
        <v>283</v>
      </c>
      <c r="K134" s="137" t="s">
        <v>289</v>
      </c>
      <c r="L134" s="137" t="s">
        <v>291</v>
      </c>
      <c r="M134" s="137" t="s">
        <v>294</v>
      </c>
      <c r="N134" s="137">
        <v>14010</v>
      </c>
      <c r="O134" s="137" t="s">
        <v>341</v>
      </c>
      <c r="P134" s="137" t="s">
        <v>341</v>
      </c>
      <c r="Q134" s="137" t="s">
        <v>160</v>
      </c>
    </row>
    <row r="135" spans="2:17" s="138" customFormat="1" ht="23.1" customHeight="1" x14ac:dyDescent="0.25">
      <c r="B135" s="137" t="s">
        <v>117</v>
      </c>
      <c r="C135" s="137" t="s">
        <v>585</v>
      </c>
      <c r="D135" s="97">
        <v>195694.18158617092</v>
      </c>
      <c r="E135" s="98">
        <f t="shared" si="4"/>
        <v>231426.42098648404</v>
      </c>
      <c r="F135" s="97">
        <v>195694.18158617092</v>
      </c>
      <c r="G135" s="98">
        <f t="shared" si="5"/>
        <v>231426.42098648404</v>
      </c>
      <c r="H135" s="137" t="s">
        <v>344</v>
      </c>
      <c r="I135" s="137" t="s">
        <v>285</v>
      </c>
      <c r="J135" s="137" t="s">
        <v>283</v>
      </c>
      <c r="K135" s="137" t="s">
        <v>289</v>
      </c>
      <c r="L135" s="137" t="s">
        <v>292</v>
      </c>
      <c r="M135" s="137" t="s">
        <v>294</v>
      </c>
      <c r="N135" s="137">
        <v>14021</v>
      </c>
      <c r="O135" s="137" t="s">
        <v>341</v>
      </c>
      <c r="P135" s="137" t="s">
        <v>341</v>
      </c>
      <c r="Q135" s="137" t="s">
        <v>160</v>
      </c>
    </row>
    <row r="136" spans="2:17" s="138" customFormat="1" ht="23.1" customHeight="1" x14ac:dyDescent="0.25">
      <c r="B136" s="137" t="s">
        <v>117</v>
      </c>
      <c r="C136" s="137" t="s">
        <v>586</v>
      </c>
      <c r="D136" s="97">
        <v>1850636.0669259243</v>
      </c>
      <c r="E136" s="98">
        <f t="shared" si="4"/>
        <v>2188547.8558726632</v>
      </c>
      <c r="F136" s="97">
        <v>1850636.0669259243</v>
      </c>
      <c r="G136" s="98">
        <f t="shared" si="5"/>
        <v>2188547.8558726632</v>
      </c>
      <c r="H136" s="137" t="s">
        <v>344</v>
      </c>
      <c r="I136" s="137" t="s">
        <v>285</v>
      </c>
      <c r="J136" s="137" t="s">
        <v>283</v>
      </c>
      <c r="K136" s="137" t="s">
        <v>289</v>
      </c>
      <c r="L136" s="137" t="s">
        <v>293</v>
      </c>
      <c r="M136" s="137" t="s">
        <v>299</v>
      </c>
      <c r="N136" s="137">
        <v>23210</v>
      </c>
      <c r="O136" s="137" t="s">
        <v>341</v>
      </c>
      <c r="P136" s="137" t="s">
        <v>341</v>
      </c>
      <c r="Q136" s="137" t="s">
        <v>160</v>
      </c>
    </row>
    <row r="137" spans="2:17" s="138" customFormat="1" ht="48" x14ac:dyDescent="0.25">
      <c r="B137" s="137" t="s">
        <v>117</v>
      </c>
      <c r="C137" s="137" t="s">
        <v>601</v>
      </c>
      <c r="D137" s="97">
        <v>747329.47782805713</v>
      </c>
      <c r="E137" s="98">
        <f t="shared" si="4"/>
        <v>883786.04284301924</v>
      </c>
      <c r="F137" s="97">
        <v>747329.47782805713</v>
      </c>
      <c r="G137" s="98">
        <f t="shared" si="5"/>
        <v>883786.04284301924</v>
      </c>
      <c r="H137" s="137" t="s">
        <v>344</v>
      </c>
      <c r="I137" s="137" t="s">
        <v>285</v>
      </c>
      <c r="J137" s="137" t="s">
        <v>283</v>
      </c>
      <c r="K137" s="137" t="s">
        <v>289</v>
      </c>
      <c r="L137" s="137" t="s">
        <v>293</v>
      </c>
      <c r="M137" s="137" t="s">
        <v>299</v>
      </c>
      <c r="N137" s="137">
        <v>23210</v>
      </c>
      <c r="O137" s="137" t="s">
        <v>341</v>
      </c>
      <c r="P137" s="137" t="s">
        <v>341</v>
      </c>
      <c r="Q137" s="137" t="s">
        <v>160</v>
      </c>
    </row>
    <row r="138" spans="2:17" s="138" customFormat="1" ht="23.1" customHeight="1" x14ac:dyDescent="0.25">
      <c r="B138" s="137" t="s">
        <v>117</v>
      </c>
      <c r="C138" s="137" t="s">
        <v>596</v>
      </c>
      <c r="D138" s="97">
        <v>30848.880000000001</v>
      </c>
      <c r="E138" s="98">
        <f t="shared" si="4"/>
        <v>36481.646168401137</v>
      </c>
      <c r="F138" s="97">
        <v>30848.880000000001</v>
      </c>
      <c r="G138" s="98">
        <f t="shared" si="5"/>
        <v>36481.646168401137</v>
      </c>
      <c r="H138" s="137" t="s">
        <v>344</v>
      </c>
      <c r="I138" s="137" t="s">
        <v>286</v>
      </c>
      <c r="J138" s="137" t="s">
        <v>283</v>
      </c>
      <c r="K138" s="137" t="s">
        <v>289</v>
      </c>
      <c r="L138" s="137" t="s">
        <v>293</v>
      </c>
      <c r="M138" s="137" t="s">
        <v>299</v>
      </c>
      <c r="N138" s="137">
        <v>11320</v>
      </c>
      <c r="O138" s="137" t="s">
        <v>341</v>
      </c>
      <c r="P138" s="137" t="s">
        <v>341</v>
      </c>
      <c r="Q138" s="137" t="s">
        <v>160</v>
      </c>
    </row>
    <row r="139" spans="2:17" s="138" customFormat="1" ht="23.1" customHeight="1" x14ac:dyDescent="0.25">
      <c r="B139" s="137" t="s">
        <v>131</v>
      </c>
      <c r="C139" s="137" t="s">
        <v>188</v>
      </c>
      <c r="D139" s="97">
        <v>552.83272007192556</v>
      </c>
      <c r="E139" s="98">
        <f t="shared" si="4"/>
        <v>653.77568598855908</v>
      </c>
      <c r="F139" s="97">
        <v>552.83272007192556</v>
      </c>
      <c r="G139" s="98">
        <f t="shared" si="5"/>
        <v>653.77568598855908</v>
      </c>
      <c r="H139" s="137" t="s">
        <v>344</v>
      </c>
      <c r="I139" s="137" t="s">
        <v>286</v>
      </c>
      <c r="J139" s="137" t="s">
        <v>283</v>
      </c>
      <c r="K139" s="137" t="s">
        <v>289</v>
      </c>
      <c r="L139" s="137" t="s">
        <v>291</v>
      </c>
      <c r="M139" s="137" t="s">
        <v>295</v>
      </c>
      <c r="N139" s="137">
        <v>31166</v>
      </c>
      <c r="O139" s="137" t="s">
        <v>341</v>
      </c>
      <c r="P139" s="137" t="s">
        <v>341</v>
      </c>
      <c r="Q139" s="137" t="s">
        <v>160</v>
      </c>
    </row>
    <row r="140" spans="2:17" s="138" customFormat="1" ht="23.1" customHeight="1" x14ac:dyDescent="0.25">
      <c r="B140" s="137" t="s">
        <v>145</v>
      </c>
      <c r="C140" s="137" t="s">
        <v>215</v>
      </c>
      <c r="D140" s="97">
        <v>94691.820769605532</v>
      </c>
      <c r="E140" s="98">
        <f t="shared" si="4"/>
        <v>111981.81264144457</v>
      </c>
      <c r="F140" s="97">
        <v>94691.820769605532</v>
      </c>
      <c r="G140" s="98">
        <f t="shared" si="5"/>
        <v>111981.81264144457</v>
      </c>
      <c r="H140" s="137" t="s">
        <v>344</v>
      </c>
      <c r="I140" s="137" t="s">
        <v>286</v>
      </c>
      <c r="J140" s="137" t="s">
        <v>283</v>
      </c>
      <c r="K140" s="137" t="s">
        <v>289</v>
      </c>
      <c r="L140" s="137" t="s">
        <v>292</v>
      </c>
      <c r="M140" s="137" t="s">
        <v>295</v>
      </c>
      <c r="N140" s="137">
        <v>31181</v>
      </c>
      <c r="O140" s="137" t="s">
        <v>341</v>
      </c>
      <c r="P140" s="137" t="s">
        <v>346</v>
      </c>
      <c r="Q140" s="137" t="s">
        <v>160</v>
      </c>
    </row>
    <row r="141" spans="2:17" s="138" customFormat="1" ht="23.1" customHeight="1" x14ac:dyDescent="0.25">
      <c r="B141" s="137" t="s">
        <v>137</v>
      </c>
      <c r="C141" s="137" t="s">
        <v>189</v>
      </c>
      <c r="D141" s="97">
        <v>3169.146749132964</v>
      </c>
      <c r="E141" s="98">
        <f t="shared" si="4"/>
        <v>3747.8083599018019</v>
      </c>
      <c r="F141" s="97">
        <v>3169.146749132964</v>
      </c>
      <c r="G141" s="98">
        <f t="shared" si="5"/>
        <v>3747.8083599018019</v>
      </c>
      <c r="H141" s="137" t="s">
        <v>344</v>
      </c>
      <c r="I141" s="137" t="s">
        <v>286</v>
      </c>
      <c r="J141" s="137" t="s">
        <v>283</v>
      </c>
      <c r="K141" s="137" t="s">
        <v>289</v>
      </c>
      <c r="L141" s="137" t="s">
        <v>291</v>
      </c>
      <c r="M141" s="137" t="s">
        <v>295</v>
      </c>
      <c r="N141" s="137">
        <v>31181</v>
      </c>
      <c r="O141" s="137" t="s">
        <v>341</v>
      </c>
      <c r="P141" s="137" t="s">
        <v>346</v>
      </c>
      <c r="Q141" s="137" t="s">
        <v>160</v>
      </c>
    </row>
    <row r="142" spans="2:17" s="138" customFormat="1" ht="23.1" customHeight="1" x14ac:dyDescent="0.25">
      <c r="B142" s="137" t="s">
        <v>126</v>
      </c>
      <c r="C142" s="137" t="s">
        <v>177</v>
      </c>
      <c r="D142" s="97">
        <v>25311.039137628701</v>
      </c>
      <c r="E142" s="98">
        <f t="shared" si="4"/>
        <v>29932.638526050967</v>
      </c>
      <c r="F142" s="97">
        <v>25311.039137628701</v>
      </c>
      <c r="G142" s="98">
        <f t="shared" si="5"/>
        <v>29932.638526050967</v>
      </c>
      <c r="H142" s="137" t="s">
        <v>344</v>
      </c>
      <c r="I142" s="137" t="s">
        <v>286</v>
      </c>
      <c r="J142" s="137" t="s">
        <v>283</v>
      </c>
      <c r="K142" s="137" t="s">
        <v>289</v>
      </c>
      <c r="L142" s="137" t="s">
        <v>291</v>
      </c>
      <c r="M142" s="137" t="s">
        <v>294</v>
      </c>
      <c r="N142" s="137">
        <v>14031</v>
      </c>
      <c r="O142" s="137" t="s">
        <v>341</v>
      </c>
      <c r="P142" s="137" t="s">
        <v>341</v>
      </c>
      <c r="Q142" s="137" t="s">
        <v>160</v>
      </c>
    </row>
    <row r="143" spans="2:17" s="138" customFormat="1" ht="23.1" customHeight="1" x14ac:dyDescent="0.25">
      <c r="B143" s="137" t="s">
        <v>126</v>
      </c>
      <c r="C143" s="137" t="s">
        <v>182</v>
      </c>
      <c r="D143" s="97">
        <v>127025.4298762641</v>
      </c>
      <c r="E143" s="98">
        <f t="shared" si="4"/>
        <v>150219.28793314108</v>
      </c>
      <c r="F143" s="97">
        <v>127025.4298762641</v>
      </c>
      <c r="G143" s="98">
        <f t="shared" si="5"/>
        <v>150219.28793314108</v>
      </c>
      <c r="H143" s="137" t="s">
        <v>344</v>
      </c>
      <c r="I143" s="137" t="s">
        <v>286</v>
      </c>
      <c r="J143" s="137" t="s">
        <v>283</v>
      </c>
      <c r="K143" s="137" t="s">
        <v>289</v>
      </c>
      <c r="L143" s="137" t="s">
        <v>291</v>
      </c>
      <c r="M143" s="137" t="s">
        <v>304</v>
      </c>
      <c r="N143" s="137">
        <v>16040</v>
      </c>
      <c r="O143" s="137" t="s">
        <v>341</v>
      </c>
      <c r="P143" s="137" t="s">
        <v>346</v>
      </c>
      <c r="Q143" s="137" t="s">
        <v>160</v>
      </c>
    </row>
    <row r="144" spans="2:17" s="138" customFormat="1" ht="23.1" customHeight="1" x14ac:dyDescent="0.25">
      <c r="B144" s="137" t="s">
        <v>126</v>
      </c>
      <c r="C144" s="137" t="s">
        <v>194</v>
      </c>
      <c r="D144" s="97">
        <v>40561.955684873603</v>
      </c>
      <c r="E144" s="98">
        <f t="shared" si="4"/>
        <v>47968.254121184487</v>
      </c>
      <c r="F144" s="97">
        <v>40561.955684873603</v>
      </c>
      <c r="G144" s="98">
        <f t="shared" si="5"/>
        <v>47968.254121184487</v>
      </c>
      <c r="H144" s="137" t="s">
        <v>344</v>
      </c>
      <c r="I144" s="137" t="s">
        <v>286</v>
      </c>
      <c r="J144" s="137" t="s">
        <v>283</v>
      </c>
      <c r="K144" s="137" t="s">
        <v>289</v>
      </c>
      <c r="L144" s="137" t="s">
        <v>291</v>
      </c>
      <c r="M144" s="137" t="s">
        <v>306</v>
      </c>
      <c r="N144" s="137">
        <v>41040</v>
      </c>
      <c r="O144" s="137" t="s">
        <v>341</v>
      </c>
      <c r="P144" s="137" t="s">
        <v>346</v>
      </c>
      <c r="Q144" s="137" t="s">
        <v>160</v>
      </c>
    </row>
    <row r="145" spans="2:17" s="138" customFormat="1" ht="23.1" customHeight="1" x14ac:dyDescent="0.25">
      <c r="B145" s="137" t="s">
        <v>126</v>
      </c>
      <c r="C145" s="137" t="s">
        <v>208</v>
      </c>
      <c r="D145" s="97">
        <v>20347.249060049395</v>
      </c>
      <c r="E145" s="98">
        <f t="shared" si="4"/>
        <v>24062.498888421705</v>
      </c>
      <c r="F145" s="97">
        <v>20347.249060049395</v>
      </c>
      <c r="G145" s="98">
        <f t="shared" si="5"/>
        <v>24062.498888421705</v>
      </c>
      <c r="H145" s="137" t="s">
        <v>344</v>
      </c>
      <c r="I145" s="137" t="s">
        <v>286</v>
      </c>
      <c r="J145" s="137" t="s">
        <v>283</v>
      </c>
      <c r="K145" s="137" t="s">
        <v>289</v>
      </c>
      <c r="L145" s="137" t="s">
        <v>292</v>
      </c>
      <c r="M145" s="137" t="s">
        <v>295</v>
      </c>
      <c r="N145" s="137">
        <v>31120</v>
      </c>
      <c r="O145" s="137" t="s">
        <v>341</v>
      </c>
      <c r="P145" s="137" t="s">
        <v>346</v>
      </c>
      <c r="Q145" s="137" t="s">
        <v>160</v>
      </c>
    </row>
    <row r="146" spans="2:17" s="138" customFormat="1" ht="23.1" customHeight="1" x14ac:dyDescent="0.25">
      <c r="B146" s="137" t="s">
        <v>132</v>
      </c>
      <c r="C146" s="137" t="s">
        <v>188</v>
      </c>
      <c r="D146" s="97">
        <v>9496.6040273901217</v>
      </c>
      <c r="E146" s="98">
        <f t="shared" si="4"/>
        <v>11230.610249988316</v>
      </c>
      <c r="F146" s="97">
        <v>9496.6040273901217</v>
      </c>
      <c r="G146" s="98">
        <f t="shared" si="5"/>
        <v>11230.610249988316</v>
      </c>
      <c r="H146" s="137" t="s">
        <v>344</v>
      </c>
      <c r="I146" s="137" t="s">
        <v>286</v>
      </c>
      <c r="J146" s="137" t="s">
        <v>283</v>
      </c>
      <c r="K146" s="137" t="s">
        <v>289</v>
      </c>
      <c r="L146" s="137" t="s">
        <v>291</v>
      </c>
      <c r="M146" s="137" t="s">
        <v>295</v>
      </c>
      <c r="N146" s="137">
        <v>31166</v>
      </c>
      <c r="O146" s="137" t="s">
        <v>341</v>
      </c>
      <c r="P146" s="137" t="s">
        <v>341</v>
      </c>
      <c r="Q146" s="137" t="s">
        <v>160</v>
      </c>
    </row>
    <row r="147" spans="2:17" s="138" customFormat="1" ht="23.1" customHeight="1" x14ac:dyDescent="0.25">
      <c r="B147" s="137" t="s">
        <v>132</v>
      </c>
      <c r="C147" s="137" t="s">
        <v>189</v>
      </c>
      <c r="D147" s="97">
        <v>2179.8998656149638</v>
      </c>
      <c r="E147" s="98">
        <f t="shared" si="4"/>
        <v>2577.9326698379418</v>
      </c>
      <c r="F147" s="97">
        <v>2179.8998656149638</v>
      </c>
      <c r="G147" s="98">
        <f t="shared" si="5"/>
        <v>2577.9326698379418</v>
      </c>
      <c r="H147" s="137" t="s">
        <v>344</v>
      </c>
      <c r="I147" s="137" t="s">
        <v>286</v>
      </c>
      <c r="J147" s="137" t="s">
        <v>283</v>
      </c>
      <c r="K147" s="137" t="s">
        <v>289</v>
      </c>
      <c r="L147" s="137" t="s">
        <v>291</v>
      </c>
      <c r="M147" s="137" t="s">
        <v>295</v>
      </c>
      <c r="N147" s="137">
        <v>31181</v>
      </c>
      <c r="O147" s="137" t="s">
        <v>341</v>
      </c>
      <c r="P147" s="137" t="s">
        <v>346</v>
      </c>
      <c r="Q147" s="137" t="s">
        <v>160</v>
      </c>
    </row>
    <row r="148" spans="2:17" s="138" customFormat="1" ht="23.1" customHeight="1" x14ac:dyDescent="0.25">
      <c r="B148" s="137" t="s">
        <v>141</v>
      </c>
      <c r="C148" s="137" t="s">
        <v>205</v>
      </c>
      <c r="D148" s="97">
        <v>7020.54</v>
      </c>
      <c r="E148" s="98">
        <f t="shared" si="4"/>
        <v>8302.4361400189209</v>
      </c>
      <c r="F148" s="97">
        <v>7020.54</v>
      </c>
      <c r="G148" s="98">
        <f t="shared" si="5"/>
        <v>8302.4361400189209</v>
      </c>
      <c r="H148" s="137" t="s">
        <v>344</v>
      </c>
      <c r="I148" s="137" t="s">
        <v>286</v>
      </c>
      <c r="J148" s="137" t="s">
        <v>283</v>
      </c>
      <c r="K148" s="137" t="s">
        <v>289</v>
      </c>
      <c r="L148" s="137" t="s">
        <v>292</v>
      </c>
      <c r="M148" s="137" t="s">
        <v>303</v>
      </c>
      <c r="N148" s="137">
        <v>15170</v>
      </c>
      <c r="O148" s="137" t="s">
        <v>341</v>
      </c>
      <c r="P148" s="137" t="s">
        <v>346</v>
      </c>
      <c r="Q148" s="137" t="s">
        <v>160</v>
      </c>
    </row>
    <row r="149" spans="2:17" s="138" customFormat="1" ht="23.1" customHeight="1" x14ac:dyDescent="0.25">
      <c r="B149" s="137" t="s">
        <v>140</v>
      </c>
      <c r="C149" s="137" t="s">
        <v>199</v>
      </c>
      <c r="D149" s="97">
        <v>76599.798485484556</v>
      </c>
      <c r="E149" s="98">
        <f t="shared" si="4"/>
        <v>90586.327442626003</v>
      </c>
      <c r="F149" s="97">
        <v>76599.798485484556</v>
      </c>
      <c r="G149" s="98">
        <f t="shared" si="5"/>
        <v>90586.327442626003</v>
      </c>
      <c r="H149" s="137" t="s">
        <v>344</v>
      </c>
      <c r="I149" s="137" t="s">
        <v>286</v>
      </c>
      <c r="J149" s="137" t="s">
        <v>283</v>
      </c>
      <c r="K149" s="137" t="s">
        <v>289</v>
      </c>
      <c r="L149" s="137" t="s">
        <v>291</v>
      </c>
      <c r="M149" s="137" t="s">
        <v>296</v>
      </c>
      <c r="N149" s="137">
        <v>43072</v>
      </c>
      <c r="O149" s="137" t="s">
        <v>341</v>
      </c>
      <c r="P149" s="137" t="s">
        <v>346</v>
      </c>
      <c r="Q149" s="137" t="s">
        <v>160</v>
      </c>
    </row>
    <row r="150" spans="2:17" s="138" customFormat="1" ht="23.1" customHeight="1" x14ac:dyDescent="0.25">
      <c r="B150" s="137" t="s">
        <v>140</v>
      </c>
      <c r="C150" s="137" t="s">
        <v>214</v>
      </c>
      <c r="D150" s="97">
        <v>75211.573070974628</v>
      </c>
      <c r="E150" s="98">
        <f t="shared" si="4"/>
        <v>88944.622837008777</v>
      </c>
      <c r="F150" s="97">
        <v>75211.573070974628</v>
      </c>
      <c r="G150" s="98">
        <f t="shared" si="5"/>
        <v>88944.622837008777</v>
      </c>
      <c r="H150" s="137" t="s">
        <v>344</v>
      </c>
      <c r="I150" s="137" t="s">
        <v>286</v>
      </c>
      <c r="J150" s="137" t="s">
        <v>283</v>
      </c>
      <c r="K150" s="137" t="s">
        <v>289</v>
      </c>
      <c r="L150" s="137" t="s">
        <v>292</v>
      </c>
      <c r="M150" s="137" t="s">
        <v>295</v>
      </c>
      <c r="N150" s="137">
        <v>31166</v>
      </c>
      <c r="O150" s="137" t="s">
        <v>341</v>
      </c>
      <c r="P150" s="137" t="s">
        <v>346</v>
      </c>
      <c r="Q150" s="137" t="s">
        <v>160</v>
      </c>
    </row>
    <row r="151" spans="2:17" s="138" customFormat="1" ht="23.1" customHeight="1" x14ac:dyDescent="0.25">
      <c r="B151" s="137" t="s">
        <v>140</v>
      </c>
      <c r="C151" s="137" t="s">
        <v>216</v>
      </c>
      <c r="D151" s="97">
        <v>177869.18314609336</v>
      </c>
      <c r="E151" s="98">
        <f t="shared" si="4"/>
        <v>210346.71611411229</v>
      </c>
      <c r="F151" s="97">
        <v>177869.18314609336</v>
      </c>
      <c r="G151" s="98">
        <f t="shared" si="5"/>
        <v>210346.71611411229</v>
      </c>
      <c r="H151" s="137" t="s">
        <v>344</v>
      </c>
      <c r="I151" s="137" t="s">
        <v>286</v>
      </c>
      <c r="J151" s="137" t="s">
        <v>283</v>
      </c>
      <c r="K151" s="137" t="s">
        <v>289</v>
      </c>
      <c r="L151" s="137" t="s">
        <v>292</v>
      </c>
      <c r="M151" s="137" t="s">
        <v>295</v>
      </c>
      <c r="N151" s="137">
        <v>31181</v>
      </c>
      <c r="O151" s="137" t="s">
        <v>341</v>
      </c>
      <c r="P151" s="137" t="s">
        <v>346</v>
      </c>
      <c r="Q151" s="137" t="s">
        <v>160</v>
      </c>
    </row>
    <row r="152" spans="2:17" s="138" customFormat="1" ht="23.1" customHeight="1" x14ac:dyDescent="0.25">
      <c r="B152" s="137" t="s">
        <v>140</v>
      </c>
      <c r="C152" s="137" t="s">
        <v>221</v>
      </c>
      <c r="D152" s="97">
        <v>42663.178467277976</v>
      </c>
      <c r="E152" s="98">
        <f t="shared" si="4"/>
        <v>50453.143882779063</v>
      </c>
      <c r="F152" s="97">
        <v>42663.178467277976</v>
      </c>
      <c r="G152" s="98">
        <f t="shared" si="5"/>
        <v>50453.143882779063</v>
      </c>
      <c r="H152" s="137" t="s">
        <v>344</v>
      </c>
      <c r="I152" s="137" t="s">
        <v>286</v>
      </c>
      <c r="J152" s="137" t="s">
        <v>283</v>
      </c>
      <c r="K152" s="137" t="s">
        <v>289</v>
      </c>
      <c r="L152" s="137" t="s">
        <v>292</v>
      </c>
      <c r="M152" s="137" t="s">
        <v>295</v>
      </c>
      <c r="N152" s="137">
        <v>31194</v>
      </c>
      <c r="O152" s="137" t="s">
        <v>341</v>
      </c>
      <c r="P152" s="137" t="s">
        <v>346</v>
      </c>
      <c r="Q152" s="137" t="s">
        <v>160</v>
      </c>
    </row>
    <row r="153" spans="2:17" s="138" customFormat="1" ht="23.1" customHeight="1" x14ac:dyDescent="0.25">
      <c r="B153" s="137" t="s">
        <v>151</v>
      </c>
      <c r="C153" s="137" t="s">
        <v>229</v>
      </c>
      <c r="D153" s="97">
        <v>169526.64576098003</v>
      </c>
      <c r="E153" s="98">
        <f t="shared" si="4"/>
        <v>200480.89612225641</v>
      </c>
      <c r="F153" s="97">
        <v>169526.64576098003</v>
      </c>
      <c r="G153" s="98">
        <f t="shared" si="5"/>
        <v>200480.89612225641</v>
      </c>
      <c r="H153" s="137" t="s">
        <v>344</v>
      </c>
      <c r="I153" s="137" t="s">
        <v>287</v>
      </c>
      <c r="J153" s="137" t="s">
        <v>283</v>
      </c>
      <c r="K153" s="137" t="s">
        <v>289</v>
      </c>
      <c r="L153" s="137" t="s">
        <v>292</v>
      </c>
      <c r="M153" s="137" t="s">
        <v>298</v>
      </c>
      <c r="N153" s="137">
        <v>31220</v>
      </c>
      <c r="O153" s="137" t="s">
        <v>340</v>
      </c>
      <c r="P153" s="137" t="s">
        <v>340</v>
      </c>
      <c r="Q153" s="137" t="s">
        <v>160</v>
      </c>
    </row>
    <row r="154" spans="2:17" s="138" customFormat="1" ht="23.1" customHeight="1" x14ac:dyDescent="0.25">
      <c r="B154" s="137" t="s">
        <v>148</v>
      </c>
      <c r="C154" s="137" t="s">
        <v>221</v>
      </c>
      <c r="D154" s="97">
        <v>45421.778635730727</v>
      </c>
      <c r="E154" s="98">
        <f t="shared" si="4"/>
        <v>53715.443041308805</v>
      </c>
      <c r="F154" s="97">
        <v>45421.778635730727</v>
      </c>
      <c r="G154" s="98">
        <f t="shared" si="5"/>
        <v>53715.443041308805</v>
      </c>
      <c r="H154" s="137" t="s">
        <v>344</v>
      </c>
      <c r="I154" s="137" t="s">
        <v>286</v>
      </c>
      <c r="J154" s="137" t="s">
        <v>283</v>
      </c>
      <c r="K154" s="137" t="s">
        <v>289</v>
      </c>
      <c r="L154" s="137" t="s">
        <v>292</v>
      </c>
      <c r="M154" s="137" t="s">
        <v>295</v>
      </c>
      <c r="N154" s="137">
        <v>31194</v>
      </c>
      <c r="O154" s="137" t="s">
        <v>341</v>
      </c>
      <c r="P154" s="137" t="s">
        <v>346</v>
      </c>
      <c r="Q154" s="137" t="s">
        <v>160</v>
      </c>
    </row>
    <row r="155" spans="2:17" s="138" customFormat="1" ht="23.1" customHeight="1" x14ac:dyDescent="0.25">
      <c r="B155" s="137" t="s">
        <v>150</v>
      </c>
      <c r="C155" s="137" t="s">
        <v>228</v>
      </c>
      <c r="D155" s="97">
        <v>439715.06</v>
      </c>
      <c r="E155" s="98">
        <f t="shared" si="4"/>
        <v>520003.61873226106</v>
      </c>
      <c r="F155" s="97">
        <v>439715.06</v>
      </c>
      <c r="G155" s="98">
        <f t="shared" si="5"/>
        <v>520003.61873226106</v>
      </c>
      <c r="H155" s="137" t="s">
        <v>344</v>
      </c>
      <c r="I155" s="137" t="s">
        <v>287</v>
      </c>
      <c r="J155" s="137" t="s">
        <v>283</v>
      </c>
      <c r="K155" s="137" t="s">
        <v>289</v>
      </c>
      <c r="L155" s="137" t="s">
        <v>291</v>
      </c>
      <c r="M155" s="137" t="s">
        <v>303</v>
      </c>
      <c r="N155" s="137">
        <v>15160</v>
      </c>
      <c r="O155" s="137" t="s">
        <v>340</v>
      </c>
      <c r="P155" s="137" t="s">
        <v>340</v>
      </c>
      <c r="Q155" s="137" t="s">
        <v>160</v>
      </c>
    </row>
    <row r="156" spans="2:17" s="138" customFormat="1" ht="23.1" customHeight="1" x14ac:dyDescent="0.25">
      <c r="B156" s="137" t="s">
        <v>150</v>
      </c>
      <c r="C156" s="137" t="s">
        <v>361</v>
      </c>
      <c r="D156" s="97">
        <v>400000</v>
      </c>
      <c r="E156" s="98">
        <f t="shared" si="4"/>
        <v>473036.89687795646</v>
      </c>
      <c r="F156" s="97">
        <v>400000</v>
      </c>
      <c r="G156" s="98">
        <f t="shared" si="5"/>
        <v>473036.89687795646</v>
      </c>
      <c r="H156" s="137" t="s">
        <v>344</v>
      </c>
      <c r="I156" s="137" t="s">
        <v>285</v>
      </c>
      <c r="J156" s="137" t="s">
        <v>283</v>
      </c>
      <c r="K156" s="137" t="s">
        <v>289</v>
      </c>
      <c r="L156" s="137" t="s">
        <v>292</v>
      </c>
      <c r="M156" s="137" t="s">
        <v>355</v>
      </c>
      <c r="N156" s="137">
        <v>99810</v>
      </c>
      <c r="O156" s="137" t="s">
        <v>340</v>
      </c>
      <c r="P156" s="137" t="s">
        <v>340</v>
      </c>
      <c r="Q156" s="137"/>
    </row>
    <row r="157" spans="2:17" s="138" customFormat="1" ht="23.1" customHeight="1" x14ac:dyDescent="0.25">
      <c r="B157" s="137" t="s">
        <v>146</v>
      </c>
      <c r="C157" s="137" t="s">
        <v>217</v>
      </c>
      <c r="D157" s="97">
        <v>161190.07426828187</v>
      </c>
      <c r="E157" s="98">
        <f t="shared" si="4"/>
        <v>190622.13134848847</v>
      </c>
      <c r="F157" s="97">
        <v>161190.07426828187</v>
      </c>
      <c r="G157" s="98">
        <f t="shared" si="5"/>
        <v>190622.13134848847</v>
      </c>
      <c r="H157" s="137" t="s">
        <v>344</v>
      </c>
      <c r="I157" s="137" t="s">
        <v>286</v>
      </c>
      <c r="J157" s="137" t="s">
        <v>283</v>
      </c>
      <c r="K157" s="137" t="s">
        <v>289</v>
      </c>
      <c r="L157" s="137" t="s">
        <v>292</v>
      </c>
      <c r="M157" s="137" t="s">
        <v>295</v>
      </c>
      <c r="N157" s="137">
        <v>31181</v>
      </c>
      <c r="O157" s="137" t="s">
        <v>341</v>
      </c>
      <c r="P157" s="137" t="s">
        <v>346</v>
      </c>
      <c r="Q157" s="137" t="s">
        <v>160</v>
      </c>
    </row>
    <row r="158" spans="2:17" s="138" customFormat="1" ht="23.1" customHeight="1" x14ac:dyDescent="0.25">
      <c r="B158" s="137" t="s">
        <v>146</v>
      </c>
      <c r="C158" s="137" t="s">
        <v>223</v>
      </c>
      <c r="D158" s="97">
        <v>12562.239356687589</v>
      </c>
      <c r="E158" s="98">
        <f t="shared" si="4"/>
        <v>14856.006807814083</v>
      </c>
      <c r="F158" s="97">
        <v>12562.239356687589</v>
      </c>
      <c r="G158" s="98">
        <f t="shared" si="5"/>
        <v>14856.006807814083</v>
      </c>
      <c r="H158" s="137" t="s">
        <v>344</v>
      </c>
      <c r="I158" s="137" t="s">
        <v>286</v>
      </c>
      <c r="J158" s="137" t="s">
        <v>283</v>
      </c>
      <c r="K158" s="137" t="s">
        <v>289</v>
      </c>
      <c r="L158" s="137" t="s">
        <v>292</v>
      </c>
      <c r="M158" s="137" t="s">
        <v>296</v>
      </c>
      <c r="N158" s="137">
        <v>43072</v>
      </c>
      <c r="O158" s="137" t="s">
        <v>341</v>
      </c>
      <c r="P158" s="137" t="s">
        <v>346</v>
      </c>
      <c r="Q158" s="137" t="s">
        <v>160</v>
      </c>
    </row>
    <row r="159" spans="2:17" s="138" customFormat="1" ht="23.1" customHeight="1" x14ac:dyDescent="0.25">
      <c r="B159" s="137" t="s">
        <v>142</v>
      </c>
      <c r="C159" s="137" t="s">
        <v>207</v>
      </c>
      <c r="D159" s="97">
        <v>14868.728863191271</v>
      </c>
      <c r="E159" s="98">
        <f t="shared" si="4"/>
        <v>17583.64340490926</v>
      </c>
      <c r="F159" s="97">
        <v>14868.728863191271</v>
      </c>
      <c r="G159" s="98">
        <f t="shared" si="5"/>
        <v>17583.64340490926</v>
      </c>
      <c r="H159" s="137" t="s">
        <v>344</v>
      </c>
      <c r="I159" s="137" t="s">
        <v>286</v>
      </c>
      <c r="J159" s="137" t="s">
        <v>283</v>
      </c>
      <c r="K159" s="137" t="s">
        <v>289</v>
      </c>
      <c r="L159" s="137" t="s">
        <v>292</v>
      </c>
      <c r="M159" s="137" t="s">
        <v>299</v>
      </c>
      <c r="N159" s="137">
        <v>23210</v>
      </c>
      <c r="O159" s="137" t="s">
        <v>341</v>
      </c>
      <c r="P159" s="137" t="s">
        <v>341</v>
      </c>
      <c r="Q159" s="137" t="s">
        <v>160</v>
      </c>
    </row>
    <row r="160" spans="2:17" s="138" customFormat="1" ht="23.1" customHeight="1" x14ac:dyDescent="0.25">
      <c r="B160" s="137" t="s">
        <v>142</v>
      </c>
      <c r="C160" s="137" t="s">
        <v>218</v>
      </c>
      <c r="D160" s="97">
        <v>105343.55626101677</v>
      </c>
      <c r="E160" s="98">
        <f t="shared" si="4"/>
        <v>124578.47239949949</v>
      </c>
      <c r="F160" s="97">
        <v>105343.55626101677</v>
      </c>
      <c r="G160" s="98">
        <f t="shared" si="5"/>
        <v>124578.47239949949</v>
      </c>
      <c r="H160" s="137" t="s">
        <v>344</v>
      </c>
      <c r="I160" s="137" t="s">
        <v>286</v>
      </c>
      <c r="J160" s="137" t="s">
        <v>283</v>
      </c>
      <c r="K160" s="137" t="s">
        <v>289</v>
      </c>
      <c r="L160" s="137" t="s">
        <v>292</v>
      </c>
      <c r="M160" s="137" t="s">
        <v>295</v>
      </c>
      <c r="N160" s="137">
        <v>31181</v>
      </c>
      <c r="O160" s="137" t="s">
        <v>341</v>
      </c>
      <c r="P160" s="137" t="s">
        <v>346</v>
      </c>
      <c r="Q160" s="137" t="s">
        <v>160</v>
      </c>
    </row>
    <row r="161" spans="2:17" s="138" customFormat="1" ht="23.1" customHeight="1" x14ac:dyDescent="0.25">
      <c r="B161" s="137" t="s">
        <v>133</v>
      </c>
      <c r="C161" s="137" t="s">
        <v>188</v>
      </c>
      <c r="D161" s="97">
        <v>440.13375982646318</v>
      </c>
      <c r="E161" s="98">
        <f t="shared" si="4"/>
        <v>520.49876989884478</v>
      </c>
      <c r="F161" s="97">
        <v>440.13375982646318</v>
      </c>
      <c r="G161" s="98">
        <f t="shared" si="5"/>
        <v>520.49876989884478</v>
      </c>
      <c r="H161" s="137" t="s">
        <v>344</v>
      </c>
      <c r="I161" s="137" t="s">
        <v>286</v>
      </c>
      <c r="J161" s="137" t="s">
        <v>283</v>
      </c>
      <c r="K161" s="137" t="s">
        <v>289</v>
      </c>
      <c r="L161" s="137" t="s">
        <v>291</v>
      </c>
      <c r="M161" s="137" t="s">
        <v>295</v>
      </c>
      <c r="N161" s="137">
        <v>31166</v>
      </c>
      <c r="O161" s="137" t="s">
        <v>341</v>
      </c>
      <c r="P161" s="137" t="s">
        <v>341</v>
      </c>
      <c r="Q161" s="137" t="s">
        <v>160</v>
      </c>
    </row>
    <row r="162" spans="2:17" s="138" customFormat="1" ht="23.1" customHeight="1" x14ac:dyDescent="0.25">
      <c r="B162" s="137" t="s">
        <v>133</v>
      </c>
      <c r="C162" s="137" t="s">
        <v>189</v>
      </c>
      <c r="D162" s="97">
        <v>434.4148685621625</v>
      </c>
      <c r="E162" s="98">
        <f t="shared" si="4"/>
        <v>513.73565345572661</v>
      </c>
      <c r="F162" s="97">
        <v>434.4148685621625</v>
      </c>
      <c r="G162" s="98">
        <f t="shared" si="5"/>
        <v>513.73565345572661</v>
      </c>
      <c r="H162" s="137" t="s">
        <v>344</v>
      </c>
      <c r="I162" s="137" t="s">
        <v>286</v>
      </c>
      <c r="J162" s="137" t="s">
        <v>283</v>
      </c>
      <c r="K162" s="137" t="s">
        <v>289</v>
      </c>
      <c r="L162" s="137" t="s">
        <v>291</v>
      </c>
      <c r="M162" s="137" t="s">
        <v>295</v>
      </c>
      <c r="N162" s="137">
        <v>31181</v>
      </c>
      <c r="O162" s="137" t="s">
        <v>341</v>
      </c>
      <c r="P162" s="137" t="s">
        <v>346</v>
      </c>
      <c r="Q162" s="137" t="s">
        <v>160</v>
      </c>
    </row>
    <row r="163" spans="2:17" s="138" customFormat="1" ht="23.1" customHeight="1" x14ac:dyDescent="0.25">
      <c r="B163" s="137" t="s">
        <v>147</v>
      </c>
      <c r="C163" s="137" t="s">
        <v>219</v>
      </c>
      <c r="D163" s="97">
        <v>54425.793703536772</v>
      </c>
      <c r="E163" s="98">
        <f t="shared" si="4"/>
        <v>64363.521409102141</v>
      </c>
      <c r="F163" s="97">
        <v>54425.793703536772</v>
      </c>
      <c r="G163" s="98">
        <f t="shared" si="5"/>
        <v>64363.521409102141</v>
      </c>
      <c r="H163" s="137" t="s">
        <v>344</v>
      </c>
      <c r="I163" s="137" t="s">
        <v>286</v>
      </c>
      <c r="J163" s="137" t="s">
        <v>283</v>
      </c>
      <c r="K163" s="137" t="s">
        <v>289</v>
      </c>
      <c r="L163" s="137" t="s">
        <v>292</v>
      </c>
      <c r="M163" s="137" t="s">
        <v>295</v>
      </c>
      <c r="N163" s="137">
        <v>31181</v>
      </c>
      <c r="O163" s="137" t="s">
        <v>341</v>
      </c>
      <c r="P163" s="137" t="s">
        <v>346</v>
      </c>
      <c r="Q163" s="137" t="s">
        <v>160</v>
      </c>
    </row>
    <row r="164" spans="2:17" s="138" customFormat="1" ht="23.1" customHeight="1" x14ac:dyDescent="0.25">
      <c r="B164" s="137" t="s">
        <v>123</v>
      </c>
      <c r="C164" s="137" t="s">
        <v>170</v>
      </c>
      <c r="D164" s="97">
        <v>750000</v>
      </c>
      <c r="E164" s="98">
        <f t="shared" si="4"/>
        <v>886944.18164616835</v>
      </c>
      <c r="F164" s="97">
        <v>750000</v>
      </c>
      <c r="G164" s="98">
        <f t="shared" si="5"/>
        <v>886944.18164616835</v>
      </c>
      <c r="H164" s="137" t="s">
        <v>344</v>
      </c>
      <c r="I164" s="137" t="s">
        <v>285</v>
      </c>
      <c r="J164" s="137" t="s">
        <v>283</v>
      </c>
      <c r="K164" s="137" t="s">
        <v>289</v>
      </c>
      <c r="L164" s="137" t="s">
        <v>293</v>
      </c>
      <c r="M164" s="137" t="s">
        <v>300</v>
      </c>
      <c r="N164" s="137">
        <v>23620</v>
      </c>
      <c r="O164" s="137" t="s">
        <v>341</v>
      </c>
      <c r="P164" s="137" t="s">
        <v>341</v>
      </c>
      <c r="Q164" s="137" t="s">
        <v>160</v>
      </c>
    </row>
    <row r="165" spans="2:17" s="138" customFormat="1" ht="23.1" customHeight="1" x14ac:dyDescent="0.25">
      <c r="B165" s="137" t="s">
        <v>144</v>
      </c>
      <c r="C165" s="137" t="s">
        <v>213</v>
      </c>
      <c r="D165" s="97">
        <v>102870.41971103703</v>
      </c>
      <c r="E165" s="98">
        <f t="shared" si="4"/>
        <v>121653.76030160481</v>
      </c>
      <c r="F165" s="97">
        <v>102870.41971103703</v>
      </c>
      <c r="G165" s="98">
        <f t="shared" si="5"/>
        <v>121653.76030160481</v>
      </c>
      <c r="H165" s="137" t="s">
        <v>344</v>
      </c>
      <c r="I165" s="137" t="s">
        <v>286</v>
      </c>
      <c r="J165" s="137" t="s">
        <v>283</v>
      </c>
      <c r="K165" s="137" t="s">
        <v>289</v>
      </c>
      <c r="L165" s="137" t="s">
        <v>292</v>
      </c>
      <c r="M165" s="137" t="s">
        <v>295</v>
      </c>
      <c r="N165" s="137">
        <v>31161</v>
      </c>
      <c r="O165" s="137" t="s">
        <v>341</v>
      </c>
      <c r="P165" s="137" t="s">
        <v>346</v>
      </c>
      <c r="Q165" s="137" t="s">
        <v>160</v>
      </c>
    </row>
    <row r="166" spans="2:17" s="138" customFormat="1" ht="23.1" customHeight="1" x14ac:dyDescent="0.25">
      <c r="B166" s="137" t="s">
        <v>127</v>
      </c>
      <c r="C166" s="137" t="s">
        <v>178</v>
      </c>
      <c r="D166" s="97">
        <v>36932.240990177204</v>
      </c>
      <c r="E166" s="98">
        <f t="shared" si="4"/>
        <v>43675.781681855726</v>
      </c>
      <c r="F166" s="97">
        <v>36932.240990177204</v>
      </c>
      <c r="G166" s="98">
        <f t="shared" si="5"/>
        <v>43675.781681855726</v>
      </c>
      <c r="H166" s="137" t="s">
        <v>344</v>
      </c>
      <c r="I166" s="137" t="s">
        <v>286</v>
      </c>
      <c r="J166" s="137" t="s">
        <v>283</v>
      </c>
      <c r="K166" s="137" t="s">
        <v>289</v>
      </c>
      <c r="L166" s="137" t="s">
        <v>291</v>
      </c>
      <c r="M166" s="137" t="s">
        <v>294</v>
      </c>
      <c r="N166" s="137">
        <v>14031</v>
      </c>
      <c r="O166" s="137" t="s">
        <v>341</v>
      </c>
      <c r="P166" s="137" t="s">
        <v>341</v>
      </c>
      <c r="Q166" s="137" t="s">
        <v>160</v>
      </c>
    </row>
    <row r="167" spans="2:17" s="138" customFormat="1" ht="23.1" customHeight="1" x14ac:dyDescent="0.25">
      <c r="B167" s="137" t="s">
        <v>127</v>
      </c>
      <c r="C167" s="137" t="s">
        <v>181</v>
      </c>
      <c r="D167" s="97">
        <v>53635.657430273168</v>
      </c>
      <c r="E167" s="98">
        <f t="shared" si="4"/>
        <v>63429.112382063817</v>
      </c>
      <c r="F167" s="97">
        <v>53635.657430273168</v>
      </c>
      <c r="G167" s="98">
        <f t="shared" si="5"/>
        <v>63429.112382063817</v>
      </c>
      <c r="H167" s="137" t="s">
        <v>344</v>
      </c>
      <c r="I167" s="137" t="s">
        <v>286</v>
      </c>
      <c r="J167" s="137" t="s">
        <v>283</v>
      </c>
      <c r="K167" s="137" t="s">
        <v>289</v>
      </c>
      <c r="L167" s="137" t="s">
        <v>291</v>
      </c>
      <c r="M167" s="137" t="s">
        <v>304</v>
      </c>
      <c r="N167" s="137">
        <v>16040</v>
      </c>
      <c r="O167" s="137" t="s">
        <v>341</v>
      </c>
      <c r="P167" s="137" t="s">
        <v>341</v>
      </c>
      <c r="Q167" s="137" t="s">
        <v>160</v>
      </c>
    </row>
    <row r="168" spans="2:17" s="138" customFormat="1" ht="23.1" customHeight="1" x14ac:dyDescent="0.25">
      <c r="B168" s="137" t="s">
        <v>127</v>
      </c>
      <c r="C168" s="137" t="s">
        <v>195</v>
      </c>
      <c r="D168" s="97">
        <v>102986.46834536381</v>
      </c>
      <c r="E168" s="98">
        <f t="shared" si="4"/>
        <v>121790.99851627697</v>
      </c>
      <c r="F168" s="97">
        <v>102986.46834536381</v>
      </c>
      <c r="G168" s="98">
        <f t="shared" si="5"/>
        <v>121790.99851627697</v>
      </c>
      <c r="H168" s="137" t="s">
        <v>344</v>
      </c>
      <c r="I168" s="137" t="s">
        <v>286</v>
      </c>
      <c r="J168" s="137" t="s">
        <v>283</v>
      </c>
      <c r="K168" s="137" t="s">
        <v>289</v>
      </c>
      <c r="L168" s="137" t="s">
        <v>291</v>
      </c>
      <c r="M168" s="137" t="s">
        <v>306</v>
      </c>
      <c r="N168" s="137">
        <v>41040</v>
      </c>
      <c r="O168" s="137" t="s">
        <v>341</v>
      </c>
      <c r="P168" s="137" t="s">
        <v>346</v>
      </c>
      <c r="Q168" s="137" t="s">
        <v>160</v>
      </c>
    </row>
    <row r="169" spans="2:17" s="138" customFormat="1" ht="23.1" customHeight="1" x14ac:dyDescent="0.25">
      <c r="B169" s="137" t="s">
        <v>127</v>
      </c>
      <c r="C169" s="137" t="s">
        <v>222</v>
      </c>
      <c r="D169" s="97">
        <v>59540.49</v>
      </c>
      <c r="E169" s="98">
        <f t="shared" si="4"/>
        <v>70412.121570482486</v>
      </c>
      <c r="F169" s="97">
        <v>59540.49</v>
      </c>
      <c r="G169" s="98">
        <f t="shared" si="5"/>
        <v>70412.121570482486</v>
      </c>
      <c r="H169" s="137" t="s">
        <v>344</v>
      </c>
      <c r="I169" s="137" t="s">
        <v>286</v>
      </c>
      <c r="J169" s="137" t="s">
        <v>283</v>
      </c>
      <c r="K169" s="137" t="s">
        <v>289</v>
      </c>
      <c r="L169" s="137" t="s">
        <v>292</v>
      </c>
      <c r="M169" s="137" t="s">
        <v>306</v>
      </c>
      <c r="N169" s="137">
        <v>41081</v>
      </c>
      <c r="O169" s="137" t="s">
        <v>340</v>
      </c>
      <c r="P169" s="137" t="s">
        <v>340</v>
      </c>
      <c r="Q169" s="137" t="s">
        <v>160</v>
      </c>
    </row>
    <row r="170" spans="2:17" s="138" customFormat="1" ht="23.1" customHeight="1" x14ac:dyDescent="0.25">
      <c r="B170" s="137" t="s">
        <v>134</v>
      </c>
      <c r="C170" s="137" t="s">
        <v>188</v>
      </c>
      <c r="D170" s="97">
        <v>1055.9689499818728</v>
      </c>
      <c r="E170" s="98">
        <f t="shared" si="4"/>
        <v>1248.7806882472478</v>
      </c>
      <c r="F170" s="97">
        <v>1055.9689499818728</v>
      </c>
      <c r="G170" s="98">
        <f t="shared" si="5"/>
        <v>1248.7806882472478</v>
      </c>
      <c r="H170" s="137" t="s">
        <v>344</v>
      </c>
      <c r="I170" s="137" t="s">
        <v>286</v>
      </c>
      <c r="J170" s="137" t="s">
        <v>283</v>
      </c>
      <c r="K170" s="137" t="s">
        <v>289</v>
      </c>
      <c r="L170" s="137" t="s">
        <v>291</v>
      </c>
      <c r="M170" s="137" t="s">
        <v>295</v>
      </c>
      <c r="N170" s="137">
        <v>31166</v>
      </c>
      <c r="O170" s="137" t="s">
        <v>341</v>
      </c>
      <c r="P170" s="137" t="s">
        <v>341</v>
      </c>
      <c r="Q170" s="137" t="s">
        <v>160</v>
      </c>
    </row>
    <row r="171" spans="2:17" s="138" customFormat="1" ht="23.1" customHeight="1" x14ac:dyDescent="0.25">
      <c r="B171" s="137" t="s">
        <v>134</v>
      </c>
      <c r="C171" s="137" t="s">
        <v>189</v>
      </c>
      <c r="D171" s="97">
        <v>1055.9689499818728</v>
      </c>
      <c r="E171" s="98">
        <f t="shared" ref="E171:E201" si="6">D171*(1/$C$4)</f>
        <v>1248.7806882472478</v>
      </c>
      <c r="F171" s="97">
        <v>1055.9689499818728</v>
      </c>
      <c r="G171" s="98">
        <f t="shared" ref="G171:G201" si="7">F171*(1/$C$4)</f>
        <v>1248.7806882472478</v>
      </c>
      <c r="H171" s="137" t="s">
        <v>344</v>
      </c>
      <c r="I171" s="137" t="s">
        <v>286</v>
      </c>
      <c r="J171" s="137" t="s">
        <v>283</v>
      </c>
      <c r="K171" s="137" t="s">
        <v>289</v>
      </c>
      <c r="L171" s="137" t="s">
        <v>291</v>
      </c>
      <c r="M171" s="137" t="s">
        <v>295</v>
      </c>
      <c r="N171" s="137">
        <v>31181</v>
      </c>
      <c r="O171" s="137" t="s">
        <v>341</v>
      </c>
      <c r="P171" s="137" t="s">
        <v>346</v>
      </c>
      <c r="Q171" s="137" t="s">
        <v>160</v>
      </c>
    </row>
    <row r="172" spans="2:17" s="138" customFormat="1" ht="23.1" customHeight="1" x14ac:dyDescent="0.25">
      <c r="B172" s="137" t="s">
        <v>118</v>
      </c>
      <c r="C172" s="137" t="s">
        <v>590</v>
      </c>
      <c r="D172" s="97">
        <v>5828448.1175722452</v>
      </c>
      <c r="E172" s="98">
        <f t="shared" si="6"/>
        <v>6892677.5278763538</v>
      </c>
      <c r="F172" s="97">
        <v>5828448.1175722452</v>
      </c>
      <c r="G172" s="98">
        <f t="shared" si="7"/>
        <v>6892677.5278763538</v>
      </c>
      <c r="H172" s="137" t="s">
        <v>344</v>
      </c>
      <c r="I172" s="137" t="s">
        <v>285</v>
      </c>
      <c r="J172" s="137" t="s">
        <v>283</v>
      </c>
      <c r="K172" s="137" t="s">
        <v>289</v>
      </c>
      <c r="L172" s="137" t="s">
        <v>291</v>
      </c>
      <c r="M172" s="137" t="s">
        <v>295</v>
      </c>
      <c r="N172" s="137">
        <v>31120</v>
      </c>
      <c r="O172" s="137" t="s">
        <v>341</v>
      </c>
      <c r="P172" s="137" t="s">
        <v>341</v>
      </c>
      <c r="Q172" s="137" t="s">
        <v>160</v>
      </c>
    </row>
    <row r="173" spans="2:17" s="138" customFormat="1" ht="23.1" customHeight="1" x14ac:dyDescent="0.25">
      <c r="B173" s="137" t="s">
        <v>118</v>
      </c>
      <c r="C173" s="137" t="s">
        <v>593</v>
      </c>
      <c r="D173" s="97">
        <v>634937.06455047452</v>
      </c>
      <c r="E173" s="98">
        <f t="shared" si="6"/>
        <v>750871.64681938803</v>
      </c>
      <c r="F173" s="97">
        <v>634937.06455047452</v>
      </c>
      <c r="G173" s="98">
        <f t="shared" si="7"/>
        <v>750871.64681938803</v>
      </c>
      <c r="H173" s="137" t="s">
        <v>344</v>
      </c>
      <c r="I173" s="137" t="s">
        <v>285</v>
      </c>
      <c r="J173" s="137" t="s">
        <v>283</v>
      </c>
      <c r="K173" s="137" t="s">
        <v>289</v>
      </c>
      <c r="L173" s="137" t="s">
        <v>292</v>
      </c>
      <c r="M173" s="137" t="s">
        <v>295</v>
      </c>
      <c r="N173" s="137">
        <v>31120</v>
      </c>
      <c r="O173" s="137" t="s">
        <v>341</v>
      </c>
      <c r="P173" s="137" t="s">
        <v>341</v>
      </c>
      <c r="Q173" s="137" t="s">
        <v>160</v>
      </c>
    </row>
    <row r="174" spans="2:17" s="138" customFormat="1" ht="23.1" customHeight="1" x14ac:dyDescent="0.25">
      <c r="B174" s="137" t="s">
        <v>118</v>
      </c>
      <c r="C174" s="137" t="s">
        <v>183</v>
      </c>
      <c r="D174" s="97">
        <v>94149.852878367703</v>
      </c>
      <c r="E174" s="98">
        <f t="shared" si="6"/>
        <v>111340.88561774799</v>
      </c>
      <c r="F174" s="97">
        <v>94149.852878367703</v>
      </c>
      <c r="G174" s="98">
        <f t="shared" si="7"/>
        <v>111340.88561774799</v>
      </c>
      <c r="H174" s="137" t="s">
        <v>344</v>
      </c>
      <c r="I174" s="137" t="s">
        <v>286</v>
      </c>
      <c r="J174" s="137" t="s">
        <v>283</v>
      </c>
      <c r="K174" s="137" t="s">
        <v>289</v>
      </c>
      <c r="L174" s="137" t="s">
        <v>291</v>
      </c>
      <c r="M174" s="137" t="s">
        <v>304</v>
      </c>
      <c r="N174" s="137">
        <v>16040</v>
      </c>
      <c r="O174" s="137" t="s">
        <v>341</v>
      </c>
      <c r="P174" s="137" t="s">
        <v>346</v>
      </c>
      <c r="Q174" s="137" t="s">
        <v>160</v>
      </c>
    </row>
    <row r="175" spans="2:17" s="138" customFormat="1" ht="23.1" customHeight="1" x14ac:dyDescent="0.25">
      <c r="B175" s="137" t="s">
        <v>118</v>
      </c>
      <c r="C175" s="137" t="s">
        <v>190</v>
      </c>
      <c r="D175" s="97">
        <v>43911.076437445859</v>
      </c>
      <c r="E175" s="98">
        <f t="shared" si="6"/>
        <v>51928.898341350352</v>
      </c>
      <c r="F175" s="97">
        <v>43911.076437445859</v>
      </c>
      <c r="G175" s="98">
        <f t="shared" si="7"/>
        <v>51928.898341350352</v>
      </c>
      <c r="H175" s="137" t="s">
        <v>344</v>
      </c>
      <c r="I175" s="137" t="s">
        <v>286</v>
      </c>
      <c r="J175" s="137" t="s">
        <v>283</v>
      </c>
      <c r="K175" s="137" t="s">
        <v>289</v>
      </c>
      <c r="L175" s="137" t="s">
        <v>291</v>
      </c>
      <c r="M175" s="137" t="s">
        <v>295</v>
      </c>
      <c r="N175" s="137">
        <v>31193</v>
      </c>
      <c r="O175" s="137" t="s">
        <v>341</v>
      </c>
      <c r="P175" s="137" t="s">
        <v>346</v>
      </c>
      <c r="Q175" s="137" t="s">
        <v>160</v>
      </c>
    </row>
    <row r="176" spans="2:17" s="138" customFormat="1" ht="23.1" customHeight="1" x14ac:dyDescent="0.25">
      <c r="B176" s="137" t="s">
        <v>118</v>
      </c>
      <c r="C176" s="137" t="s">
        <v>196</v>
      </c>
      <c r="D176" s="97">
        <v>30053.235021586039</v>
      </c>
      <c r="E176" s="98">
        <f t="shared" si="6"/>
        <v>35540.722589387464</v>
      </c>
      <c r="F176" s="97">
        <v>30053.235021586039</v>
      </c>
      <c r="G176" s="98">
        <f t="shared" si="7"/>
        <v>35540.722589387464</v>
      </c>
      <c r="H176" s="137" t="s">
        <v>344</v>
      </c>
      <c r="I176" s="137" t="s">
        <v>286</v>
      </c>
      <c r="J176" s="137" t="s">
        <v>283</v>
      </c>
      <c r="K176" s="137" t="s">
        <v>289</v>
      </c>
      <c r="L176" s="137" t="s">
        <v>291</v>
      </c>
      <c r="M176" s="137" t="s">
        <v>306</v>
      </c>
      <c r="N176" s="137">
        <v>41040</v>
      </c>
      <c r="O176" s="137" t="s">
        <v>341</v>
      </c>
      <c r="P176" s="137" t="s">
        <v>346</v>
      </c>
      <c r="Q176" s="137" t="s">
        <v>160</v>
      </c>
    </row>
    <row r="177" spans="2:17" s="138" customFormat="1" ht="23.1" customHeight="1" x14ac:dyDescent="0.25">
      <c r="B177" s="137" t="s">
        <v>119</v>
      </c>
      <c r="C177" s="137" t="s">
        <v>577</v>
      </c>
      <c r="D177" s="97">
        <v>1977985.1391023346</v>
      </c>
      <c r="E177" s="98">
        <f t="shared" si="6"/>
        <v>2339149.8806792037</v>
      </c>
      <c r="F177" s="97">
        <v>1977985.1391023346</v>
      </c>
      <c r="G177" s="98">
        <f t="shared" si="7"/>
        <v>2339149.8806792037</v>
      </c>
      <c r="H177" s="137" t="s">
        <v>344</v>
      </c>
      <c r="I177" s="137" t="s">
        <v>285</v>
      </c>
      <c r="J177" s="137" t="s">
        <v>283</v>
      </c>
      <c r="K177" s="137" t="s">
        <v>289</v>
      </c>
      <c r="L177" s="137" t="s">
        <v>291</v>
      </c>
      <c r="M177" s="137" t="s">
        <v>296</v>
      </c>
      <c r="N177" s="137">
        <v>43040</v>
      </c>
      <c r="O177" s="137" t="s">
        <v>341</v>
      </c>
      <c r="P177" s="137" t="s">
        <v>346</v>
      </c>
      <c r="Q177" s="137" t="s">
        <v>160</v>
      </c>
    </row>
    <row r="178" spans="2:17" s="138" customFormat="1" ht="23.1" customHeight="1" x14ac:dyDescent="0.25">
      <c r="B178" s="137" t="s">
        <v>119</v>
      </c>
      <c r="C178" s="137" t="s">
        <v>209</v>
      </c>
      <c r="D178" s="97">
        <v>25714.544934093297</v>
      </c>
      <c r="E178" s="98">
        <f t="shared" si="6"/>
        <v>30409.821350630671</v>
      </c>
      <c r="F178" s="97">
        <v>25714.544934093297</v>
      </c>
      <c r="G178" s="98">
        <f t="shared" si="7"/>
        <v>30409.821350630671</v>
      </c>
      <c r="H178" s="137" t="s">
        <v>344</v>
      </c>
      <c r="I178" s="137" t="s">
        <v>286</v>
      </c>
      <c r="J178" s="137" t="s">
        <v>283</v>
      </c>
      <c r="K178" s="137" t="s">
        <v>289</v>
      </c>
      <c r="L178" s="137" t="s">
        <v>292</v>
      </c>
      <c r="M178" s="137" t="s">
        <v>295</v>
      </c>
      <c r="N178" s="137">
        <v>31120</v>
      </c>
      <c r="O178" s="137" t="s">
        <v>341</v>
      </c>
      <c r="P178" s="137" t="s">
        <v>346</v>
      </c>
      <c r="Q178" s="137" t="s">
        <v>160</v>
      </c>
    </row>
    <row r="179" spans="2:17" s="138" customFormat="1" ht="23.1" customHeight="1" x14ac:dyDescent="0.25">
      <c r="B179" s="137" t="s">
        <v>124</v>
      </c>
      <c r="C179" s="137" t="s">
        <v>171</v>
      </c>
      <c r="D179" s="97">
        <v>81111.844471513672</v>
      </c>
      <c r="E179" s="98">
        <f t="shared" si="6"/>
        <v>95922.238022130638</v>
      </c>
      <c r="F179" s="97">
        <v>81111.844471513672</v>
      </c>
      <c r="G179" s="98">
        <f t="shared" si="7"/>
        <v>95922.238022130638</v>
      </c>
      <c r="H179" s="137" t="s">
        <v>344</v>
      </c>
      <c r="I179" s="137" t="s">
        <v>286</v>
      </c>
      <c r="J179" s="137" t="s">
        <v>283</v>
      </c>
      <c r="K179" s="137" t="s">
        <v>289</v>
      </c>
      <c r="L179" s="137" t="s">
        <v>291</v>
      </c>
      <c r="M179" s="137" t="s">
        <v>301</v>
      </c>
      <c r="N179" s="137">
        <v>11220</v>
      </c>
      <c r="O179" s="137" t="s">
        <v>341</v>
      </c>
      <c r="P179" s="137" t="s">
        <v>346</v>
      </c>
      <c r="Q179" s="137" t="s">
        <v>160</v>
      </c>
    </row>
    <row r="180" spans="2:17" s="138" customFormat="1" ht="23.1" customHeight="1" x14ac:dyDescent="0.25">
      <c r="B180" s="137" t="s">
        <v>124</v>
      </c>
      <c r="C180" s="137" t="s">
        <v>172</v>
      </c>
      <c r="D180" s="97">
        <v>11832.816586909334</v>
      </c>
      <c r="E180" s="98">
        <f t="shared" si="6"/>
        <v>13993.397098994008</v>
      </c>
      <c r="F180" s="97">
        <v>11832.816586909334</v>
      </c>
      <c r="G180" s="98">
        <f t="shared" si="7"/>
        <v>13993.397098994008</v>
      </c>
      <c r="H180" s="137" t="s">
        <v>344</v>
      </c>
      <c r="I180" s="137" t="s">
        <v>286</v>
      </c>
      <c r="J180" s="137" t="s">
        <v>283</v>
      </c>
      <c r="K180" s="137" t="s">
        <v>289</v>
      </c>
      <c r="L180" s="137" t="s">
        <v>291</v>
      </c>
      <c r="M180" s="137" t="s">
        <v>301</v>
      </c>
      <c r="N180" s="137">
        <v>11230</v>
      </c>
      <c r="O180" s="137" t="s">
        <v>341</v>
      </c>
      <c r="P180" s="137" t="s">
        <v>346</v>
      </c>
      <c r="Q180" s="137" t="s">
        <v>160</v>
      </c>
    </row>
    <row r="181" spans="2:17" s="138" customFormat="1" ht="23.1" customHeight="1" x14ac:dyDescent="0.25">
      <c r="B181" s="137" t="s">
        <v>124</v>
      </c>
      <c r="C181" s="137" t="s">
        <v>184</v>
      </c>
      <c r="D181" s="97">
        <v>25934.069863444609</v>
      </c>
      <c r="E181" s="98">
        <f t="shared" si="6"/>
        <v>30669.429829049914</v>
      </c>
      <c r="F181" s="97">
        <v>25934.069863444609</v>
      </c>
      <c r="G181" s="98">
        <f t="shared" si="7"/>
        <v>30669.429829049914</v>
      </c>
      <c r="H181" s="137" t="s">
        <v>344</v>
      </c>
      <c r="I181" s="137" t="s">
        <v>286</v>
      </c>
      <c r="J181" s="137" t="s">
        <v>283</v>
      </c>
      <c r="K181" s="137" t="s">
        <v>289</v>
      </c>
      <c r="L181" s="137" t="s">
        <v>291</v>
      </c>
      <c r="M181" s="137" t="s">
        <v>305</v>
      </c>
      <c r="N181" s="137">
        <v>24040</v>
      </c>
      <c r="O181" s="137" t="s">
        <v>341</v>
      </c>
      <c r="P181" s="137" t="s">
        <v>346</v>
      </c>
      <c r="Q181" s="137" t="s">
        <v>160</v>
      </c>
    </row>
    <row r="182" spans="2:17" s="138" customFormat="1" ht="23.1" customHeight="1" x14ac:dyDescent="0.25">
      <c r="B182" s="137" t="s">
        <v>124</v>
      </c>
      <c r="C182" s="137" t="s">
        <v>204</v>
      </c>
      <c r="D182" s="97">
        <v>24017.28367102861</v>
      </c>
      <c r="E182" s="98">
        <f t="shared" si="6"/>
        <v>28402.65334795247</v>
      </c>
      <c r="F182" s="97">
        <v>24017.28367102861</v>
      </c>
      <c r="G182" s="98">
        <f t="shared" si="7"/>
        <v>28402.65334795247</v>
      </c>
      <c r="H182" s="137" t="s">
        <v>344</v>
      </c>
      <c r="I182" s="137" t="s">
        <v>286</v>
      </c>
      <c r="J182" s="137" t="s">
        <v>283</v>
      </c>
      <c r="K182" s="137" t="s">
        <v>289</v>
      </c>
      <c r="L182" s="137" t="s">
        <v>292</v>
      </c>
      <c r="M182" s="137" t="s">
        <v>302</v>
      </c>
      <c r="N182" s="137">
        <v>11330</v>
      </c>
      <c r="O182" s="137" t="s">
        <v>341</v>
      </c>
      <c r="P182" s="137" t="s">
        <v>346</v>
      </c>
      <c r="Q182" s="137" t="s">
        <v>160</v>
      </c>
    </row>
    <row r="183" spans="2:17" s="138" customFormat="1" ht="23.1" customHeight="1" x14ac:dyDescent="0.25">
      <c r="B183" s="137" t="s">
        <v>124</v>
      </c>
      <c r="C183" s="137" t="s">
        <v>220</v>
      </c>
      <c r="D183" s="97">
        <v>14221.580808933682</v>
      </c>
      <c r="E183" s="98">
        <f t="shared" si="6"/>
        <v>16818.331136392717</v>
      </c>
      <c r="F183" s="97">
        <v>14221.580808933682</v>
      </c>
      <c r="G183" s="98">
        <f t="shared" si="7"/>
        <v>16818.331136392717</v>
      </c>
      <c r="H183" s="137" t="s">
        <v>344</v>
      </c>
      <c r="I183" s="137" t="s">
        <v>286</v>
      </c>
      <c r="J183" s="137" t="s">
        <v>283</v>
      </c>
      <c r="K183" s="137" t="s">
        <v>289</v>
      </c>
      <c r="L183" s="137" t="s">
        <v>292</v>
      </c>
      <c r="M183" s="137" t="s">
        <v>295</v>
      </c>
      <c r="N183" s="137">
        <v>31181</v>
      </c>
      <c r="O183" s="137" t="s">
        <v>341</v>
      </c>
      <c r="P183" s="137" t="s">
        <v>346</v>
      </c>
      <c r="Q183" s="137" t="s">
        <v>160</v>
      </c>
    </row>
    <row r="184" spans="2:17" s="138" customFormat="1" ht="23.1" customHeight="1" x14ac:dyDescent="0.25">
      <c r="B184" s="137" t="s">
        <v>124</v>
      </c>
      <c r="C184" s="137" t="s">
        <v>218</v>
      </c>
      <c r="D184" s="97">
        <v>97702.165447755498</v>
      </c>
      <c r="E184" s="98">
        <f t="shared" si="6"/>
        <v>115541.82290415739</v>
      </c>
      <c r="F184" s="97">
        <v>97702.165447755498</v>
      </c>
      <c r="G184" s="98">
        <f t="shared" si="7"/>
        <v>115541.82290415739</v>
      </c>
      <c r="H184" s="137" t="s">
        <v>344</v>
      </c>
      <c r="I184" s="137" t="s">
        <v>286</v>
      </c>
      <c r="J184" s="137" t="s">
        <v>283</v>
      </c>
      <c r="K184" s="137" t="s">
        <v>289</v>
      </c>
      <c r="L184" s="137" t="s">
        <v>292</v>
      </c>
      <c r="M184" s="137" t="s">
        <v>295</v>
      </c>
      <c r="N184" s="137">
        <v>31181</v>
      </c>
      <c r="O184" s="137" t="s">
        <v>341</v>
      </c>
      <c r="P184" s="137" t="s">
        <v>346</v>
      </c>
      <c r="Q184" s="137" t="s">
        <v>160</v>
      </c>
    </row>
    <row r="185" spans="2:17" s="138" customFormat="1" ht="23.1" customHeight="1" x14ac:dyDescent="0.25">
      <c r="B185" s="137" t="s">
        <v>149</v>
      </c>
      <c r="C185" s="137" t="s">
        <v>223</v>
      </c>
      <c r="D185" s="97">
        <v>7460.0019706608709</v>
      </c>
      <c r="E185" s="98">
        <f t="shared" si="6"/>
        <v>8822.140457262145</v>
      </c>
      <c r="F185" s="97">
        <v>7460.0019706608709</v>
      </c>
      <c r="G185" s="98">
        <f t="shared" si="7"/>
        <v>8822.140457262145</v>
      </c>
      <c r="H185" s="137" t="s">
        <v>344</v>
      </c>
      <c r="I185" s="137" t="s">
        <v>286</v>
      </c>
      <c r="J185" s="137" t="s">
        <v>283</v>
      </c>
      <c r="K185" s="137" t="s">
        <v>289</v>
      </c>
      <c r="L185" s="137" t="s">
        <v>292</v>
      </c>
      <c r="M185" s="137" t="s">
        <v>296</v>
      </c>
      <c r="N185" s="137">
        <v>43072</v>
      </c>
      <c r="O185" s="137" t="s">
        <v>341</v>
      </c>
      <c r="P185" s="137" t="s">
        <v>346</v>
      </c>
      <c r="Q185" s="137" t="s">
        <v>160</v>
      </c>
    </row>
    <row r="186" spans="2:17" s="138" customFormat="1" ht="23.1" customHeight="1" x14ac:dyDescent="0.25">
      <c r="B186" s="137" t="s">
        <v>121</v>
      </c>
      <c r="C186" s="137" t="s">
        <v>169</v>
      </c>
      <c r="D186" s="97">
        <v>1000000</v>
      </c>
      <c r="E186" s="98">
        <f t="shared" si="6"/>
        <v>1182592.2421948912</v>
      </c>
      <c r="F186" s="97">
        <v>1000000</v>
      </c>
      <c r="G186" s="98">
        <f t="shared" si="7"/>
        <v>1182592.2421948912</v>
      </c>
      <c r="H186" s="137" t="s">
        <v>344</v>
      </c>
      <c r="I186" s="137" t="s">
        <v>285</v>
      </c>
      <c r="J186" s="137" t="s">
        <v>283</v>
      </c>
      <c r="K186" s="137" t="s">
        <v>289</v>
      </c>
      <c r="L186" s="137" t="s">
        <v>291</v>
      </c>
      <c r="M186" s="137" t="s">
        <v>297</v>
      </c>
      <c r="N186" s="137">
        <v>52010</v>
      </c>
      <c r="O186" s="137" t="s">
        <v>340</v>
      </c>
      <c r="P186" s="137" t="s">
        <v>340</v>
      </c>
      <c r="Q186" s="137" t="s">
        <v>160</v>
      </c>
    </row>
    <row r="187" spans="2:17" s="138" customFormat="1" ht="23.1" customHeight="1" x14ac:dyDescent="0.25">
      <c r="B187" s="137" t="s">
        <v>121</v>
      </c>
      <c r="C187" s="137" t="s">
        <v>190</v>
      </c>
      <c r="D187" s="97">
        <v>59853.4283537261</v>
      </c>
      <c r="E187" s="98">
        <f t="shared" si="6"/>
        <v>70782.200039884221</v>
      </c>
      <c r="F187" s="97">
        <v>59853.4283537261</v>
      </c>
      <c r="G187" s="98">
        <f t="shared" si="7"/>
        <v>70782.200039884221</v>
      </c>
      <c r="H187" s="137" t="s">
        <v>344</v>
      </c>
      <c r="I187" s="137" t="s">
        <v>286</v>
      </c>
      <c r="J187" s="137" t="s">
        <v>283</v>
      </c>
      <c r="K187" s="137" t="s">
        <v>289</v>
      </c>
      <c r="L187" s="137" t="s">
        <v>291</v>
      </c>
      <c r="M187" s="137" t="s">
        <v>295</v>
      </c>
      <c r="N187" s="137">
        <v>31193</v>
      </c>
      <c r="O187" s="137" t="s">
        <v>341</v>
      </c>
      <c r="P187" s="137" t="s">
        <v>346</v>
      </c>
      <c r="Q187" s="137" t="s">
        <v>160</v>
      </c>
    </row>
    <row r="188" spans="2:17" s="138" customFormat="1" ht="23.1" customHeight="1" x14ac:dyDescent="0.25">
      <c r="B188" s="137" t="s">
        <v>121</v>
      </c>
      <c r="C188" s="137" t="s">
        <v>197</v>
      </c>
      <c r="D188" s="97">
        <v>26193.998998145813</v>
      </c>
      <c r="E188" s="98">
        <f t="shared" si="6"/>
        <v>30976.82000726799</v>
      </c>
      <c r="F188" s="97">
        <v>26193.998998145813</v>
      </c>
      <c r="G188" s="98">
        <f t="shared" si="7"/>
        <v>30976.82000726799</v>
      </c>
      <c r="H188" s="137" t="s">
        <v>344</v>
      </c>
      <c r="I188" s="137" t="s">
        <v>286</v>
      </c>
      <c r="J188" s="137" t="s">
        <v>283</v>
      </c>
      <c r="K188" s="137" t="s">
        <v>289</v>
      </c>
      <c r="L188" s="137" t="s">
        <v>291</v>
      </c>
      <c r="M188" s="137" t="s">
        <v>306</v>
      </c>
      <c r="N188" s="137">
        <v>41040</v>
      </c>
      <c r="O188" s="137" t="s">
        <v>341</v>
      </c>
      <c r="P188" s="137" t="s">
        <v>346</v>
      </c>
      <c r="Q188" s="137" t="s">
        <v>160</v>
      </c>
    </row>
    <row r="189" spans="2:17" s="138" customFormat="1" ht="23.1" customHeight="1" x14ac:dyDescent="0.25">
      <c r="B189" s="137" t="s">
        <v>121</v>
      </c>
      <c r="C189" s="137" t="s">
        <v>200</v>
      </c>
      <c r="D189" s="97">
        <v>43418.933035807946</v>
      </c>
      <c r="E189" s="98">
        <f t="shared" si="6"/>
        <v>51346.893372525949</v>
      </c>
      <c r="F189" s="97">
        <v>43418.933035807946</v>
      </c>
      <c r="G189" s="98">
        <f t="shared" si="7"/>
        <v>51346.893372525949</v>
      </c>
      <c r="H189" s="137" t="s">
        <v>344</v>
      </c>
      <c r="I189" s="137" t="s">
        <v>286</v>
      </c>
      <c r="J189" s="137" t="s">
        <v>283</v>
      </c>
      <c r="K189" s="137" t="s">
        <v>289</v>
      </c>
      <c r="L189" s="137" t="s">
        <v>291</v>
      </c>
      <c r="M189" s="137" t="s">
        <v>296</v>
      </c>
      <c r="N189" s="137">
        <v>43073</v>
      </c>
      <c r="O189" s="137" t="s">
        <v>341</v>
      </c>
      <c r="P189" s="137" t="s">
        <v>346</v>
      </c>
      <c r="Q189" s="137" t="s">
        <v>160</v>
      </c>
    </row>
    <row r="190" spans="2:17" s="138" customFormat="1" ht="23.1" customHeight="1" x14ac:dyDescent="0.25">
      <c r="B190" s="137" t="s">
        <v>121</v>
      </c>
      <c r="C190" s="137" t="s">
        <v>210</v>
      </c>
      <c r="D190" s="97">
        <v>164900.95437000273</v>
      </c>
      <c r="E190" s="98">
        <f t="shared" si="6"/>
        <v>195010.58936849894</v>
      </c>
      <c r="F190" s="97">
        <v>164900.95437000273</v>
      </c>
      <c r="G190" s="98">
        <f t="shared" si="7"/>
        <v>195010.58936849894</v>
      </c>
      <c r="H190" s="137" t="s">
        <v>344</v>
      </c>
      <c r="I190" s="137" t="s">
        <v>286</v>
      </c>
      <c r="J190" s="137" t="s">
        <v>283</v>
      </c>
      <c r="K190" s="137" t="s">
        <v>289</v>
      </c>
      <c r="L190" s="137" t="s">
        <v>292</v>
      </c>
      <c r="M190" s="137" t="s">
        <v>295</v>
      </c>
      <c r="N190" s="137">
        <v>31120</v>
      </c>
      <c r="O190" s="137" t="s">
        <v>341</v>
      </c>
      <c r="P190" s="137" t="s">
        <v>346</v>
      </c>
      <c r="Q190" s="137" t="s">
        <v>160</v>
      </c>
    </row>
    <row r="191" spans="2:17" s="138" customFormat="1" ht="23.1" customHeight="1" x14ac:dyDescent="0.25">
      <c r="B191" s="137" t="s">
        <v>121</v>
      </c>
      <c r="C191" s="137" t="s">
        <v>221</v>
      </c>
      <c r="D191" s="97">
        <v>31987.984824063849</v>
      </c>
      <c r="E191" s="98">
        <f t="shared" si="6"/>
        <v>37828.742696385816</v>
      </c>
      <c r="F191" s="97">
        <v>31987.984824063849</v>
      </c>
      <c r="G191" s="98">
        <f t="shared" si="7"/>
        <v>37828.742696385816</v>
      </c>
      <c r="H191" s="137" t="s">
        <v>344</v>
      </c>
      <c r="I191" s="137" t="s">
        <v>286</v>
      </c>
      <c r="J191" s="137" t="s">
        <v>283</v>
      </c>
      <c r="K191" s="137" t="s">
        <v>289</v>
      </c>
      <c r="L191" s="137" t="s">
        <v>292</v>
      </c>
      <c r="M191" s="137" t="s">
        <v>295</v>
      </c>
      <c r="N191" s="137">
        <v>31194</v>
      </c>
      <c r="O191" s="137" t="s">
        <v>341</v>
      </c>
      <c r="P191" s="137" t="s">
        <v>346</v>
      </c>
      <c r="Q191" s="137" t="s">
        <v>160</v>
      </c>
    </row>
    <row r="192" spans="2:17" s="138" customFormat="1" ht="23.1" customHeight="1" x14ac:dyDescent="0.25">
      <c r="B192" s="137" t="s">
        <v>125</v>
      </c>
      <c r="C192" s="137" t="s">
        <v>173</v>
      </c>
      <c r="D192" s="97">
        <v>41467.53576796969</v>
      </c>
      <c r="E192" s="98">
        <f t="shared" si="6"/>
        <v>49039.18610214012</v>
      </c>
      <c r="F192" s="97">
        <v>41467.53576796969</v>
      </c>
      <c r="G192" s="98">
        <f t="shared" si="7"/>
        <v>49039.18610214012</v>
      </c>
      <c r="H192" s="137" t="s">
        <v>344</v>
      </c>
      <c r="I192" s="137" t="s">
        <v>286</v>
      </c>
      <c r="J192" s="137" t="s">
        <v>283</v>
      </c>
      <c r="K192" s="137" t="s">
        <v>289</v>
      </c>
      <c r="L192" s="137" t="s">
        <v>291</v>
      </c>
      <c r="M192" s="137" t="s">
        <v>302</v>
      </c>
      <c r="N192" s="137">
        <v>11330</v>
      </c>
      <c r="O192" s="137" t="s">
        <v>341</v>
      </c>
      <c r="P192" s="137" t="s">
        <v>346</v>
      </c>
      <c r="Q192" s="137" t="s">
        <v>160</v>
      </c>
    </row>
    <row r="193" spans="2:17" s="138" customFormat="1" ht="23.1" customHeight="1" x14ac:dyDescent="0.25">
      <c r="B193" s="137" t="s">
        <v>125</v>
      </c>
      <c r="C193" s="137" t="s">
        <v>221</v>
      </c>
      <c r="D193" s="97">
        <v>13463.514589385224</v>
      </c>
      <c r="E193" s="98">
        <f t="shared" si="6"/>
        <v>15921.8479060847</v>
      </c>
      <c r="F193" s="97">
        <v>13463.514589385224</v>
      </c>
      <c r="G193" s="98">
        <f t="shared" si="7"/>
        <v>15921.8479060847</v>
      </c>
      <c r="H193" s="137" t="s">
        <v>344</v>
      </c>
      <c r="I193" s="137" t="s">
        <v>286</v>
      </c>
      <c r="J193" s="137" t="s">
        <v>283</v>
      </c>
      <c r="K193" s="137" t="s">
        <v>289</v>
      </c>
      <c r="L193" s="137" t="s">
        <v>292</v>
      </c>
      <c r="M193" s="137" t="s">
        <v>295</v>
      </c>
      <c r="N193" s="137">
        <v>31194</v>
      </c>
      <c r="O193" s="137" t="s">
        <v>341</v>
      </c>
      <c r="P193" s="137" t="s">
        <v>346</v>
      </c>
      <c r="Q193" s="137" t="s">
        <v>160</v>
      </c>
    </row>
    <row r="194" spans="2:17" s="138" customFormat="1" ht="23.1" customHeight="1" x14ac:dyDescent="0.25">
      <c r="B194" s="137" t="s">
        <v>139</v>
      </c>
      <c r="C194" s="137" t="s">
        <v>192</v>
      </c>
      <c r="D194" s="97">
        <v>48947.600365529113</v>
      </c>
      <c r="E194" s="98">
        <f t="shared" si="6"/>
        <v>57885.052466330548</v>
      </c>
      <c r="F194" s="97">
        <v>48947.600365529113</v>
      </c>
      <c r="G194" s="98">
        <f t="shared" si="7"/>
        <v>57885.052466330548</v>
      </c>
      <c r="H194" s="137" t="s">
        <v>344</v>
      </c>
      <c r="I194" s="137" t="s">
        <v>286</v>
      </c>
      <c r="J194" s="137" t="s">
        <v>283</v>
      </c>
      <c r="K194" s="137" t="s">
        <v>289</v>
      </c>
      <c r="L194" s="137" t="s">
        <v>291</v>
      </c>
      <c r="M194" s="137" t="s">
        <v>295</v>
      </c>
      <c r="N194" s="137">
        <v>31194</v>
      </c>
      <c r="O194" s="137" t="s">
        <v>341</v>
      </c>
      <c r="P194" s="137" t="s">
        <v>346</v>
      </c>
      <c r="Q194" s="137" t="s">
        <v>160</v>
      </c>
    </row>
    <row r="195" spans="2:17" s="138" customFormat="1" ht="23.1" customHeight="1" x14ac:dyDescent="0.25">
      <c r="B195" s="137" t="s">
        <v>139</v>
      </c>
      <c r="C195" s="137" t="s">
        <v>212</v>
      </c>
      <c r="D195" s="97">
        <v>311209.31387354911</v>
      </c>
      <c r="E195" s="98">
        <f t="shared" si="6"/>
        <v>368033.72028565407</v>
      </c>
      <c r="F195" s="97">
        <v>311209.31387354911</v>
      </c>
      <c r="G195" s="98">
        <f t="shared" si="7"/>
        <v>368033.72028565407</v>
      </c>
      <c r="H195" s="137" t="s">
        <v>344</v>
      </c>
      <c r="I195" s="137" t="s">
        <v>286</v>
      </c>
      <c r="J195" s="137" t="s">
        <v>283</v>
      </c>
      <c r="K195" s="137" t="s">
        <v>289</v>
      </c>
      <c r="L195" s="137" t="s">
        <v>292</v>
      </c>
      <c r="M195" s="137" t="s">
        <v>295</v>
      </c>
      <c r="N195" s="137">
        <v>31161</v>
      </c>
      <c r="O195" s="137" t="s">
        <v>341</v>
      </c>
      <c r="P195" s="137" t="s">
        <v>341</v>
      </c>
      <c r="Q195" s="137" t="s">
        <v>160</v>
      </c>
    </row>
    <row r="196" spans="2:17" s="138" customFormat="1" ht="23.1" customHeight="1" x14ac:dyDescent="0.25">
      <c r="B196" s="137" t="s">
        <v>143</v>
      </c>
      <c r="C196" s="137" t="s">
        <v>211</v>
      </c>
      <c r="D196" s="97">
        <v>48167.557836786145</v>
      </c>
      <c r="E196" s="98">
        <f t="shared" si="6"/>
        <v>56962.580223257028</v>
      </c>
      <c r="F196" s="97">
        <v>48167.557836786145</v>
      </c>
      <c r="G196" s="98">
        <f t="shared" si="7"/>
        <v>56962.580223257028</v>
      </c>
      <c r="H196" s="137" t="s">
        <v>344</v>
      </c>
      <c r="I196" s="137" t="s">
        <v>286</v>
      </c>
      <c r="J196" s="137" t="s">
        <v>283</v>
      </c>
      <c r="K196" s="137" t="s">
        <v>289</v>
      </c>
      <c r="L196" s="137" t="s">
        <v>292</v>
      </c>
      <c r="M196" s="137" t="s">
        <v>295</v>
      </c>
      <c r="N196" s="137">
        <v>31161</v>
      </c>
      <c r="O196" s="137" t="s">
        <v>341</v>
      </c>
      <c r="P196" s="137" t="s">
        <v>341</v>
      </c>
      <c r="Q196" s="137" t="s">
        <v>160</v>
      </c>
    </row>
    <row r="197" spans="2:17" s="138" customFormat="1" ht="23.1" customHeight="1" x14ac:dyDescent="0.25">
      <c r="B197" s="137" t="s">
        <v>135</v>
      </c>
      <c r="C197" s="137" t="s">
        <v>188</v>
      </c>
      <c r="D197" s="97">
        <v>3935.5459785841317</v>
      </c>
      <c r="E197" s="98">
        <f t="shared" si="6"/>
        <v>4654.146143074895</v>
      </c>
      <c r="F197" s="97">
        <v>3935.5459785841317</v>
      </c>
      <c r="G197" s="98">
        <f t="shared" si="7"/>
        <v>4654.146143074895</v>
      </c>
      <c r="H197" s="137" t="s">
        <v>344</v>
      </c>
      <c r="I197" s="137" t="s">
        <v>286</v>
      </c>
      <c r="J197" s="137" t="s">
        <v>283</v>
      </c>
      <c r="K197" s="137" t="s">
        <v>289</v>
      </c>
      <c r="L197" s="137" t="s">
        <v>291</v>
      </c>
      <c r="M197" s="137" t="s">
        <v>295</v>
      </c>
      <c r="N197" s="137">
        <v>31166</v>
      </c>
      <c r="O197" s="137" t="s">
        <v>341</v>
      </c>
      <c r="P197" s="137" t="s">
        <v>341</v>
      </c>
      <c r="Q197" s="137" t="s">
        <v>160</v>
      </c>
    </row>
    <row r="198" spans="2:17" s="138" customFormat="1" ht="23.1" customHeight="1" x14ac:dyDescent="0.25">
      <c r="B198" s="137" t="s">
        <v>135</v>
      </c>
      <c r="C198" s="137" t="s">
        <v>189</v>
      </c>
      <c r="D198" s="97">
        <v>4295.7296547524993</v>
      </c>
      <c r="E198" s="98">
        <f t="shared" si="6"/>
        <v>5080.0965642768433</v>
      </c>
      <c r="F198" s="97">
        <v>4295.7296547524993</v>
      </c>
      <c r="G198" s="98">
        <f t="shared" si="7"/>
        <v>5080.0965642768433</v>
      </c>
      <c r="H198" s="137" t="s">
        <v>344</v>
      </c>
      <c r="I198" s="137" t="s">
        <v>286</v>
      </c>
      <c r="J198" s="137" t="s">
        <v>283</v>
      </c>
      <c r="K198" s="137" t="s">
        <v>289</v>
      </c>
      <c r="L198" s="137" t="s">
        <v>291</v>
      </c>
      <c r="M198" s="137" t="s">
        <v>295</v>
      </c>
      <c r="N198" s="137">
        <v>31181</v>
      </c>
      <c r="O198" s="137" t="s">
        <v>341</v>
      </c>
      <c r="P198" s="137" t="s">
        <v>346</v>
      </c>
      <c r="Q198" s="137" t="s">
        <v>160</v>
      </c>
    </row>
    <row r="199" spans="2:17" s="138" customFormat="1" ht="23.1" customHeight="1" x14ac:dyDescent="0.25">
      <c r="B199" s="137" t="s">
        <v>120</v>
      </c>
      <c r="C199" s="137" t="s">
        <v>602</v>
      </c>
      <c r="D199" s="97">
        <v>13875.647908548421</v>
      </c>
      <c r="E199" s="98">
        <f t="shared" si="6"/>
        <v>16409.23357207713</v>
      </c>
      <c r="F199" s="97">
        <v>13875.647908548421</v>
      </c>
      <c r="G199" s="98">
        <f t="shared" si="7"/>
        <v>16409.23357207713</v>
      </c>
      <c r="H199" s="137" t="s">
        <v>344</v>
      </c>
      <c r="I199" s="137" t="s">
        <v>285</v>
      </c>
      <c r="J199" s="137" t="s">
        <v>283</v>
      </c>
      <c r="K199" s="137" t="s">
        <v>289</v>
      </c>
      <c r="L199" s="137" t="s">
        <v>291</v>
      </c>
      <c r="M199" s="137" t="s">
        <v>296</v>
      </c>
      <c r="N199" s="137">
        <v>43040</v>
      </c>
      <c r="O199" s="137" t="s">
        <v>341</v>
      </c>
      <c r="P199" s="137" t="s">
        <v>346</v>
      </c>
      <c r="Q199" s="137" t="s">
        <v>160</v>
      </c>
    </row>
    <row r="200" spans="2:17" s="138" customFormat="1" ht="23.1" customHeight="1" x14ac:dyDescent="0.25">
      <c r="B200" s="137" t="s">
        <v>136</v>
      </c>
      <c r="C200" s="137" t="s">
        <v>188</v>
      </c>
      <c r="D200" s="97">
        <v>5264.8676687859925</v>
      </c>
      <c r="E200" s="98">
        <f t="shared" si="6"/>
        <v>6226.1916612890163</v>
      </c>
      <c r="F200" s="97">
        <v>5264.8676687859925</v>
      </c>
      <c r="G200" s="98">
        <f t="shared" si="7"/>
        <v>6226.1916612890163</v>
      </c>
      <c r="H200" s="137" t="s">
        <v>344</v>
      </c>
      <c r="I200" s="137" t="s">
        <v>286</v>
      </c>
      <c r="J200" s="137" t="s">
        <v>283</v>
      </c>
      <c r="K200" s="137" t="s">
        <v>289</v>
      </c>
      <c r="L200" s="137" t="s">
        <v>291</v>
      </c>
      <c r="M200" s="137" t="s">
        <v>295</v>
      </c>
      <c r="N200" s="137">
        <v>31166</v>
      </c>
      <c r="O200" s="137" t="s">
        <v>341</v>
      </c>
      <c r="P200" s="137" t="s">
        <v>341</v>
      </c>
      <c r="Q200" s="137" t="s">
        <v>160</v>
      </c>
    </row>
    <row r="201" spans="2:17" s="138" customFormat="1" ht="23.1" customHeight="1" x14ac:dyDescent="0.25">
      <c r="B201" s="137" t="s">
        <v>136</v>
      </c>
      <c r="C201" s="137" t="s">
        <v>189</v>
      </c>
      <c r="D201" s="97">
        <v>4525.352966793027</v>
      </c>
      <c r="E201" s="98">
        <f t="shared" si="6"/>
        <v>5351.647311723068</v>
      </c>
      <c r="F201" s="97">
        <v>4525.352966793027</v>
      </c>
      <c r="G201" s="98">
        <f t="shared" si="7"/>
        <v>5351.647311723068</v>
      </c>
      <c r="H201" s="137" t="s">
        <v>344</v>
      </c>
      <c r="I201" s="137" t="s">
        <v>286</v>
      </c>
      <c r="J201" s="137" t="s">
        <v>283</v>
      </c>
      <c r="K201" s="137" t="s">
        <v>289</v>
      </c>
      <c r="L201" s="137" t="s">
        <v>291</v>
      </c>
      <c r="M201" s="137" t="s">
        <v>295</v>
      </c>
      <c r="N201" s="137">
        <v>31181</v>
      </c>
      <c r="O201" s="137" t="s">
        <v>341</v>
      </c>
      <c r="P201" s="137" t="s">
        <v>346</v>
      </c>
      <c r="Q201" s="137" t="s">
        <v>160</v>
      </c>
    </row>
    <row r="202" spans="2:17" s="138" customFormat="1" ht="23.1" customHeight="1" x14ac:dyDescent="0.25">
      <c r="B202" s="137" t="s">
        <v>167</v>
      </c>
      <c r="C202" s="137" t="s">
        <v>280</v>
      </c>
      <c r="D202" s="97">
        <v>83386.039999999994</v>
      </c>
      <c r="E202" s="98">
        <f t="shared" si="2"/>
        <v>98611.684011352874</v>
      </c>
      <c r="F202" s="97">
        <v>83386.039999999994</v>
      </c>
      <c r="G202" s="98">
        <f t="shared" si="3"/>
        <v>98611.684011352874</v>
      </c>
      <c r="H202" s="137" t="s">
        <v>344</v>
      </c>
      <c r="I202" s="137" t="s">
        <v>286</v>
      </c>
      <c r="J202" s="137" t="s">
        <v>284</v>
      </c>
      <c r="K202" s="137" t="s">
        <v>289</v>
      </c>
      <c r="L202" s="137" t="s">
        <v>292</v>
      </c>
      <c r="M202" s="137" t="s">
        <v>337</v>
      </c>
      <c r="N202" s="137">
        <v>41081</v>
      </c>
      <c r="O202" s="137" t="s">
        <v>341</v>
      </c>
      <c r="P202" s="137" t="s">
        <v>346</v>
      </c>
      <c r="Q202" s="137" t="s">
        <v>160</v>
      </c>
    </row>
    <row r="203" spans="2:17" s="138" customFormat="1" ht="36" customHeight="1" x14ac:dyDescent="0.25">
      <c r="B203" s="137" t="s">
        <v>166</v>
      </c>
      <c r="C203" s="137" t="s">
        <v>278</v>
      </c>
      <c r="D203" s="97">
        <v>885307.07</v>
      </c>
      <c r="E203" s="98">
        <f t="shared" si="2"/>
        <v>1046957.2729422894</v>
      </c>
      <c r="F203" s="97">
        <v>885307.07</v>
      </c>
      <c r="G203" s="98">
        <f t="shared" si="3"/>
        <v>1046957.2729422894</v>
      </c>
      <c r="H203" s="137" t="s">
        <v>344</v>
      </c>
      <c r="I203" s="137" t="s">
        <v>552</v>
      </c>
      <c r="J203" s="137" t="s">
        <v>284</v>
      </c>
      <c r="K203" s="137" t="s">
        <v>289</v>
      </c>
      <c r="L203" s="137" t="s">
        <v>291</v>
      </c>
      <c r="M203" s="137" t="s">
        <v>323</v>
      </c>
      <c r="N203" s="137">
        <v>41040</v>
      </c>
      <c r="O203" s="137" t="s">
        <v>341</v>
      </c>
      <c r="P203" s="137" t="s">
        <v>341</v>
      </c>
      <c r="Q203" s="137" t="s">
        <v>160</v>
      </c>
    </row>
    <row r="204" spans="2:17" s="138" customFormat="1" ht="23.1" customHeight="1" x14ac:dyDescent="0.25">
      <c r="B204" s="137" t="s">
        <v>128</v>
      </c>
      <c r="C204" s="137" t="s">
        <v>252</v>
      </c>
      <c r="D204" s="97">
        <v>487276.61</v>
      </c>
      <c r="E204" s="98">
        <f t="shared" si="2"/>
        <v>576249.53878902551</v>
      </c>
      <c r="F204" s="97">
        <v>487276.61</v>
      </c>
      <c r="G204" s="98">
        <f t="shared" si="3"/>
        <v>576249.53878902551</v>
      </c>
      <c r="H204" s="137" t="s">
        <v>345</v>
      </c>
      <c r="I204" s="137" t="s">
        <v>286</v>
      </c>
      <c r="J204" s="137" t="s">
        <v>284</v>
      </c>
      <c r="K204" s="137" t="s">
        <v>289</v>
      </c>
      <c r="L204" s="137" t="s">
        <v>291</v>
      </c>
      <c r="M204" s="137" t="s">
        <v>311</v>
      </c>
      <c r="N204" s="137">
        <v>43071</v>
      </c>
      <c r="O204" s="137" t="s">
        <v>341</v>
      </c>
      <c r="P204" s="137" t="s">
        <v>346</v>
      </c>
      <c r="Q204" s="137" t="s">
        <v>404</v>
      </c>
    </row>
    <row r="205" spans="2:17" s="138" customFormat="1" ht="23.1" customHeight="1" x14ac:dyDescent="0.25">
      <c r="B205" s="137" t="s">
        <v>128</v>
      </c>
      <c r="C205" s="137" t="s">
        <v>252</v>
      </c>
      <c r="D205" s="97">
        <v>90000</v>
      </c>
      <c r="E205" s="98">
        <f t="shared" si="2"/>
        <v>106433.3017975402</v>
      </c>
      <c r="F205" s="97">
        <v>90000</v>
      </c>
      <c r="G205" s="98">
        <f t="shared" si="3"/>
        <v>106433.3017975402</v>
      </c>
      <c r="H205" s="137" t="s">
        <v>344</v>
      </c>
      <c r="I205" s="137" t="s">
        <v>286</v>
      </c>
      <c r="J205" s="137" t="s">
        <v>284</v>
      </c>
      <c r="K205" s="137" t="s">
        <v>289</v>
      </c>
      <c r="L205" s="137" t="s">
        <v>291</v>
      </c>
      <c r="M205" s="137" t="s">
        <v>311</v>
      </c>
      <c r="N205" s="137">
        <v>43071</v>
      </c>
      <c r="O205" s="137" t="s">
        <v>341</v>
      </c>
      <c r="P205" s="137" t="s">
        <v>346</v>
      </c>
      <c r="Q205" s="137" t="s">
        <v>160</v>
      </c>
    </row>
    <row r="206" spans="2:17" s="138" customFormat="1" ht="23.1" customHeight="1" x14ac:dyDescent="0.25">
      <c r="B206" s="137" t="s">
        <v>128</v>
      </c>
      <c r="C206" s="137" t="s">
        <v>270</v>
      </c>
      <c r="D206" s="97">
        <v>100000</v>
      </c>
      <c r="E206" s="98">
        <f t="shared" si="2"/>
        <v>118259.22421948912</v>
      </c>
      <c r="F206" s="97">
        <v>100000</v>
      </c>
      <c r="G206" s="98">
        <f t="shared" si="3"/>
        <v>118259.22421948912</v>
      </c>
      <c r="H206" s="137" t="s">
        <v>344</v>
      </c>
      <c r="I206" s="137" t="s">
        <v>286</v>
      </c>
      <c r="J206" s="137" t="s">
        <v>284</v>
      </c>
      <c r="K206" s="137" t="s">
        <v>289</v>
      </c>
      <c r="L206" s="137" t="s">
        <v>293</v>
      </c>
      <c r="M206" s="137" t="s">
        <v>298</v>
      </c>
      <c r="N206" s="137">
        <v>31220</v>
      </c>
      <c r="O206" s="137" t="s">
        <v>341</v>
      </c>
      <c r="P206" s="137" t="s">
        <v>341</v>
      </c>
      <c r="Q206" s="137" t="s">
        <v>160</v>
      </c>
    </row>
    <row r="207" spans="2:17" s="138" customFormat="1" ht="23.1" customHeight="1" x14ac:dyDescent="0.25">
      <c r="B207" s="137" t="s">
        <v>138</v>
      </c>
      <c r="C207" s="137" t="s">
        <v>233</v>
      </c>
      <c r="D207" s="97">
        <v>102000</v>
      </c>
      <c r="E207" s="98">
        <f t="shared" si="2"/>
        <v>120624.4087038789</v>
      </c>
      <c r="F207" s="97">
        <v>102000</v>
      </c>
      <c r="G207" s="98">
        <f t="shared" si="3"/>
        <v>120624.4087038789</v>
      </c>
      <c r="H207" s="137" t="s">
        <v>344</v>
      </c>
      <c r="I207" s="137" t="s">
        <v>286</v>
      </c>
      <c r="J207" s="137" t="s">
        <v>284</v>
      </c>
      <c r="K207" s="137" t="s">
        <v>289</v>
      </c>
      <c r="L207" s="137" t="s">
        <v>291</v>
      </c>
      <c r="M207" s="137" t="s">
        <v>295</v>
      </c>
      <c r="N207" s="137">
        <v>31181</v>
      </c>
      <c r="O207" s="137" t="s">
        <v>341</v>
      </c>
      <c r="P207" s="137" t="s">
        <v>341</v>
      </c>
      <c r="Q207" s="137" t="s">
        <v>160</v>
      </c>
    </row>
    <row r="208" spans="2:17" s="138" customFormat="1" ht="23.1" customHeight="1" x14ac:dyDescent="0.25">
      <c r="B208" s="137" t="s">
        <v>130</v>
      </c>
      <c r="C208" s="137" t="s">
        <v>237</v>
      </c>
      <c r="D208" s="97">
        <v>96012</v>
      </c>
      <c r="E208" s="98">
        <f t="shared" si="2"/>
        <v>113543.04635761588</v>
      </c>
      <c r="F208" s="97">
        <v>96012</v>
      </c>
      <c r="G208" s="98">
        <f t="shared" si="3"/>
        <v>113543.04635761588</v>
      </c>
      <c r="H208" s="137" t="s">
        <v>344</v>
      </c>
      <c r="I208" s="137" t="s">
        <v>286</v>
      </c>
      <c r="J208" s="137" t="s">
        <v>284</v>
      </c>
      <c r="K208" s="137" t="s">
        <v>289</v>
      </c>
      <c r="L208" s="137" t="s">
        <v>291</v>
      </c>
      <c r="M208" s="137" t="s">
        <v>309</v>
      </c>
      <c r="N208" s="137">
        <v>31181</v>
      </c>
      <c r="O208" s="137" t="s">
        <v>341</v>
      </c>
      <c r="P208" s="137" t="s">
        <v>341</v>
      </c>
      <c r="Q208" s="137" t="s">
        <v>160</v>
      </c>
    </row>
    <row r="209" spans="2:17" s="138" customFormat="1" ht="23.1" customHeight="1" x14ac:dyDescent="0.25">
      <c r="B209" s="137" t="s">
        <v>122</v>
      </c>
      <c r="C209" s="137" t="s">
        <v>240</v>
      </c>
      <c r="D209" s="97">
        <v>500000</v>
      </c>
      <c r="E209" s="98">
        <f t="shared" si="2"/>
        <v>591296.1210974456</v>
      </c>
      <c r="F209" s="97">
        <v>500000</v>
      </c>
      <c r="G209" s="98">
        <f t="shared" si="3"/>
        <v>591296.1210974456</v>
      </c>
      <c r="H209" s="137" t="s">
        <v>345</v>
      </c>
      <c r="I209" s="137" t="s">
        <v>286</v>
      </c>
      <c r="J209" s="137" t="s">
        <v>284</v>
      </c>
      <c r="K209" s="137" t="s">
        <v>289</v>
      </c>
      <c r="L209" s="137" t="s">
        <v>291</v>
      </c>
      <c r="M209" s="137" t="s">
        <v>311</v>
      </c>
      <c r="N209" s="137">
        <v>31181</v>
      </c>
      <c r="O209" s="137" t="s">
        <v>341</v>
      </c>
      <c r="P209" s="137" t="s">
        <v>341</v>
      </c>
      <c r="Q209" s="137" t="s">
        <v>404</v>
      </c>
    </row>
    <row r="210" spans="2:17" s="138" customFormat="1" ht="23.1" customHeight="1" x14ac:dyDescent="0.25">
      <c r="B210" s="137" t="s">
        <v>122</v>
      </c>
      <c r="C210" s="137" t="s">
        <v>240</v>
      </c>
      <c r="D210" s="97">
        <v>70000</v>
      </c>
      <c r="E210" s="98">
        <f t="shared" si="2"/>
        <v>82781.456953642381</v>
      </c>
      <c r="F210" s="97">
        <v>70000</v>
      </c>
      <c r="G210" s="98">
        <f t="shared" si="3"/>
        <v>82781.456953642381</v>
      </c>
      <c r="H210" s="137" t="s">
        <v>344</v>
      </c>
      <c r="I210" s="137" t="s">
        <v>286</v>
      </c>
      <c r="J210" s="137" t="s">
        <v>284</v>
      </c>
      <c r="K210" s="137" t="s">
        <v>289</v>
      </c>
      <c r="L210" s="137" t="s">
        <v>291</v>
      </c>
      <c r="M210" s="137" t="s">
        <v>311</v>
      </c>
      <c r="N210" s="137">
        <v>31181</v>
      </c>
      <c r="O210" s="137" t="s">
        <v>341</v>
      </c>
      <c r="P210" s="137" t="s">
        <v>341</v>
      </c>
      <c r="Q210" s="137" t="s">
        <v>160</v>
      </c>
    </row>
    <row r="211" spans="2:17" s="138" customFormat="1" ht="23.1" customHeight="1" x14ac:dyDescent="0.25">
      <c r="B211" s="137" t="s">
        <v>122</v>
      </c>
      <c r="C211" s="137" t="s">
        <v>244</v>
      </c>
      <c r="D211" s="97">
        <v>100000</v>
      </c>
      <c r="E211" s="98">
        <f t="shared" si="2"/>
        <v>118259.22421948912</v>
      </c>
      <c r="F211" s="97">
        <v>100000</v>
      </c>
      <c r="G211" s="98">
        <f t="shared" si="3"/>
        <v>118259.22421948912</v>
      </c>
      <c r="H211" s="137" t="s">
        <v>344</v>
      </c>
      <c r="I211" s="137" t="s">
        <v>286</v>
      </c>
      <c r="J211" s="137" t="s">
        <v>284</v>
      </c>
      <c r="K211" s="137" t="s">
        <v>289</v>
      </c>
      <c r="L211" s="137" t="s">
        <v>291</v>
      </c>
      <c r="M211" s="137" t="s">
        <v>314</v>
      </c>
      <c r="N211" s="137">
        <v>31110</v>
      </c>
      <c r="O211" s="137" t="s">
        <v>341</v>
      </c>
      <c r="P211" s="137" t="s">
        <v>341</v>
      </c>
      <c r="Q211" s="137" t="s">
        <v>160</v>
      </c>
    </row>
    <row r="212" spans="2:17" s="138" customFormat="1" ht="23.1" customHeight="1" x14ac:dyDescent="0.25">
      <c r="B212" s="137" t="s">
        <v>122</v>
      </c>
      <c r="C212" s="137" t="s">
        <v>246</v>
      </c>
      <c r="D212" s="97">
        <v>85079.61</v>
      </c>
      <c r="E212" s="98">
        <f t="shared" si="2"/>
        <v>100614.48675496689</v>
      </c>
      <c r="F212" s="97">
        <v>85079.61</v>
      </c>
      <c r="G212" s="98">
        <f t="shared" si="3"/>
        <v>100614.48675496689</v>
      </c>
      <c r="H212" s="137" t="s">
        <v>344</v>
      </c>
      <c r="I212" s="137" t="s">
        <v>286</v>
      </c>
      <c r="J212" s="137" t="s">
        <v>284</v>
      </c>
      <c r="K212" s="137" t="s">
        <v>289</v>
      </c>
      <c r="L212" s="137" t="s">
        <v>291</v>
      </c>
      <c r="M212" s="137" t="s">
        <v>315</v>
      </c>
      <c r="N212" s="137">
        <v>41081</v>
      </c>
      <c r="O212" s="137" t="s">
        <v>341</v>
      </c>
      <c r="P212" s="137" t="s">
        <v>341</v>
      </c>
      <c r="Q212" s="137" t="s">
        <v>160</v>
      </c>
    </row>
    <row r="213" spans="2:17" s="138" customFormat="1" ht="23.1" customHeight="1" x14ac:dyDescent="0.25">
      <c r="B213" s="137" t="s">
        <v>122</v>
      </c>
      <c r="C213" s="137" t="s">
        <v>253</v>
      </c>
      <c r="D213" s="97">
        <v>100000</v>
      </c>
      <c r="E213" s="98">
        <f t="shared" si="2"/>
        <v>118259.22421948912</v>
      </c>
      <c r="F213" s="97">
        <v>100000</v>
      </c>
      <c r="G213" s="98">
        <f t="shared" si="3"/>
        <v>118259.22421948912</v>
      </c>
      <c r="H213" s="137" t="s">
        <v>344</v>
      </c>
      <c r="I213" s="137" t="s">
        <v>286</v>
      </c>
      <c r="J213" s="137" t="s">
        <v>284</v>
      </c>
      <c r="K213" s="137" t="s">
        <v>289</v>
      </c>
      <c r="L213" s="137" t="s">
        <v>292</v>
      </c>
      <c r="M213" s="137" t="s">
        <v>320</v>
      </c>
      <c r="N213" s="137">
        <v>31110</v>
      </c>
      <c r="O213" s="137" t="s">
        <v>341</v>
      </c>
      <c r="P213" s="137" t="s">
        <v>341</v>
      </c>
      <c r="Q213" s="137" t="s">
        <v>160</v>
      </c>
    </row>
    <row r="214" spans="2:17" s="138" customFormat="1" ht="23.1" customHeight="1" x14ac:dyDescent="0.25">
      <c r="B214" s="137" t="s">
        <v>122</v>
      </c>
      <c r="C214" s="137" t="s">
        <v>274</v>
      </c>
      <c r="D214" s="97">
        <v>300000</v>
      </c>
      <c r="E214" s="98">
        <f t="shared" si="2"/>
        <v>354777.67265846732</v>
      </c>
      <c r="F214" s="97">
        <v>300000</v>
      </c>
      <c r="G214" s="98">
        <f t="shared" si="3"/>
        <v>354777.67265846732</v>
      </c>
      <c r="H214" s="137" t="s">
        <v>345</v>
      </c>
      <c r="I214" s="137" t="s">
        <v>286</v>
      </c>
      <c r="J214" s="137" t="s">
        <v>284</v>
      </c>
      <c r="K214" s="137" t="s">
        <v>289</v>
      </c>
      <c r="L214" s="137" t="s">
        <v>293</v>
      </c>
      <c r="M214" s="137" t="s">
        <v>336</v>
      </c>
      <c r="N214" s="137">
        <v>31181</v>
      </c>
      <c r="O214" s="137" t="s">
        <v>341</v>
      </c>
      <c r="P214" s="137" t="s">
        <v>341</v>
      </c>
      <c r="Q214" s="137" t="s">
        <v>404</v>
      </c>
    </row>
    <row r="215" spans="2:17" s="138" customFormat="1" ht="23.1" customHeight="1" x14ac:dyDescent="0.25">
      <c r="B215" s="137" t="s">
        <v>122</v>
      </c>
      <c r="C215" s="137" t="s">
        <v>274</v>
      </c>
      <c r="D215" s="97">
        <v>100000</v>
      </c>
      <c r="E215" s="98">
        <f t="shared" si="2"/>
        <v>118259.22421948912</v>
      </c>
      <c r="F215" s="97">
        <v>100000</v>
      </c>
      <c r="G215" s="98">
        <f t="shared" si="3"/>
        <v>118259.22421948912</v>
      </c>
      <c r="H215" s="137" t="s">
        <v>344</v>
      </c>
      <c r="I215" s="137" t="s">
        <v>286</v>
      </c>
      <c r="J215" s="137" t="s">
        <v>284</v>
      </c>
      <c r="K215" s="137" t="s">
        <v>289</v>
      </c>
      <c r="L215" s="137" t="s">
        <v>293</v>
      </c>
      <c r="M215" s="137" t="s">
        <v>336</v>
      </c>
      <c r="N215" s="137">
        <v>31181</v>
      </c>
      <c r="O215" s="137" t="s">
        <v>341</v>
      </c>
      <c r="P215" s="137" t="s">
        <v>341</v>
      </c>
      <c r="Q215" s="137" t="s">
        <v>160</v>
      </c>
    </row>
    <row r="216" spans="2:17" s="138" customFormat="1" ht="23.1" customHeight="1" x14ac:dyDescent="0.25">
      <c r="B216" s="137" t="s">
        <v>129</v>
      </c>
      <c r="C216" s="137" t="s">
        <v>234</v>
      </c>
      <c r="D216" s="97">
        <v>100000</v>
      </c>
      <c r="E216" s="98">
        <f t="shared" si="2"/>
        <v>118259.22421948912</v>
      </c>
      <c r="F216" s="97">
        <v>100000</v>
      </c>
      <c r="G216" s="98">
        <f t="shared" si="3"/>
        <v>118259.22421948912</v>
      </c>
      <c r="H216" s="137" t="s">
        <v>344</v>
      </c>
      <c r="I216" s="137" t="s">
        <v>286</v>
      </c>
      <c r="J216" s="137" t="s">
        <v>284</v>
      </c>
      <c r="K216" s="137" t="s">
        <v>289</v>
      </c>
      <c r="L216" s="137" t="s">
        <v>291</v>
      </c>
      <c r="M216" s="137" t="s">
        <v>295</v>
      </c>
      <c r="N216" s="137">
        <v>41081</v>
      </c>
      <c r="O216" s="137" t="s">
        <v>341</v>
      </c>
      <c r="P216" s="137" t="s">
        <v>341</v>
      </c>
      <c r="Q216" s="137" t="s">
        <v>160</v>
      </c>
    </row>
    <row r="217" spans="2:17" s="138" customFormat="1" ht="23.1" customHeight="1" x14ac:dyDescent="0.25">
      <c r="B217" s="137" t="s">
        <v>117</v>
      </c>
      <c r="C217" s="137" t="s">
        <v>248</v>
      </c>
      <c r="D217" s="97">
        <v>45000</v>
      </c>
      <c r="E217" s="98">
        <f t="shared" si="2"/>
        <v>53216.650898770102</v>
      </c>
      <c r="F217" s="97">
        <v>45000</v>
      </c>
      <c r="G217" s="98">
        <f t="shared" si="3"/>
        <v>53216.650898770102</v>
      </c>
      <c r="H217" s="137" t="s">
        <v>344</v>
      </c>
      <c r="I217" s="137" t="s">
        <v>286</v>
      </c>
      <c r="J217" s="137" t="s">
        <v>284</v>
      </c>
      <c r="K217" s="137" t="s">
        <v>289</v>
      </c>
      <c r="L217" s="137" t="s">
        <v>291</v>
      </c>
      <c r="M217" s="137" t="s">
        <v>317</v>
      </c>
      <c r="N217" s="137">
        <v>41081</v>
      </c>
      <c r="O217" s="137" t="s">
        <v>341</v>
      </c>
      <c r="P217" s="137" t="s">
        <v>341</v>
      </c>
      <c r="Q217" s="137" t="s">
        <v>160</v>
      </c>
    </row>
    <row r="218" spans="2:17" s="138" customFormat="1" ht="23.1" customHeight="1" x14ac:dyDescent="0.25">
      <c r="B218" s="137" t="s">
        <v>161</v>
      </c>
      <c r="C218" s="137" t="s">
        <v>266</v>
      </c>
      <c r="D218" s="97">
        <v>395000</v>
      </c>
      <c r="E218" s="98">
        <f t="shared" si="2"/>
        <v>467123.93566698197</v>
      </c>
      <c r="F218" s="97">
        <v>395000</v>
      </c>
      <c r="G218" s="98">
        <f t="shared" si="3"/>
        <v>467123.93566698197</v>
      </c>
      <c r="H218" s="137" t="s">
        <v>345</v>
      </c>
      <c r="I218" s="137" t="s">
        <v>286</v>
      </c>
      <c r="J218" s="137" t="s">
        <v>284</v>
      </c>
      <c r="K218" s="137" t="s">
        <v>289</v>
      </c>
      <c r="L218" s="137" t="s">
        <v>292</v>
      </c>
      <c r="M218" s="137" t="s">
        <v>331</v>
      </c>
      <c r="N218" s="137">
        <v>31220</v>
      </c>
      <c r="O218" s="137" t="s">
        <v>341</v>
      </c>
      <c r="P218" s="137" t="s">
        <v>341</v>
      </c>
      <c r="Q218" s="137" t="s">
        <v>404</v>
      </c>
    </row>
    <row r="219" spans="2:17" s="138" customFormat="1" ht="23.1" customHeight="1" x14ac:dyDescent="0.25">
      <c r="B219" s="137" t="s">
        <v>161</v>
      </c>
      <c r="C219" s="137" t="s">
        <v>266</v>
      </c>
      <c r="D219" s="97">
        <v>95000</v>
      </c>
      <c r="E219" s="98">
        <f t="shared" si="2"/>
        <v>112346.26300851465</v>
      </c>
      <c r="F219" s="97">
        <v>95000</v>
      </c>
      <c r="G219" s="98">
        <f t="shared" si="3"/>
        <v>112346.26300851465</v>
      </c>
      <c r="H219" s="137" t="s">
        <v>344</v>
      </c>
      <c r="I219" s="137" t="s">
        <v>286</v>
      </c>
      <c r="J219" s="137" t="s">
        <v>284</v>
      </c>
      <c r="K219" s="137" t="s">
        <v>289</v>
      </c>
      <c r="L219" s="137" t="s">
        <v>292</v>
      </c>
      <c r="M219" s="137" t="s">
        <v>331</v>
      </c>
      <c r="N219" s="137">
        <v>31220</v>
      </c>
      <c r="O219" s="137" t="s">
        <v>341</v>
      </c>
      <c r="P219" s="137" t="s">
        <v>341</v>
      </c>
      <c r="Q219" s="137" t="s">
        <v>160</v>
      </c>
    </row>
    <row r="220" spans="2:17" s="138" customFormat="1" ht="23.1" customHeight="1" x14ac:dyDescent="0.25">
      <c r="B220" s="137" t="s">
        <v>163</v>
      </c>
      <c r="C220" s="137" t="s">
        <v>275</v>
      </c>
      <c r="D220" s="97">
        <v>80000</v>
      </c>
      <c r="E220" s="98">
        <f t="shared" si="2"/>
        <v>94607.379375591292</v>
      </c>
      <c r="F220" s="97">
        <v>80000</v>
      </c>
      <c r="G220" s="98">
        <f t="shared" si="3"/>
        <v>94607.379375591292</v>
      </c>
      <c r="H220" s="137" t="s">
        <v>344</v>
      </c>
      <c r="I220" s="137" t="s">
        <v>286</v>
      </c>
      <c r="J220" s="137" t="s">
        <v>284</v>
      </c>
      <c r="K220" s="137" t="s">
        <v>289</v>
      </c>
      <c r="L220" s="137" t="s">
        <v>291</v>
      </c>
      <c r="M220" s="137" t="s">
        <v>295</v>
      </c>
      <c r="N220" s="137">
        <v>31120</v>
      </c>
      <c r="O220" s="137" t="s">
        <v>341</v>
      </c>
      <c r="P220" s="137" t="s">
        <v>341</v>
      </c>
      <c r="Q220" s="137" t="s">
        <v>160</v>
      </c>
    </row>
    <row r="221" spans="2:17" s="138" customFormat="1" ht="33" customHeight="1" x14ac:dyDescent="0.25">
      <c r="B221" s="137" t="s">
        <v>158</v>
      </c>
      <c r="C221" s="137" t="s">
        <v>261</v>
      </c>
      <c r="D221" s="97">
        <v>540000</v>
      </c>
      <c r="E221" s="98">
        <f t="shared" si="2"/>
        <v>638599.81078524119</v>
      </c>
      <c r="F221" s="97">
        <v>540000</v>
      </c>
      <c r="G221" s="98">
        <f t="shared" si="3"/>
        <v>638599.81078524119</v>
      </c>
      <c r="H221" s="137" t="s">
        <v>344</v>
      </c>
      <c r="I221" s="137" t="s">
        <v>553</v>
      </c>
      <c r="J221" s="137" t="s">
        <v>284</v>
      </c>
      <c r="K221" s="137" t="s">
        <v>289</v>
      </c>
      <c r="L221" s="137" t="s">
        <v>292</v>
      </c>
      <c r="M221" s="137" t="s">
        <v>327</v>
      </c>
      <c r="N221" s="137">
        <v>14050</v>
      </c>
      <c r="O221" s="137" t="s">
        <v>341</v>
      </c>
      <c r="P221" s="137" t="s">
        <v>341</v>
      </c>
      <c r="Q221" s="137" t="s">
        <v>160</v>
      </c>
    </row>
    <row r="222" spans="2:17" s="138" customFormat="1" ht="23.1" customHeight="1" x14ac:dyDescent="0.25">
      <c r="B222" s="137" t="s">
        <v>151</v>
      </c>
      <c r="C222" s="137" t="s">
        <v>265</v>
      </c>
      <c r="D222" s="97">
        <v>8688</v>
      </c>
      <c r="E222" s="98">
        <f t="shared" si="2"/>
        <v>10274.361400189215</v>
      </c>
      <c r="F222" s="97">
        <v>8688</v>
      </c>
      <c r="G222" s="98">
        <f t="shared" si="3"/>
        <v>10274.361400189215</v>
      </c>
      <c r="H222" s="137" t="s">
        <v>344</v>
      </c>
      <c r="I222" s="137" t="s">
        <v>285</v>
      </c>
      <c r="J222" s="137" t="s">
        <v>284</v>
      </c>
      <c r="K222" s="137" t="s">
        <v>289</v>
      </c>
      <c r="L222" s="137" t="s">
        <v>292</v>
      </c>
      <c r="M222" s="137" t="s">
        <v>330</v>
      </c>
      <c r="N222" s="137">
        <v>15160</v>
      </c>
      <c r="O222" s="137" t="s">
        <v>341</v>
      </c>
      <c r="P222" s="137" t="s">
        <v>346</v>
      </c>
      <c r="Q222" s="137" t="s">
        <v>160</v>
      </c>
    </row>
    <row r="223" spans="2:17" s="138" customFormat="1" ht="23.1" customHeight="1" x14ac:dyDescent="0.25">
      <c r="B223" s="137" t="s">
        <v>151</v>
      </c>
      <c r="C223" s="137" t="s">
        <v>268</v>
      </c>
      <c r="D223" s="97">
        <v>600000</v>
      </c>
      <c r="E223" s="98">
        <f t="shared" si="2"/>
        <v>709555.34531693463</v>
      </c>
      <c r="F223" s="97">
        <v>600000</v>
      </c>
      <c r="G223" s="98">
        <f t="shared" si="3"/>
        <v>709555.34531693463</v>
      </c>
      <c r="H223" s="137" t="s">
        <v>345</v>
      </c>
      <c r="I223" s="137" t="s">
        <v>285</v>
      </c>
      <c r="J223" s="137" t="s">
        <v>284</v>
      </c>
      <c r="K223" s="137" t="s">
        <v>289</v>
      </c>
      <c r="L223" s="137" t="s">
        <v>292</v>
      </c>
      <c r="M223" s="137" t="s">
        <v>330</v>
      </c>
      <c r="N223" s="137">
        <v>15160</v>
      </c>
      <c r="O223" s="137" t="s">
        <v>340</v>
      </c>
      <c r="P223" s="137" t="s">
        <v>340</v>
      </c>
      <c r="Q223" s="137" t="s">
        <v>404</v>
      </c>
    </row>
    <row r="224" spans="2:17" s="138" customFormat="1" ht="23.1" customHeight="1" x14ac:dyDescent="0.25">
      <c r="B224" s="137" t="s">
        <v>151</v>
      </c>
      <c r="C224" s="137" t="s">
        <v>268</v>
      </c>
      <c r="D224" s="97">
        <v>158000</v>
      </c>
      <c r="E224" s="98">
        <f t="shared" si="2"/>
        <v>186849.5742667928</v>
      </c>
      <c r="F224" s="97">
        <v>158000</v>
      </c>
      <c r="G224" s="98">
        <f t="shared" si="3"/>
        <v>186849.5742667928</v>
      </c>
      <c r="H224" s="137" t="s">
        <v>344</v>
      </c>
      <c r="I224" s="137" t="s">
        <v>285</v>
      </c>
      <c r="J224" s="137" t="s">
        <v>284</v>
      </c>
      <c r="K224" s="137" t="s">
        <v>289</v>
      </c>
      <c r="L224" s="137" t="s">
        <v>292</v>
      </c>
      <c r="M224" s="137" t="s">
        <v>330</v>
      </c>
      <c r="N224" s="137">
        <v>15160</v>
      </c>
      <c r="O224" s="137" t="s">
        <v>340</v>
      </c>
      <c r="P224" s="137" t="s">
        <v>340</v>
      </c>
      <c r="Q224" s="137" t="s">
        <v>160</v>
      </c>
    </row>
    <row r="225" spans="2:17" s="138" customFormat="1" ht="23.1" customHeight="1" x14ac:dyDescent="0.25">
      <c r="B225" s="137" t="s">
        <v>354</v>
      </c>
      <c r="C225" s="137" t="s">
        <v>267</v>
      </c>
      <c r="D225" s="97">
        <v>10000</v>
      </c>
      <c r="E225" s="98">
        <f t="shared" si="2"/>
        <v>11825.922421948912</v>
      </c>
      <c r="F225" s="97">
        <v>10000</v>
      </c>
      <c r="G225" s="98">
        <f t="shared" si="3"/>
        <v>11825.922421948912</v>
      </c>
      <c r="H225" s="137" t="s">
        <v>345</v>
      </c>
      <c r="I225" s="137" t="s">
        <v>285</v>
      </c>
      <c r="J225" s="137" t="s">
        <v>284</v>
      </c>
      <c r="K225" s="137" t="s">
        <v>289</v>
      </c>
      <c r="L225" s="137" t="s">
        <v>292</v>
      </c>
      <c r="M225" s="137" t="s">
        <v>332</v>
      </c>
      <c r="N225" s="137" t="s">
        <v>340</v>
      </c>
      <c r="O225" s="137" t="s">
        <v>340</v>
      </c>
      <c r="P225" s="137" t="s">
        <v>340</v>
      </c>
      <c r="Q225" s="137" t="s">
        <v>404</v>
      </c>
    </row>
    <row r="226" spans="2:17" s="138" customFormat="1" ht="23.1" customHeight="1" x14ac:dyDescent="0.25">
      <c r="B226" s="137" t="s">
        <v>354</v>
      </c>
      <c r="C226" s="137" t="s">
        <v>267</v>
      </c>
      <c r="D226" s="97">
        <v>10000</v>
      </c>
      <c r="E226" s="98">
        <f t="shared" si="2"/>
        <v>11825.922421948912</v>
      </c>
      <c r="F226" s="97">
        <v>10000</v>
      </c>
      <c r="G226" s="98">
        <f t="shared" si="3"/>
        <v>11825.922421948912</v>
      </c>
      <c r="H226" s="137" t="s">
        <v>344</v>
      </c>
      <c r="I226" s="137" t="s">
        <v>285</v>
      </c>
      <c r="J226" s="137" t="s">
        <v>284</v>
      </c>
      <c r="K226" s="137" t="s">
        <v>289</v>
      </c>
      <c r="L226" s="137" t="s">
        <v>292</v>
      </c>
      <c r="M226" s="137" t="s">
        <v>332</v>
      </c>
      <c r="N226" s="137" t="s">
        <v>340</v>
      </c>
      <c r="O226" s="137" t="s">
        <v>340</v>
      </c>
      <c r="P226" s="137" t="s">
        <v>340</v>
      </c>
      <c r="Q226" s="137" t="s">
        <v>160</v>
      </c>
    </row>
    <row r="227" spans="2:17" s="138" customFormat="1" ht="23.1" customHeight="1" x14ac:dyDescent="0.25">
      <c r="B227" s="137" t="s">
        <v>368</v>
      </c>
      <c r="C227" s="137" t="s">
        <v>367</v>
      </c>
      <c r="D227" s="97">
        <v>1581288</v>
      </c>
      <c r="E227" s="98">
        <f t="shared" si="2"/>
        <v>1870018.921475875</v>
      </c>
      <c r="F227" s="97">
        <v>1581288</v>
      </c>
      <c r="G227" s="98">
        <f t="shared" si="3"/>
        <v>1870018.921475875</v>
      </c>
      <c r="H227" s="137" t="s">
        <v>345</v>
      </c>
      <c r="I227" s="137" t="s">
        <v>285</v>
      </c>
      <c r="J227" s="137" t="s">
        <v>284</v>
      </c>
      <c r="K227" s="137" t="s">
        <v>289</v>
      </c>
      <c r="L227" s="137" t="s">
        <v>291</v>
      </c>
      <c r="M227" s="137" t="s">
        <v>369</v>
      </c>
      <c r="N227" s="137">
        <v>41081</v>
      </c>
      <c r="O227" s="137" t="s">
        <v>341</v>
      </c>
      <c r="P227" s="137" t="s">
        <v>346</v>
      </c>
      <c r="Q227" s="137" t="s">
        <v>404</v>
      </c>
    </row>
    <row r="228" spans="2:17" s="138" customFormat="1" ht="23.1" customHeight="1" x14ac:dyDescent="0.25">
      <c r="B228" s="137" t="s">
        <v>368</v>
      </c>
      <c r="C228" s="137" t="s">
        <v>367</v>
      </c>
      <c r="D228" s="97">
        <v>434596</v>
      </c>
      <c r="E228" s="98">
        <f t="shared" si="2"/>
        <v>513949.85808893089</v>
      </c>
      <c r="F228" s="97">
        <v>434596</v>
      </c>
      <c r="G228" s="98">
        <f t="shared" si="3"/>
        <v>513949.85808893089</v>
      </c>
      <c r="H228" s="137" t="s">
        <v>344</v>
      </c>
      <c r="I228" s="137" t="s">
        <v>285</v>
      </c>
      <c r="J228" s="137" t="s">
        <v>284</v>
      </c>
      <c r="K228" s="137" t="s">
        <v>289</v>
      </c>
      <c r="L228" s="137" t="s">
        <v>291</v>
      </c>
      <c r="M228" s="137" t="s">
        <v>369</v>
      </c>
      <c r="N228" s="137">
        <v>41081</v>
      </c>
      <c r="O228" s="137" t="s">
        <v>341</v>
      </c>
      <c r="P228" s="137" t="s">
        <v>346</v>
      </c>
      <c r="Q228" s="137"/>
    </row>
    <row r="229" spans="2:17" s="138" customFormat="1" ht="23.1" customHeight="1" x14ac:dyDescent="0.25">
      <c r="B229" s="137" t="s">
        <v>142</v>
      </c>
      <c r="C229" s="137" t="s">
        <v>254</v>
      </c>
      <c r="D229" s="97">
        <v>99973</v>
      </c>
      <c r="E229" s="98">
        <f t="shared" si="2"/>
        <v>118227.29422894985</v>
      </c>
      <c r="F229" s="97">
        <v>99973</v>
      </c>
      <c r="G229" s="98">
        <f t="shared" si="3"/>
        <v>118227.29422894985</v>
      </c>
      <c r="H229" s="137" t="s">
        <v>344</v>
      </c>
      <c r="I229" s="137" t="s">
        <v>286</v>
      </c>
      <c r="J229" s="137" t="s">
        <v>284</v>
      </c>
      <c r="K229" s="137" t="s">
        <v>289</v>
      </c>
      <c r="L229" s="137" t="s">
        <v>292</v>
      </c>
      <c r="M229" s="137" t="s">
        <v>321</v>
      </c>
      <c r="N229" s="137">
        <v>31181</v>
      </c>
      <c r="O229" s="137" t="s">
        <v>341</v>
      </c>
      <c r="P229" s="137" t="s">
        <v>341</v>
      </c>
      <c r="Q229" s="137" t="s">
        <v>160</v>
      </c>
    </row>
    <row r="230" spans="2:17" s="138" customFormat="1" ht="23.1" customHeight="1" x14ac:dyDescent="0.25">
      <c r="B230" s="137" t="s">
        <v>153</v>
      </c>
      <c r="C230" s="137" t="s">
        <v>238</v>
      </c>
      <c r="D230" s="97">
        <v>45189.31</v>
      </c>
      <c r="E230" s="98">
        <f t="shared" si="2"/>
        <v>53440.527436140015</v>
      </c>
      <c r="F230" s="97">
        <v>45189.31</v>
      </c>
      <c r="G230" s="98">
        <f t="shared" si="3"/>
        <v>53440.527436140015</v>
      </c>
      <c r="H230" s="137" t="s">
        <v>344</v>
      </c>
      <c r="I230" s="137" t="s">
        <v>286</v>
      </c>
      <c r="J230" s="137" t="s">
        <v>284</v>
      </c>
      <c r="K230" s="137" t="s">
        <v>289</v>
      </c>
      <c r="L230" s="137" t="s">
        <v>291</v>
      </c>
      <c r="M230" s="137" t="s">
        <v>310</v>
      </c>
      <c r="N230" s="137">
        <v>31181</v>
      </c>
      <c r="O230" s="137" t="s">
        <v>341</v>
      </c>
      <c r="P230" s="137" t="s">
        <v>341</v>
      </c>
      <c r="Q230" s="137" t="s">
        <v>160</v>
      </c>
    </row>
    <row r="231" spans="2:17" s="138" customFormat="1" ht="23.1" customHeight="1" x14ac:dyDescent="0.25">
      <c r="B231" s="137" t="s">
        <v>162</v>
      </c>
      <c r="C231" s="137" t="s">
        <v>273</v>
      </c>
      <c r="D231" s="97">
        <v>100000</v>
      </c>
      <c r="E231" s="98">
        <f t="shared" si="2"/>
        <v>118259.22421948912</v>
      </c>
      <c r="F231" s="97">
        <v>100000</v>
      </c>
      <c r="G231" s="98">
        <f t="shared" si="3"/>
        <v>118259.22421948912</v>
      </c>
      <c r="H231" s="137" t="s">
        <v>344</v>
      </c>
      <c r="I231" s="137" t="s">
        <v>286</v>
      </c>
      <c r="J231" s="137" t="s">
        <v>284</v>
      </c>
      <c r="K231" s="137" t="s">
        <v>289</v>
      </c>
      <c r="L231" s="137" t="s">
        <v>293</v>
      </c>
      <c r="M231" s="137" t="s">
        <v>335</v>
      </c>
      <c r="N231" s="137">
        <v>41081</v>
      </c>
      <c r="O231" s="137" t="s">
        <v>341</v>
      </c>
      <c r="P231" s="137" t="s">
        <v>341</v>
      </c>
      <c r="Q231" s="137" t="s">
        <v>160</v>
      </c>
    </row>
    <row r="232" spans="2:17" s="138" customFormat="1" ht="23.1" customHeight="1" x14ac:dyDescent="0.25">
      <c r="B232" s="137" t="s">
        <v>124</v>
      </c>
      <c r="C232" s="137" t="s">
        <v>255</v>
      </c>
      <c r="D232" s="97">
        <v>99812</v>
      </c>
      <c r="E232" s="98">
        <f t="shared" si="2"/>
        <v>118036.89687795647</v>
      </c>
      <c r="F232" s="97">
        <v>99812</v>
      </c>
      <c r="G232" s="98">
        <f t="shared" si="3"/>
        <v>118036.89687795647</v>
      </c>
      <c r="H232" s="137" t="s">
        <v>344</v>
      </c>
      <c r="I232" s="137" t="s">
        <v>286</v>
      </c>
      <c r="J232" s="137" t="s">
        <v>284</v>
      </c>
      <c r="K232" s="137" t="s">
        <v>289</v>
      </c>
      <c r="L232" s="137" t="s">
        <v>292</v>
      </c>
      <c r="M232" s="137" t="s">
        <v>321</v>
      </c>
      <c r="N232" s="137">
        <v>31181</v>
      </c>
      <c r="O232" s="137" t="s">
        <v>341</v>
      </c>
      <c r="P232" s="137" t="s">
        <v>341</v>
      </c>
      <c r="Q232" s="137" t="s">
        <v>160</v>
      </c>
    </row>
    <row r="233" spans="2:17" s="138" customFormat="1" ht="23.1" customHeight="1" x14ac:dyDescent="0.25">
      <c r="B233" s="137" t="s">
        <v>124</v>
      </c>
      <c r="C233" s="137" t="s">
        <v>259</v>
      </c>
      <c r="D233" s="97">
        <v>100030</v>
      </c>
      <c r="E233" s="98">
        <f t="shared" si="2"/>
        <v>118294.70198675495</v>
      </c>
      <c r="F233" s="97">
        <v>100030</v>
      </c>
      <c r="G233" s="98">
        <f t="shared" si="3"/>
        <v>118294.70198675495</v>
      </c>
      <c r="H233" s="137" t="s">
        <v>344</v>
      </c>
      <c r="I233" s="137" t="s">
        <v>286</v>
      </c>
      <c r="J233" s="137" t="s">
        <v>284</v>
      </c>
      <c r="K233" s="137" t="s">
        <v>289</v>
      </c>
      <c r="L233" s="137" t="s">
        <v>292</v>
      </c>
      <c r="M233" s="137" t="s">
        <v>325</v>
      </c>
      <c r="N233" s="137">
        <v>31181</v>
      </c>
      <c r="O233" s="137" t="s">
        <v>341</v>
      </c>
      <c r="P233" s="137" t="s">
        <v>341</v>
      </c>
      <c r="Q233" s="137" t="s">
        <v>160</v>
      </c>
    </row>
    <row r="234" spans="2:17" s="138" customFormat="1" ht="23.1" customHeight="1" x14ac:dyDescent="0.25">
      <c r="B234" s="137" t="s">
        <v>121</v>
      </c>
      <c r="C234" s="137" t="s">
        <v>235</v>
      </c>
      <c r="D234" s="97">
        <v>99110</v>
      </c>
      <c r="E234" s="98">
        <f t="shared" si="2"/>
        <v>117206.71712393565</v>
      </c>
      <c r="F234" s="97">
        <v>99110</v>
      </c>
      <c r="G234" s="98">
        <f t="shared" si="3"/>
        <v>117206.71712393565</v>
      </c>
      <c r="H234" s="137" t="s">
        <v>344</v>
      </c>
      <c r="I234" s="137" t="s">
        <v>286</v>
      </c>
      <c r="J234" s="137" t="s">
        <v>284</v>
      </c>
      <c r="K234" s="137" t="s">
        <v>289</v>
      </c>
      <c r="L234" s="137" t="s">
        <v>291</v>
      </c>
      <c r="M234" s="137" t="s">
        <v>295</v>
      </c>
      <c r="N234" s="137">
        <v>31110</v>
      </c>
      <c r="O234" s="137" t="s">
        <v>341</v>
      </c>
      <c r="P234" s="137" t="s">
        <v>341</v>
      </c>
      <c r="Q234" s="137" t="s">
        <v>160</v>
      </c>
    </row>
    <row r="235" spans="2:17" s="138" customFormat="1" ht="23.1" customHeight="1" x14ac:dyDescent="0.25">
      <c r="B235" s="137" t="s">
        <v>157</v>
      </c>
      <c r="C235" s="137" t="s">
        <v>256</v>
      </c>
      <c r="D235" s="97">
        <v>299997.98</v>
      </c>
      <c r="E235" s="98">
        <f t="shared" ref="E235:E252" si="8">D235*(1/$C$4)</f>
        <v>354775.2838221381</v>
      </c>
      <c r="F235" s="97">
        <v>299997.98</v>
      </c>
      <c r="G235" s="98">
        <f t="shared" ref="G235:G252" si="9">F235*(1/$C$4)</f>
        <v>354775.2838221381</v>
      </c>
      <c r="H235" s="137" t="s">
        <v>345</v>
      </c>
      <c r="I235" s="137" t="s">
        <v>286</v>
      </c>
      <c r="J235" s="137" t="s">
        <v>284</v>
      </c>
      <c r="K235" s="137" t="s">
        <v>289</v>
      </c>
      <c r="L235" s="137" t="s">
        <v>292</v>
      </c>
      <c r="M235" s="137" t="s">
        <v>322</v>
      </c>
      <c r="N235" s="137">
        <v>31110</v>
      </c>
      <c r="O235" s="137" t="s">
        <v>341</v>
      </c>
      <c r="P235" s="137" t="s">
        <v>341</v>
      </c>
      <c r="Q235" s="137" t="s">
        <v>404</v>
      </c>
    </row>
    <row r="236" spans="2:17" s="138" customFormat="1" ht="23.1" customHeight="1" x14ac:dyDescent="0.25">
      <c r="B236" s="137" t="s">
        <v>157</v>
      </c>
      <c r="C236" s="137" t="s">
        <v>256</v>
      </c>
      <c r="D236" s="97">
        <v>100000</v>
      </c>
      <c r="E236" s="98">
        <f t="shared" si="8"/>
        <v>118259.22421948912</v>
      </c>
      <c r="F236" s="97">
        <v>100000</v>
      </c>
      <c r="G236" s="98">
        <f t="shared" si="9"/>
        <v>118259.22421948912</v>
      </c>
      <c r="H236" s="137" t="s">
        <v>344</v>
      </c>
      <c r="I236" s="137" t="s">
        <v>286</v>
      </c>
      <c r="J236" s="137" t="s">
        <v>284</v>
      </c>
      <c r="K236" s="137" t="s">
        <v>289</v>
      </c>
      <c r="L236" s="137" t="s">
        <v>292</v>
      </c>
      <c r="M236" s="137" t="s">
        <v>322</v>
      </c>
      <c r="N236" s="137">
        <v>31110</v>
      </c>
      <c r="O236" s="137" t="s">
        <v>341</v>
      </c>
      <c r="P236" s="137" t="s">
        <v>341</v>
      </c>
      <c r="Q236" s="137" t="s">
        <v>160</v>
      </c>
    </row>
    <row r="237" spans="2:17" s="138" customFormat="1" ht="23.1" customHeight="1" x14ac:dyDescent="0.25">
      <c r="B237" s="137" t="s">
        <v>157</v>
      </c>
      <c r="C237" s="137" t="s">
        <v>260</v>
      </c>
      <c r="D237" s="97">
        <v>270616</v>
      </c>
      <c r="E237" s="98">
        <f t="shared" si="8"/>
        <v>320028.38221381267</v>
      </c>
      <c r="F237" s="97">
        <v>270616</v>
      </c>
      <c r="G237" s="98">
        <f t="shared" si="9"/>
        <v>320028.38221381267</v>
      </c>
      <c r="H237" s="137" t="s">
        <v>345</v>
      </c>
      <c r="I237" s="137" t="s">
        <v>286</v>
      </c>
      <c r="J237" s="137" t="s">
        <v>284</v>
      </c>
      <c r="K237" s="137" t="s">
        <v>289</v>
      </c>
      <c r="L237" s="137" t="s">
        <v>292</v>
      </c>
      <c r="M237" s="137" t="s">
        <v>326</v>
      </c>
      <c r="N237" s="137">
        <v>24040</v>
      </c>
      <c r="O237" s="137" t="s">
        <v>341</v>
      </c>
      <c r="P237" s="137" t="s">
        <v>341</v>
      </c>
      <c r="Q237" s="137" t="s">
        <v>404</v>
      </c>
    </row>
    <row r="238" spans="2:17" s="138" customFormat="1" ht="23.1" customHeight="1" x14ac:dyDescent="0.25">
      <c r="B238" s="137" t="s">
        <v>157</v>
      </c>
      <c r="C238" s="137" t="s">
        <v>260</v>
      </c>
      <c r="D238" s="97">
        <v>70000</v>
      </c>
      <c r="E238" s="98">
        <f t="shared" si="8"/>
        <v>82781.456953642381</v>
      </c>
      <c r="F238" s="97">
        <v>70000</v>
      </c>
      <c r="G238" s="98">
        <f t="shared" si="9"/>
        <v>82781.456953642381</v>
      </c>
      <c r="H238" s="137" t="s">
        <v>344</v>
      </c>
      <c r="I238" s="137" t="s">
        <v>286</v>
      </c>
      <c r="J238" s="137" t="s">
        <v>284</v>
      </c>
      <c r="K238" s="137" t="s">
        <v>289</v>
      </c>
      <c r="L238" s="137" t="s">
        <v>292</v>
      </c>
      <c r="M238" s="137" t="s">
        <v>326</v>
      </c>
      <c r="N238" s="137">
        <v>24040</v>
      </c>
      <c r="O238" s="137" t="s">
        <v>341</v>
      </c>
      <c r="P238" s="137" t="s">
        <v>341</v>
      </c>
      <c r="Q238" s="137" t="s">
        <v>160</v>
      </c>
    </row>
    <row r="239" spans="2:17" s="138" customFormat="1" ht="27.75" customHeight="1" x14ac:dyDescent="0.25">
      <c r="B239" s="137" t="s">
        <v>159</v>
      </c>
      <c r="C239" s="137" t="s">
        <v>262</v>
      </c>
      <c r="D239" s="97">
        <v>4000000</v>
      </c>
      <c r="E239" s="98">
        <f t="shared" si="8"/>
        <v>4730368.9687795648</v>
      </c>
      <c r="F239" s="97">
        <v>4000000</v>
      </c>
      <c r="G239" s="98">
        <f t="shared" si="9"/>
        <v>4730368.9687795648</v>
      </c>
      <c r="H239" s="137" t="s">
        <v>345</v>
      </c>
      <c r="I239" s="137" t="s">
        <v>553</v>
      </c>
      <c r="J239" s="137" t="s">
        <v>284</v>
      </c>
      <c r="K239" s="137" t="s">
        <v>289</v>
      </c>
      <c r="L239" s="137" t="s">
        <v>292</v>
      </c>
      <c r="M239" s="137" t="s">
        <v>328</v>
      </c>
      <c r="N239" s="137">
        <v>14050</v>
      </c>
      <c r="O239" s="137" t="s">
        <v>341</v>
      </c>
      <c r="P239" s="137" t="s">
        <v>341</v>
      </c>
      <c r="Q239" s="137" t="s">
        <v>404</v>
      </c>
    </row>
    <row r="240" spans="2:17" s="138" customFormat="1" ht="26.25" customHeight="1" x14ac:dyDescent="0.25">
      <c r="B240" s="137" t="s">
        <v>159</v>
      </c>
      <c r="C240" s="137" t="s">
        <v>262</v>
      </c>
      <c r="D240" s="97">
        <v>1000000</v>
      </c>
      <c r="E240" s="98">
        <f t="shared" si="8"/>
        <v>1182592.2421948912</v>
      </c>
      <c r="F240" s="97">
        <v>1000000</v>
      </c>
      <c r="G240" s="98">
        <f t="shared" si="9"/>
        <v>1182592.2421948912</v>
      </c>
      <c r="H240" s="137" t="s">
        <v>344</v>
      </c>
      <c r="I240" s="137" t="s">
        <v>553</v>
      </c>
      <c r="J240" s="137" t="s">
        <v>284</v>
      </c>
      <c r="K240" s="137" t="s">
        <v>289</v>
      </c>
      <c r="L240" s="137" t="s">
        <v>292</v>
      </c>
      <c r="M240" s="137" t="s">
        <v>328</v>
      </c>
      <c r="N240" s="137">
        <v>14050</v>
      </c>
      <c r="O240" s="137" t="s">
        <v>341</v>
      </c>
      <c r="P240" s="137" t="s">
        <v>341</v>
      </c>
      <c r="Q240" s="137" t="s">
        <v>160</v>
      </c>
    </row>
    <row r="241" spans="2:17" s="138" customFormat="1" ht="23.1" customHeight="1" x14ac:dyDescent="0.25">
      <c r="B241" s="137" t="s">
        <v>165</v>
      </c>
      <c r="C241" s="137" t="s">
        <v>277</v>
      </c>
      <c r="D241" s="97">
        <v>20000</v>
      </c>
      <c r="E241" s="98">
        <f t="shared" si="8"/>
        <v>23651.844843897823</v>
      </c>
      <c r="F241" s="97">
        <v>20000</v>
      </c>
      <c r="G241" s="98">
        <f t="shared" si="9"/>
        <v>23651.844843897823</v>
      </c>
      <c r="H241" s="137" t="s">
        <v>345</v>
      </c>
      <c r="I241" s="137" t="s">
        <v>287</v>
      </c>
      <c r="J241" s="137" t="s">
        <v>284</v>
      </c>
      <c r="K241" s="137" t="s">
        <v>289</v>
      </c>
      <c r="L241" s="137" t="s">
        <v>291</v>
      </c>
      <c r="M241" s="137" t="s">
        <v>323</v>
      </c>
      <c r="N241" s="81" t="s">
        <v>340</v>
      </c>
      <c r="O241" s="137" t="s">
        <v>340</v>
      </c>
      <c r="P241" s="137" t="s">
        <v>340</v>
      </c>
      <c r="Q241" s="137" t="s">
        <v>404</v>
      </c>
    </row>
    <row r="242" spans="2:17" s="138" customFormat="1" ht="23.1" customHeight="1" x14ac:dyDescent="0.25">
      <c r="B242" s="137" t="s">
        <v>165</v>
      </c>
      <c r="C242" s="137" t="s">
        <v>277</v>
      </c>
      <c r="D242" s="97">
        <v>20000</v>
      </c>
      <c r="E242" s="98">
        <f t="shared" si="8"/>
        <v>23651.844843897823</v>
      </c>
      <c r="F242" s="97">
        <v>20000</v>
      </c>
      <c r="G242" s="98">
        <f t="shared" si="9"/>
        <v>23651.844843897823</v>
      </c>
      <c r="H242" s="137" t="s">
        <v>344</v>
      </c>
      <c r="I242" s="137" t="s">
        <v>287</v>
      </c>
      <c r="J242" s="137" t="s">
        <v>284</v>
      </c>
      <c r="K242" s="137" t="s">
        <v>289</v>
      </c>
      <c r="L242" s="137" t="s">
        <v>291</v>
      </c>
      <c r="M242" s="137" t="s">
        <v>323</v>
      </c>
      <c r="N242" s="81" t="s">
        <v>340</v>
      </c>
      <c r="O242" s="137" t="s">
        <v>340</v>
      </c>
      <c r="P242" s="137" t="s">
        <v>340</v>
      </c>
      <c r="Q242" s="137"/>
    </row>
    <row r="243" spans="2:17" s="138" customFormat="1" ht="23.1" customHeight="1" x14ac:dyDescent="0.25">
      <c r="B243" s="137" t="s">
        <v>125</v>
      </c>
      <c r="C243" s="137" t="s">
        <v>241</v>
      </c>
      <c r="D243" s="97">
        <v>101396.33</v>
      </c>
      <c r="E243" s="98">
        <f t="shared" si="8"/>
        <v>119910.5132450331</v>
      </c>
      <c r="F243" s="97">
        <v>101396.33</v>
      </c>
      <c r="G243" s="98">
        <f t="shared" si="9"/>
        <v>119910.5132450331</v>
      </c>
      <c r="H243" s="137" t="s">
        <v>344</v>
      </c>
      <c r="I243" s="137" t="s">
        <v>286</v>
      </c>
      <c r="J243" s="137" t="s">
        <v>284</v>
      </c>
      <c r="K243" s="137" t="s">
        <v>289</v>
      </c>
      <c r="L243" s="137" t="s">
        <v>291</v>
      </c>
      <c r="M243" s="137" t="s">
        <v>312</v>
      </c>
      <c r="N243" s="137">
        <v>41081</v>
      </c>
      <c r="O243" s="137" t="s">
        <v>341</v>
      </c>
      <c r="P243" s="137" t="s">
        <v>341</v>
      </c>
      <c r="Q243" s="137" t="s">
        <v>160</v>
      </c>
    </row>
    <row r="244" spans="2:17" s="138" customFormat="1" ht="23.1" customHeight="1" x14ac:dyDescent="0.25">
      <c r="B244" s="137" t="s">
        <v>125</v>
      </c>
      <c r="C244" s="137" t="s">
        <v>243</v>
      </c>
      <c r="D244" s="97">
        <v>46715.79</v>
      </c>
      <c r="E244" s="98">
        <f t="shared" si="8"/>
        <v>55245.730842005672</v>
      </c>
      <c r="F244" s="97">
        <v>46715.79</v>
      </c>
      <c r="G244" s="98">
        <f t="shared" si="9"/>
        <v>55245.730842005672</v>
      </c>
      <c r="H244" s="137" t="s">
        <v>344</v>
      </c>
      <c r="I244" s="137" t="s">
        <v>286</v>
      </c>
      <c r="J244" s="137" t="s">
        <v>284</v>
      </c>
      <c r="K244" s="137" t="s">
        <v>289</v>
      </c>
      <c r="L244" s="137" t="s">
        <v>291</v>
      </c>
      <c r="M244" s="137" t="s">
        <v>313</v>
      </c>
      <c r="N244" s="137">
        <v>41081</v>
      </c>
      <c r="O244" s="137" t="s">
        <v>341</v>
      </c>
      <c r="P244" s="137" t="s">
        <v>341</v>
      </c>
      <c r="Q244" s="137" t="s">
        <v>160</v>
      </c>
    </row>
    <row r="245" spans="2:17" s="138" customFormat="1" ht="23.1" customHeight="1" x14ac:dyDescent="0.25">
      <c r="B245" s="137" t="s">
        <v>125</v>
      </c>
      <c r="C245" s="137" t="s">
        <v>258</v>
      </c>
      <c r="D245" s="97">
        <v>100000</v>
      </c>
      <c r="E245" s="98">
        <f t="shared" si="8"/>
        <v>118259.22421948912</v>
      </c>
      <c r="F245" s="97">
        <v>100000</v>
      </c>
      <c r="G245" s="98">
        <f t="shared" si="9"/>
        <v>118259.22421948912</v>
      </c>
      <c r="H245" s="137" t="s">
        <v>344</v>
      </c>
      <c r="I245" s="137" t="s">
        <v>286</v>
      </c>
      <c r="J245" s="137" t="s">
        <v>284</v>
      </c>
      <c r="K245" s="137" t="s">
        <v>289</v>
      </c>
      <c r="L245" s="137" t="s">
        <v>292</v>
      </c>
      <c r="M245" s="137" t="s">
        <v>324</v>
      </c>
      <c r="N245" s="137">
        <v>31210</v>
      </c>
      <c r="O245" s="137" t="s">
        <v>341</v>
      </c>
      <c r="P245" s="137" t="s">
        <v>341</v>
      </c>
      <c r="Q245" s="137" t="s">
        <v>160</v>
      </c>
    </row>
    <row r="246" spans="2:17" s="138" customFormat="1" ht="29.25" customHeight="1" x14ac:dyDescent="0.25">
      <c r="B246" s="137" t="s">
        <v>125</v>
      </c>
      <c r="C246" s="137" t="s">
        <v>263</v>
      </c>
      <c r="D246" s="97">
        <v>1216216.75</v>
      </c>
      <c r="E246" s="98">
        <f t="shared" si="8"/>
        <v>1438288.4933774834</v>
      </c>
      <c r="F246" s="97">
        <v>1216216.75</v>
      </c>
      <c r="G246" s="98">
        <f t="shared" si="9"/>
        <v>1438288.4933774834</v>
      </c>
      <c r="H246" s="137" t="s">
        <v>344</v>
      </c>
      <c r="I246" s="137" t="s">
        <v>553</v>
      </c>
      <c r="J246" s="137" t="s">
        <v>284</v>
      </c>
      <c r="K246" s="137" t="s">
        <v>289</v>
      </c>
      <c r="L246" s="137" t="s">
        <v>292</v>
      </c>
      <c r="M246" s="137" t="s">
        <v>329</v>
      </c>
      <c r="N246" s="137">
        <v>14050</v>
      </c>
      <c r="O246" s="137" t="s">
        <v>341</v>
      </c>
      <c r="P246" s="137" t="s">
        <v>341</v>
      </c>
      <c r="Q246" s="137" t="s">
        <v>160</v>
      </c>
    </row>
    <row r="247" spans="2:17" s="138" customFormat="1" ht="27.75" customHeight="1" x14ac:dyDescent="0.25">
      <c r="B247" s="137" t="s">
        <v>155</v>
      </c>
      <c r="C247" s="137" t="s">
        <v>250</v>
      </c>
      <c r="D247" s="97">
        <v>1610000</v>
      </c>
      <c r="E247" s="98">
        <f t="shared" si="8"/>
        <v>1903973.5099337746</v>
      </c>
      <c r="F247" s="97">
        <v>1610000</v>
      </c>
      <c r="G247" s="98">
        <f t="shared" si="9"/>
        <v>1903973.5099337746</v>
      </c>
      <c r="H247" s="137" t="s">
        <v>345</v>
      </c>
      <c r="I247" s="137" t="s">
        <v>553</v>
      </c>
      <c r="J247" s="137" t="s">
        <v>284</v>
      </c>
      <c r="K247" s="137" t="s">
        <v>289</v>
      </c>
      <c r="L247" s="137" t="s">
        <v>291</v>
      </c>
      <c r="M247" s="137" t="s">
        <v>319</v>
      </c>
      <c r="N247" s="137">
        <v>14031</v>
      </c>
      <c r="O247" s="137" t="s">
        <v>341</v>
      </c>
      <c r="P247" s="137" t="s">
        <v>341</v>
      </c>
      <c r="Q247" s="137" t="s">
        <v>404</v>
      </c>
    </row>
    <row r="248" spans="2:17" s="138" customFormat="1" ht="28.5" customHeight="1" x14ac:dyDescent="0.25">
      <c r="B248" s="137" t="s">
        <v>155</v>
      </c>
      <c r="C248" s="137" t="s">
        <v>250</v>
      </c>
      <c r="D248" s="97">
        <v>470000</v>
      </c>
      <c r="E248" s="98">
        <f t="shared" si="8"/>
        <v>555818.35383159877</v>
      </c>
      <c r="F248" s="97">
        <v>470000</v>
      </c>
      <c r="G248" s="98">
        <f t="shared" si="9"/>
        <v>555818.35383159877</v>
      </c>
      <c r="H248" s="137" t="s">
        <v>344</v>
      </c>
      <c r="I248" s="137" t="s">
        <v>553</v>
      </c>
      <c r="J248" s="137" t="s">
        <v>284</v>
      </c>
      <c r="K248" s="137" t="s">
        <v>289</v>
      </c>
      <c r="L248" s="137" t="s">
        <v>291</v>
      </c>
      <c r="M248" s="137" t="s">
        <v>319</v>
      </c>
      <c r="N248" s="137">
        <v>14031</v>
      </c>
      <c r="O248" s="137" t="s">
        <v>341</v>
      </c>
      <c r="P248" s="137" t="s">
        <v>341</v>
      </c>
      <c r="Q248" s="137" t="s">
        <v>160</v>
      </c>
    </row>
    <row r="249" spans="2:17" s="138" customFormat="1" ht="23.1" customHeight="1" x14ac:dyDescent="0.25">
      <c r="B249" s="137" t="s">
        <v>156</v>
      </c>
      <c r="C249" s="137" t="s">
        <v>251</v>
      </c>
      <c r="D249" s="97">
        <v>720750</v>
      </c>
      <c r="E249" s="98">
        <f t="shared" si="8"/>
        <v>852353.35856196773</v>
      </c>
      <c r="F249" s="97">
        <v>720750</v>
      </c>
      <c r="G249" s="98">
        <f t="shared" si="9"/>
        <v>852353.35856196773</v>
      </c>
      <c r="H249" s="137" t="s">
        <v>344</v>
      </c>
      <c r="I249" s="137" t="s">
        <v>285</v>
      </c>
      <c r="J249" s="137" t="s">
        <v>284</v>
      </c>
      <c r="K249" s="137" t="s">
        <v>289</v>
      </c>
      <c r="L249" s="137" t="s">
        <v>291</v>
      </c>
      <c r="M249" s="137" t="s">
        <v>315</v>
      </c>
      <c r="N249" s="137">
        <v>43040</v>
      </c>
      <c r="O249" s="137" t="s">
        <v>341</v>
      </c>
      <c r="P249" s="137" t="s">
        <v>346</v>
      </c>
      <c r="Q249" s="137" t="s">
        <v>160</v>
      </c>
    </row>
    <row r="250" spans="2:17" s="138" customFormat="1" ht="132" x14ac:dyDescent="0.25">
      <c r="B250" s="137" t="s">
        <v>151</v>
      </c>
      <c r="C250" s="137" t="s">
        <v>370</v>
      </c>
      <c r="D250" s="97">
        <v>600000</v>
      </c>
      <c r="E250" s="98">
        <f t="shared" si="8"/>
        <v>709555.34531693463</v>
      </c>
      <c r="F250" s="97">
        <v>600000</v>
      </c>
      <c r="G250" s="98">
        <f t="shared" si="9"/>
        <v>709555.34531693463</v>
      </c>
      <c r="H250" s="137" t="s">
        <v>344</v>
      </c>
      <c r="I250" s="137" t="s">
        <v>285</v>
      </c>
      <c r="J250" s="137" t="s">
        <v>634</v>
      </c>
      <c r="K250" s="137" t="s">
        <v>289</v>
      </c>
      <c r="L250" s="137" t="s">
        <v>292</v>
      </c>
      <c r="M250" s="137" t="s">
        <v>371</v>
      </c>
      <c r="N250" s="137">
        <v>24081</v>
      </c>
      <c r="O250" s="137" t="s">
        <v>341</v>
      </c>
      <c r="P250" s="137" t="s">
        <v>346</v>
      </c>
      <c r="Q250" s="137" t="s">
        <v>372</v>
      </c>
    </row>
    <row r="251" spans="2:17" s="138" customFormat="1" ht="60" x14ac:dyDescent="0.25">
      <c r="B251" s="137" t="s">
        <v>168</v>
      </c>
      <c r="C251" s="137" t="s">
        <v>630</v>
      </c>
      <c r="D251" s="97">
        <v>900000</v>
      </c>
      <c r="E251" s="98">
        <f>D251*(1/$C$4)</f>
        <v>1064333.0179754021</v>
      </c>
      <c r="F251" s="97">
        <v>900000</v>
      </c>
      <c r="G251" s="98">
        <f t="shared" si="9"/>
        <v>1064333.0179754021</v>
      </c>
      <c r="H251" s="137" t="s">
        <v>344</v>
      </c>
      <c r="I251" s="137" t="s">
        <v>287</v>
      </c>
      <c r="J251" s="137" t="s">
        <v>634</v>
      </c>
      <c r="K251" s="137" t="s">
        <v>290</v>
      </c>
      <c r="L251" s="137" t="s">
        <v>292</v>
      </c>
      <c r="M251" s="137" t="s">
        <v>338</v>
      </c>
      <c r="N251" s="81">
        <v>31220</v>
      </c>
      <c r="O251" s="137" t="s">
        <v>341</v>
      </c>
      <c r="P251" s="137" t="s">
        <v>341</v>
      </c>
      <c r="Q251" s="137" t="s">
        <v>342</v>
      </c>
    </row>
    <row r="252" spans="2:17" s="138" customFormat="1" ht="96" x14ac:dyDescent="0.25">
      <c r="B252" s="137" t="s">
        <v>354</v>
      </c>
      <c r="C252" s="137" t="s">
        <v>282</v>
      </c>
      <c r="D252" s="97">
        <v>160000</v>
      </c>
      <c r="E252" s="98">
        <f t="shared" si="8"/>
        <v>189214.75875118258</v>
      </c>
      <c r="F252" s="97">
        <v>160000</v>
      </c>
      <c r="G252" s="98">
        <f t="shared" si="9"/>
        <v>189214.75875118258</v>
      </c>
      <c r="H252" s="137" t="s">
        <v>344</v>
      </c>
      <c r="I252" s="137" t="s">
        <v>285</v>
      </c>
      <c r="J252" s="137" t="s">
        <v>635</v>
      </c>
      <c r="K252" s="137" t="s">
        <v>289</v>
      </c>
      <c r="L252" s="137" t="s">
        <v>292</v>
      </c>
      <c r="M252" s="137" t="s">
        <v>339</v>
      </c>
      <c r="N252" s="81">
        <v>99810</v>
      </c>
      <c r="O252" s="137" t="s">
        <v>340</v>
      </c>
      <c r="P252" s="137" t="s">
        <v>340</v>
      </c>
      <c r="Q252" s="137" t="s">
        <v>343</v>
      </c>
    </row>
    <row r="253" spans="2:17" s="138" customFormat="1" ht="12" x14ac:dyDescent="0.25">
      <c r="B253" s="110"/>
      <c r="H253" s="111"/>
      <c r="I253" s="112"/>
      <c r="J253" s="113"/>
      <c r="K253" s="113"/>
      <c r="L253" s="114"/>
      <c r="M253" s="113"/>
      <c r="N253" s="115"/>
      <c r="O253" s="113"/>
      <c r="P253" s="113"/>
      <c r="Q253" s="113"/>
    </row>
    <row r="254" spans="2:17" s="138" customFormat="1" ht="12" x14ac:dyDescent="0.25">
      <c r="B254" s="138" t="s">
        <v>37</v>
      </c>
      <c r="H254" s="111"/>
      <c r="I254" s="112"/>
      <c r="J254" s="113"/>
      <c r="K254" s="113"/>
      <c r="L254" s="114"/>
      <c r="M254" s="113"/>
      <c r="N254" s="115"/>
      <c r="O254" s="113"/>
      <c r="P254" s="113"/>
      <c r="Q254" s="113"/>
    </row>
    <row r="255" spans="2:17" s="138" customFormat="1" ht="12" x14ac:dyDescent="0.25">
      <c r="B255" s="138" t="s">
        <v>38</v>
      </c>
      <c r="H255" s="111"/>
      <c r="I255" s="112"/>
      <c r="J255" s="113"/>
      <c r="K255" s="113"/>
      <c r="L255" s="114"/>
      <c r="M255" s="113"/>
      <c r="N255" s="115"/>
      <c r="O255" s="113"/>
      <c r="P255" s="113"/>
      <c r="Q255" s="113"/>
    </row>
    <row r="256" spans="2:17" s="138" customFormat="1" ht="12" x14ac:dyDescent="0.25">
      <c r="B256" s="100" t="s">
        <v>39</v>
      </c>
      <c r="C256" s="100"/>
      <c r="D256" s="100"/>
      <c r="E256" s="100"/>
      <c r="F256" s="100"/>
      <c r="G256" s="100"/>
      <c r="H256" s="100"/>
      <c r="I256" s="100"/>
      <c r="J256" s="100"/>
      <c r="K256" s="100"/>
      <c r="L256" s="100"/>
      <c r="M256" s="100"/>
      <c r="N256" s="100"/>
      <c r="O256" s="100"/>
      <c r="P256" s="100"/>
      <c r="Q256" s="100"/>
    </row>
    <row r="257" spans="2:17" s="138" customFormat="1" ht="14.1" customHeight="1" x14ac:dyDescent="0.25">
      <c r="B257" s="116" t="s">
        <v>40</v>
      </c>
      <c r="H257" s="111"/>
      <c r="I257" s="112"/>
      <c r="J257" s="113"/>
      <c r="K257" s="113"/>
      <c r="L257" s="114"/>
      <c r="M257" s="113"/>
      <c r="N257" s="115"/>
      <c r="O257" s="113"/>
      <c r="P257" s="113"/>
      <c r="Q257" s="113"/>
    </row>
    <row r="258" spans="2:17" ht="14.1" customHeight="1" x14ac:dyDescent="0.25">
      <c r="B258" s="116" t="s">
        <v>41</v>
      </c>
      <c r="D258" s="117"/>
    </row>
    <row r="259" spans="2:17" ht="14.1" customHeight="1" x14ac:dyDescent="0.25">
      <c r="B259" s="116" t="s">
        <v>42</v>
      </c>
      <c r="C259" s="118"/>
      <c r="D259" s="119"/>
      <c r="E259" s="119"/>
      <c r="F259" s="119"/>
      <c r="G259" s="120"/>
    </row>
    <row r="260" spans="2:17" ht="14.1" customHeight="1" x14ac:dyDescent="0.25">
      <c r="B260" s="116" t="s">
        <v>43</v>
      </c>
      <c r="C260" s="121"/>
    </row>
    <row r="261" spans="2:17" ht="14.1" customHeight="1" x14ac:dyDescent="0.25">
      <c r="B261" s="116" t="s">
        <v>44</v>
      </c>
      <c r="C261" s="121"/>
    </row>
    <row r="262" spans="2:17" ht="14.1" customHeight="1" x14ac:dyDescent="0.25">
      <c r="B262" s="116" t="s">
        <v>45</v>
      </c>
      <c r="C262" s="121"/>
    </row>
    <row r="263" spans="2:17" ht="14.1" customHeight="1" x14ac:dyDescent="0.25">
      <c r="B263" s="116" t="s">
        <v>46</v>
      </c>
      <c r="C263" s="121"/>
    </row>
    <row r="264" spans="2:17" ht="14.1" customHeight="1" x14ac:dyDescent="0.25">
      <c r="B264" s="116" t="s">
        <v>47</v>
      </c>
      <c r="C264" s="121"/>
    </row>
    <row r="265" spans="2:17" ht="14.1" customHeight="1" x14ac:dyDescent="0.25">
      <c r="B265" s="116" t="s">
        <v>48</v>
      </c>
      <c r="C265" s="116"/>
      <c r="D265" s="116"/>
      <c r="E265" s="116"/>
      <c r="F265" s="116"/>
      <c r="G265" s="116"/>
      <c r="H265" s="116"/>
      <c r="I265" s="116"/>
      <c r="J265" s="116"/>
      <c r="K265" s="116"/>
      <c r="L265" s="116"/>
      <c r="M265" s="116"/>
      <c r="N265" s="116"/>
      <c r="O265" s="116"/>
      <c r="P265" s="116"/>
      <c r="Q265" s="116"/>
    </row>
    <row r="266" spans="2:17" ht="14.1" customHeight="1" x14ac:dyDescent="0.25">
      <c r="B266" s="116" t="s">
        <v>49</v>
      </c>
      <c r="C266" s="121"/>
    </row>
    <row r="267" spans="2:17" ht="14.1" customHeight="1" x14ac:dyDescent="0.25">
      <c r="B267" s="116" t="s">
        <v>50</v>
      </c>
      <c r="C267" s="121"/>
    </row>
    <row r="268" spans="2:17" ht="12" x14ac:dyDescent="0.25">
      <c r="B268" s="103"/>
      <c r="C268" s="121"/>
    </row>
    <row r="269" spans="2:17" ht="12" x14ac:dyDescent="0.25">
      <c r="B269" s="122" t="s">
        <v>51</v>
      </c>
    </row>
    <row r="270" spans="2:17" ht="14.1" customHeight="1" x14ac:dyDescent="0.25">
      <c r="B270" s="100" t="s">
        <v>52</v>
      </c>
    </row>
    <row r="295" spans="1:1" ht="14.1" customHeight="1" x14ac:dyDescent="0.25"/>
    <row r="296" spans="1:1" ht="14.1" customHeight="1" x14ac:dyDescent="0.25"/>
    <row r="297" spans="1:1" ht="14.1" customHeight="1" x14ac:dyDescent="0.25">
      <c r="A297" s="123"/>
    </row>
    <row r="298" spans="1:1" ht="14.1" customHeight="1" x14ac:dyDescent="0.25">
      <c r="A298" s="124"/>
    </row>
    <row r="299" spans="1:1" ht="14.1" customHeight="1" x14ac:dyDescent="0.25">
      <c r="A299" s="125"/>
    </row>
    <row r="300" spans="1:1" ht="14.1" customHeight="1" x14ac:dyDescent="0.25">
      <c r="A300" s="125"/>
    </row>
    <row r="301" spans="1:1" ht="14.1" customHeight="1" x14ac:dyDescent="0.25">
      <c r="A301" s="125"/>
    </row>
    <row r="302" spans="1:1" ht="14.1" customHeight="1" x14ac:dyDescent="0.25">
      <c r="A302" s="125"/>
    </row>
    <row r="303" spans="1:1" ht="14.1" customHeight="1" x14ac:dyDescent="0.25">
      <c r="A303" s="125"/>
    </row>
    <row r="304" spans="1:1" ht="14.4" x14ac:dyDescent="0.25">
      <c r="A304" s="125"/>
    </row>
    <row r="305" spans="1:1" ht="12" customHeight="1" x14ac:dyDescent="0.25">
      <c r="A305" s="125"/>
    </row>
    <row r="306" spans="1:1" ht="14.4" x14ac:dyDescent="0.25">
      <c r="A306" s="125"/>
    </row>
    <row r="307" spans="1:1" ht="14.4" x14ac:dyDescent="0.25">
      <c r="A307" s="125"/>
    </row>
    <row r="308" spans="1:1" ht="12" x14ac:dyDescent="0.25">
      <c r="A308" s="126"/>
    </row>
    <row r="309" spans="1:1" ht="12" x14ac:dyDescent="0.25">
      <c r="A309" s="127"/>
    </row>
    <row r="310" spans="1:1" ht="12" x14ac:dyDescent="0.25">
      <c r="A310" s="126"/>
    </row>
    <row r="311" spans="1:1" ht="12" x14ac:dyDescent="0.25">
      <c r="A311" s="126"/>
    </row>
  </sheetData>
  <sortState xmlns:xlrd2="http://schemas.microsoft.com/office/spreadsheetml/2017/richdata2" ref="B10:Q252">
    <sortCondition ref="J10:J252"/>
    <sortCondition ref="B10:B252"/>
  </sortState>
  <hyperlinks>
    <hyperlink ref="B5" location="'Index sheet'!A1" display="Back to index" xr:uid="{00000000-0004-0000-0200-000000000000}"/>
  </hyperlinks>
  <pageMargins left="0.7" right="0.7" top="0.75" bottom="0.75" header="0.3" footer="0.3"/>
  <pageSetup paperSize="9" orientation="portrait" r:id="rId1"/>
  <ignoredErrors>
    <ignoredError sqref="A254:Q311 A1:Q2 A248 A6:Q9 A3:B3 D3:Q3 A4:B4 D4:Q4 A5:B5 D5:Q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14"/>
  <sheetViews>
    <sheetView showGridLines="0" zoomScaleNormal="100" workbookViewId="0"/>
  </sheetViews>
  <sheetFormatPr defaultColWidth="9.109375" defaultRowHeight="11.4" customHeight="1" x14ac:dyDescent="0.25"/>
  <cols>
    <col min="1" max="1" width="2.44140625" style="100" customWidth="1"/>
    <col min="2" max="2" width="23" style="100" customWidth="1"/>
    <col min="3" max="3" width="50.5546875" style="100" customWidth="1"/>
    <col min="4" max="16" width="11.44140625" style="100" customWidth="1"/>
    <col min="17" max="17" width="20.44140625" style="100" customWidth="1"/>
    <col min="18" max="18" width="9.109375" style="100" customWidth="1"/>
    <col min="19" max="16384" width="9.109375" style="100"/>
  </cols>
  <sheetData>
    <row r="1" spans="2:17" ht="15.9" customHeight="1" x14ac:dyDescent="0.3">
      <c r="B1" s="99" t="s">
        <v>14</v>
      </c>
      <c r="C1" s="99"/>
    </row>
    <row r="2" spans="2:17" ht="15.9" customHeight="1" x14ac:dyDescent="0.3">
      <c r="B2" s="101" t="s">
        <v>15</v>
      </c>
      <c r="C2" s="102"/>
      <c r="D2" s="103"/>
      <c r="I2" s="101" t="s">
        <v>16</v>
      </c>
      <c r="J2" s="101" t="s">
        <v>17</v>
      </c>
    </row>
    <row r="3" spans="2:17" ht="15.9" customHeight="1" x14ac:dyDescent="0.25">
      <c r="B3" s="104" t="s">
        <v>18</v>
      </c>
      <c r="C3" s="128" t="s">
        <v>632</v>
      </c>
    </row>
    <row r="4" spans="2:17" ht="15.9" customHeight="1" x14ac:dyDescent="0.25">
      <c r="B4" s="106"/>
      <c r="C4" s="106">
        <v>0.95089999999999997</v>
      </c>
    </row>
    <row r="5" spans="2:17" ht="12" x14ac:dyDescent="0.25">
      <c r="B5" s="107" t="s">
        <v>19</v>
      </c>
      <c r="C5" s="108"/>
    </row>
    <row r="6" spans="2:17" ht="12" x14ac:dyDescent="0.25">
      <c r="B6" s="107"/>
      <c r="C6" s="108"/>
    </row>
    <row r="7" spans="2:17" s="109" customFormat="1" ht="64.650000000000006" customHeight="1" x14ac:dyDescent="0.25">
      <c r="B7" s="86" t="s">
        <v>20</v>
      </c>
      <c r="C7" s="86" t="s">
        <v>21</v>
      </c>
      <c r="D7" s="87" t="s">
        <v>22</v>
      </c>
      <c r="E7" s="88"/>
      <c r="F7" s="88"/>
      <c r="G7" s="89"/>
      <c r="H7" s="86" t="s">
        <v>23</v>
      </c>
      <c r="I7" s="86" t="s">
        <v>24</v>
      </c>
      <c r="J7" s="86" t="s">
        <v>25</v>
      </c>
      <c r="K7" s="86" t="s">
        <v>26</v>
      </c>
      <c r="L7" s="86" t="s">
        <v>27</v>
      </c>
      <c r="M7" s="86" t="s">
        <v>28</v>
      </c>
      <c r="N7" s="86" t="s">
        <v>29</v>
      </c>
      <c r="O7" s="86" t="s">
        <v>30</v>
      </c>
      <c r="P7" s="90" t="s">
        <v>31</v>
      </c>
      <c r="Q7" s="86" t="s">
        <v>32</v>
      </c>
    </row>
    <row r="8" spans="2:17" s="109" customFormat="1" ht="23.4" customHeight="1" x14ac:dyDescent="0.25">
      <c r="B8" s="91"/>
      <c r="C8" s="91"/>
      <c r="D8" s="92" t="s">
        <v>33</v>
      </c>
      <c r="E8" s="93"/>
      <c r="F8" s="92" t="s">
        <v>34</v>
      </c>
      <c r="G8" s="93"/>
      <c r="H8" s="91"/>
      <c r="I8" s="91"/>
      <c r="J8" s="91"/>
      <c r="K8" s="91"/>
      <c r="L8" s="91"/>
      <c r="M8" s="91"/>
      <c r="N8" s="91"/>
      <c r="O8" s="91"/>
      <c r="P8" s="94"/>
      <c r="Q8" s="91"/>
    </row>
    <row r="9" spans="2:17" s="109" customFormat="1" ht="23.1" customHeight="1" x14ac:dyDescent="0.25">
      <c r="B9" s="129"/>
      <c r="C9" s="129"/>
      <c r="D9" s="130" t="s">
        <v>35</v>
      </c>
      <c r="E9" s="131" t="s">
        <v>36</v>
      </c>
      <c r="F9" s="130" t="s">
        <v>35</v>
      </c>
      <c r="G9" s="131" t="s">
        <v>36</v>
      </c>
      <c r="H9" s="129"/>
      <c r="I9" s="129"/>
      <c r="J9" s="129"/>
      <c r="K9" s="129"/>
      <c r="L9" s="129"/>
      <c r="M9" s="129"/>
      <c r="N9" s="129"/>
      <c r="O9" s="129"/>
      <c r="P9" s="132"/>
      <c r="Q9" s="91"/>
    </row>
    <row r="10" spans="2:17" s="109" customFormat="1" ht="23.1" customHeight="1" x14ac:dyDescent="0.25">
      <c r="B10" s="79" t="s">
        <v>152</v>
      </c>
      <c r="C10" s="137" t="s">
        <v>230</v>
      </c>
      <c r="D10" s="97">
        <v>180864</v>
      </c>
      <c r="E10" s="97">
        <f>D10*(1/$C$4)</f>
        <v>190202.96561152593</v>
      </c>
      <c r="F10" s="97">
        <v>180864</v>
      </c>
      <c r="G10" s="97">
        <f>F10*(1/$C$4)</f>
        <v>190202.96561152593</v>
      </c>
      <c r="H10" s="137" t="s">
        <v>345</v>
      </c>
      <c r="I10" s="137" t="s">
        <v>288</v>
      </c>
      <c r="J10" s="137" t="s">
        <v>283</v>
      </c>
      <c r="K10" s="137" t="s">
        <v>289</v>
      </c>
      <c r="L10" s="137" t="s">
        <v>292</v>
      </c>
      <c r="M10" s="137" t="s">
        <v>295</v>
      </c>
      <c r="N10" s="137">
        <v>31193</v>
      </c>
      <c r="O10" s="137" t="s">
        <v>341</v>
      </c>
      <c r="P10" s="137" t="s">
        <v>346</v>
      </c>
      <c r="Q10" s="137"/>
    </row>
    <row r="11" spans="2:17" s="109" customFormat="1" ht="23.1" customHeight="1" x14ac:dyDescent="0.25">
      <c r="B11" s="79" t="s">
        <v>152</v>
      </c>
      <c r="C11" s="137" t="s">
        <v>414</v>
      </c>
      <c r="D11" s="97">
        <v>8473.1153666021692</v>
      </c>
      <c r="E11" s="97">
        <f t="shared" ref="E11:E74" si="0">D11*(1/$C$4)</f>
        <v>8910.6271601663375</v>
      </c>
      <c r="F11" s="97">
        <v>8473.1153666021692</v>
      </c>
      <c r="G11" s="97">
        <f t="shared" ref="G11:G74" si="1">F11*(1/$C$4)</f>
        <v>8910.6271601663375</v>
      </c>
      <c r="H11" s="137" t="s">
        <v>345</v>
      </c>
      <c r="I11" s="137" t="s">
        <v>288</v>
      </c>
      <c r="J11" s="137" t="s">
        <v>283</v>
      </c>
      <c r="K11" s="137" t="s">
        <v>289</v>
      </c>
      <c r="L11" s="137" t="s">
        <v>292</v>
      </c>
      <c r="M11" s="137" t="s">
        <v>295</v>
      </c>
      <c r="N11" s="137">
        <v>31194</v>
      </c>
      <c r="O11" s="137" t="s">
        <v>341</v>
      </c>
      <c r="P11" s="137" t="s">
        <v>340</v>
      </c>
      <c r="Q11" s="137"/>
    </row>
    <row r="12" spans="2:17" s="109" customFormat="1" ht="23.1" customHeight="1" x14ac:dyDescent="0.25">
      <c r="B12" s="79" t="s">
        <v>152</v>
      </c>
      <c r="C12" s="137" t="s">
        <v>415</v>
      </c>
      <c r="D12" s="97">
        <v>11862.361513243037</v>
      </c>
      <c r="E12" s="97">
        <f t="shared" si="0"/>
        <v>12474.878024232872</v>
      </c>
      <c r="F12" s="97">
        <v>11862.361513243037</v>
      </c>
      <c r="G12" s="97">
        <f t="shared" si="1"/>
        <v>12474.878024232872</v>
      </c>
      <c r="H12" s="137" t="s">
        <v>345</v>
      </c>
      <c r="I12" s="137" t="s">
        <v>288</v>
      </c>
      <c r="J12" s="137" t="s">
        <v>283</v>
      </c>
      <c r="K12" s="137" t="s">
        <v>289</v>
      </c>
      <c r="L12" s="137" t="s">
        <v>292</v>
      </c>
      <c r="M12" s="137" t="s">
        <v>295</v>
      </c>
      <c r="N12" s="81">
        <v>31194</v>
      </c>
      <c r="O12" s="137" t="s">
        <v>341</v>
      </c>
      <c r="P12" s="137" t="s">
        <v>340</v>
      </c>
      <c r="Q12" s="137"/>
    </row>
    <row r="13" spans="2:17" s="109" customFormat="1" ht="23.1" customHeight="1" x14ac:dyDescent="0.25">
      <c r="B13" s="79" t="s">
        <v>152</v>
      </c>
      <c r="C13" s="137" t="s">
        <v>416</v>
      </c>
      <c r="D13" s="97">
        <v>11862.361513243037</v>
      </c>
      <c r="E13" s="97">
        <f t="shared" si="0"/>
        <v>12474.878024232872</v>
      </c>
      <c r="F13" s="97">
        <v>11862.361513243037</v>
      </c>
      <c r="G13" s="97">
        <f t="shared" si="1"/>
        <v>12474.878024232872</v>
      </c>
      <c r="H13" s="137" t="s">
        <v>345</v>
      </c>
      <c r="I13" s="137" t="s">
        <v>288</v>
      </c>
      <c r="J13" s="137" t="s">
        <v>283</v>
      </c>
      <c r="K13" s="137" t="s">
        <v>289</v>
      </c>
      <c r="L13" s="137" t="s">
        <v>292</v>
      </c>
      <c r="M13" s="137" t="s">
        <v>295</v>
      </c>
      <c r="N13" s="81">
        <v>31194</v>
      </c>
      <c r="O13" s="137" t="s">
        <v>341</v>
      </c>
      <c r="P13" s="137" t="s">
        <v>340</v>
      </c>
      <c r="Q13" s="137"/>
    </row>
    <row r="14" spans="2:17" s="109" customFormat="1" ht="23.1" customHeight="1" x14ac:dyDescent="0.25">
      <c r="B14" s="79" t="s">
        <v>128</v>
      </c>
      <c r="C14" s="137" t="s">
        <v>417</v>
      </c>
      <c r="D14" s="97">
        <v>11779.819086902655</v>
      </c>
      <c r="E14" s="97">
        <f t="shared" si="0"/>
        <v>12388.073495533343</v>
      </c>
      <c r="F14" s="97">
        <v>11779.819086902655</v>
      </c>
      <c r="G14" s="97">
        <f t="shared" si="1"/>
        <v>12388.073495533343</v>
      </c>
      <c r="H14" s="137" t="s">
        <v>345</v>
      </c>
      <c r="I14" s="137" t="s">
        <v>286</v>
      </c>
      <c r="J14" s="137" t="s">
        <v>283</v>
      </c>
      <c r="K14" s="137" t="s">
        <v>289</v>
      </c>
      <c r="L14" s="137" t="s">
        <v>291</v>
      </c>
      <c r="M14" s="137" t="s">
        <v>295</v>
      </c>
      <c r="N14" s="137">
        <v>31161</v>
      </c>
      <c r="O14" s="137" t="s">
        <v>341</v>
      </c>
      <c r="P14" s="137" t="s">
        <v>340</v>
      </c>
      <c r="Q14" s="137"/>
    </row>
    <row r="15" spans="2:17" s="109" customFormat="1" ht="23.1" customHeight="1" x14ac:dyDescent="0.25">
      <c r="B15" s="79" t="s">
        <v>128</v>
      </c>
      <c r="C15" s="137" t="s">
        <v>418</v>
      </c>
      <c r="D15" s="97">
        <v>685.34877373224106</v>
      </c>
      <c r="E15" s="97">
        <f t="shared" si="0"/>
        <v>720.7369583891483</v>
      </c>
      <c r="F15" s="97">
        <v>685.34877373224106</v>
      </c>
      <c r="G15" s="97">
        <f t="shared" si="1"/>
        <v>720.7369583891483</v>
      </c>
      <c r="H15" s="137" t="s">
        <v>345</v>
      </c>
      <c r="I15" s="137" t="s">
        <v>286</v>
      </c>
      <c r="J15" s="137" t="s">
        <v>283</v>
      </c>
      <c r="K15" s="137" t="s">
        <v>289</v>
      </c>
      <c r="L15" s="137" t="s">
        <v>291</v>
      </c>
      <c r="M15" s="137" t="s">
        <v>507</v>
      </c>
      <c r="N15" s="137">
        <v>43040</v>
      </c>
      <c r="O15" s="137" t="s">
        <v>341</v>
      </c>
      <c r="P15" s="137" t="s">
        <v>340</v>
      </c>
      <c r="Q15" s="137"/>
    </row>
    <row r="16" spans="2:17" s="109" customFormat="1" ht="23.1" customHeight="1" x14ac:dyDescent="0.25">
      <c r="B16" s="79" t="s">
        <v>128</v>
      </c>
      <c r="C16" s="137" t="s">
        <v>419</v>
      </c>
      <c r="D16" s="97">
        <v>13430.004692481418</v>
      </c>
      <c r="E16" s="97">
        <f t="shared" si="0"/>
        <v>14123.466918163233</v>
      </c>
      <c r="F16" s="97">
        <v>13430.004692481418</v>
      </c>
      <c r="G16" s="97">
        <f t="shared" si="1"/>
        <v>14123.466918163233</v>
      </c>
      <c r="H16" s="137" t="s">
        <v>345</v>
      </c>
      <c r="I16" s="137" t="s">
        <v>286</v>
      </c>
      <c r="J16" s="137" t="s">
        <v>283</v>
      </c>
      <c r="K16" s="137" t="s">
        <v>289</v>
      </c>
      <c r="L16" s="137" t="s">
        <v>291</v>
      </c>
      <c r="M16" s="137" t="s">
        <v>507</v>
      </c>
      <c r="N16" s="81">
        <v>43072</v>
      </c>
      <c r="O16" s="137" t="s">
        <v>341</v>
      </c>
      <c r="P16" s="137" t="s">
        <v>340</v>
      </c>
      <c r="Q16" s="137"/>
    </row>
    <row r="17" spans="2:17" s="109" customFormat="1" ht="23.1" customHeight="1" x14ac:dyDescent="0.25">
      <c r="B17" s="79" t="s">
        <v>128</v>
      </c>
      <c r="C17" s="137" t="s">
        <v>420</v>
      </c>
      <c r="D17" s="97">
        <v>80000</v>
      </c>
      <c r="E17" s="97">
        <f t="shared" si="0"/>
        <v>84130.823430434335</v>
      </c>
      <c r="F17" s="97">
        <v>80000</v>
      </c>
      <c r="G17" s="97">
        <f t="shared" si="1"/>
        <v>84130.823430434335</v>
      </c>
      <c r="H17" s="137" t="s">
        <v>345</v>
      </c>
      <c r="I17" s="137" t="s">
        <v>286</v>
      </c>
      <c r="J17" s="137" t="s">
        <v>283</v>
      </c>
      <c r="K17" s="137" t="s">
        <v>289</v>
      </c>
      <c r="L17" s="137" t="s">
        <v>291</v>
      </c>
      <c r="M17" s="137" t="s">
        <v>508</v>
      </c>
      <c r="N17" s="81">
        <v>72040</v>
      </c>
      <c r="O17" s="137" t="s">
        <v>340</v>
      </c>
      <c r="P17" s="137" t="s">
        <v>340</v>
      </c>
      <c r="Q17" s="137"/>
    </row>
    <row r="18" spans="2:17" s="109" customFormat="1" ht="23.1" customHeight="1" x14ac:dyDescent="0.25">
      <c r="B18" s="79" t="s">
        <v>128</v>
      </c>
      <c r="C18" s="137" t="s">
        <v>201</v>
      </c>
      <c r="D18" s="97">
        <v>16465.452552036655</v>
      </c>
      <c r="E18" s="97">
        <f t="shared" si="0"/>
        <v>17315.651016969878</v>
      </c>
      <c r="F18" s="97">
        <v>16465.452552036655</v>
      </c>
      <c r="G18" s="97">
        <f t="shared" si="1"/>
        <v>17315.651016969878</v>
      </c>
      <c r="H18" s="137" t="s">
        <v>345</v>
      </c>
      <c r="I18" s="137" t="s">
        <v>286</v>
      </c>
      <c r="J18" s="137" t="s">
        <v>283</v>
      </c>
      <c r="K18" s="137" t="s">
        <v>289</v>
      </c>
      <c r="L18" s="137" t="s">
        <v>291</v>
      </c>
      <c r="M18" s="137" t="s">
        <v>508</v>
      </c>
      <c r="N18" s="137">
        <v>73010</v>
      </c>
      <c r="O18" s="137" t="s">
        <v>341</v>
      </c>
      <c r="P18" s="137" t="s">
        <v>346</v>
      </c>
      <c r="Q18" s="137"/>
    </row>
    <row r="19" spans="2:17" s="109" customFormat="1" ht="23.1" customHeight="1" x14ac:dyDescent="0.25">
      <c r="B19" s="79" t="s">
        <v>128</v>
      </c>
      <c r="C19" s="137" t="s">
        <v>202</v>
      </c>
      <c r="D19" s="97">
        <v>33944.163722660167</v>
      </c>
      <c r="E19" s="97">
        <f t="shared" si="0"/>
        <v>35696.880558060962</v>
      </c>
      <c r="F19" s="97">
        <v>33944.163722660167</v>
      </c>
      <c r="G19" s="97">
        <f t="shared" si="1"/>
        <v>35696.880558060962</v>
      </c>
      <c r="H19" s="137" t="s">
        <v>345</v>
      </c>
      <c r="I19" s="137" t="s">
        <v>286</v>
      </c>
      <c r="J19" s="137" t="s">
        <v>283</v>
      </c>
      <c r="K19" s="137" t="s">
        <v>289</v>
      </c>
      <c r="L19" s="137" t="s">
        <v>291</v>
      </c>
      <c r="M19" s="137" t="s">
        <v>508</v>
      </c>
      <c r="N19" s="137">
        <v>73010</v>
      </c>
      <c r="O19" s="137" t="s">
        <v>341</v>
      </c>
      <c r="P19" s="137" t="s">
        <v>346</v>
      </c>
      <c r="Q19" s="137"/>
    </row>
    <row r="20" spans="2:17" s="109" customFormat="1" ht="23.1" customHeight="1" x14ac:dyDescent="0.25">
      <c r="B20" s="79" t="s">
        <v>128</v>
      </c>
      <c r="C20" s="137" t="s">
        <v>421</v>
      </c>
      <c r="D20" s="97">
        <v>129950.4178337662</v>
      </c>
      <c r="E20" s="97">
        <f t="shared" si="0"/>
        <v>136660.44571854686</v>
      </c>
      <c r="F20" s="97">
        <v>129950.4178337662</v>
      </c>
      <c r="G20" s="97">
        <f t="shared" si="1"/>
        <v>136660.44571854686</v>
      </c>
      <c r="H20" s="137" t="s">
        <v>345</v>
      </c>
      <c r="I20" s="137" t="s">
        <v>286</v>
      </c>
      <c r="J20" s="137" t="s">
        <v>283</v>
      </c>
      <c r="K20" s="137" t="s">
        <v>289</v>
      </c>
      <c r="L20" s="137" t="s">
        <v>291</v>
      </c>
      <c r="M20" s="137" t="s">
        <v>509</v>
      </c>
      <c r="N20" s="81">
        <v>74020</v>
      </c>
      <c r="O20" s="137" t="s">
        <v>341</v>
      </c>
      <c r="P20" s="137" t="s">
        <v>341</v>
      </c>
      <c r="Q20" s="137"/>
    </row>
    <row r="21" spans="2:17" s="109" customFormat="1" ht="23.1" customHeight="1" x14ac:dyDescent="0.25">
      <c r="B21" s="79" t="s">
        <v>128</v>
      </c>
      <c r="C21" s="137" t="s">
        <v>226</v>
      </c>
      <c r="D21" s="97">
        <v>41112.94428851972</v>
      </c>
      <c r="E21" s="97">
        <f t="shared" si="0"/>
        <v>43235.823208034199</v>
      </c>
      <c r="F21" s="97">
        <v>41112.94428851972</v>
      </c>
      <c r="G21" s="97">
        <f t="shared" si="1"/>
        <v>43235.823208034199</v>
      </c>
      <c r="H21" s="137" t="s">
        <v>345</v>
      </c>
      <c r="I21" s="137" t="s">
        <v>286</v>
      </c>
      <c r="J21" s="137" t="s">
        <v>283</v>
      </c>
      <c r="K21" s="137" t="s">
        <v>289</v>
      </c>
      <c r="L21" s="137" t="s">
        <v>292</v>
      </c>
      <c r="M21" s="137" t="s">
        <v>507</v>
      </c>
      <c r="N21" s="81">
        <v>43040</v>
      </c>
      <c r="O21" s="137" t="s">
        <v>341</v>
      </c>
      <c r="P21" s="137" t="s">
        <v>341</v>
      </c>
      <c r="Q21" s="137"/>
    </row>
    <row r="22" spans="2:17" s="109" customFormat="1" ht="23.1" customHeight="1" x14ac:dyDescent="0.25">
      <c r="B22" s="79" t="s">
        <v>128</v>
      </c>
      <c r="C22" s="137" t="s">
        <v>424</v>
      </c>
      <c r="D22" s="97">
        <v>32890.86706027457</v>
      </c>
      <c r="E22" s="97">
        <f t="shared" si="0"/>
        <v>34589.196614023109</v>
      </c>
      <c r="F22" s="97">
        <v>32890.86706027457</v>
      </c>
      <c r="G22" s="97">
        <f t="shared" si="1"/>
        <v>34589.196614023109</v>
      </c>
      <c r="H22" s="137" t="s">
        <v>345</v>
      </c>
      <c r="I22" s="137" t="s">
        <v>286</v>
      </c>
      <c r="J22" s="137" t="s">
        <v>283</v>
      </c>
      <c r="K22" s="137" t="s">
        <v>289</v>
      </c>
      <c r="L22" s="137" t="s">
        <v>292</v>
      </c>
      <c r="M22" s="137" t="s">
        <v>507</v>
      </c>
      <c r="N22" s="81">
        <v>43040</v>
      </c>
      <c r="O22" s="137" t="s">
        <v>341</v>
      </c>
      <c r="P22" s="137" t="s">
        <v>340</v>
      </c>
      <c r="Q22" s="137"/>
    </row>
    <row r="23" spans="2:17" s="109" customFormat="1" ht="23.1" customHeight="1" x14ac:dyDescent="0.25">
      <c r="B23" s="79" t="s">
        <v>128</v>
      </c>
      <c r="C23" s="137" t="s">
        <v>227</v>
      </c>
      <c r="D23" s="97">
        <v>30064.288186756494</v>
      </c>
      <c r="E23" s="97">
        <f t="shared" si="0"/>
        <v>31616.666512521289</v>
      </c>
      <c r="F23" s="97">
        <v>30064.288186756494</v>
      </c>
      <c r="G23" s="97">
        <f t="shared" si="1"/>
        <v>31616.666512521289</v>
      </c>
      <c r="H23" s="137" t="s">
        <v>345</v>
      </c>
      <c r="I23" s="137" t="s">
        <v>286</v>
      </c>
      <c r="J23" s="137" t="s">
        <v>283</v>
      </c>
      <c r="K23" s="137" t="s">
        <v>289</v>
      </c>
      <c r="L23" s="137" t="s">
        <v>292</v>
      </c>
      <c r="M23" s="137" t="s">
        <v>507</v>
      </c>
      <c r="N23" s="137">
        <v>43081</v>
      </c>
      <c r="O23" s="137" t="s">
        <v>341</v>
      </c>
      <c r="P23" s="137" t="s">
        <v>346</v>
      </c>
      <c r="Q23" s="137"/>
    </row>
    <row r="24" spans="2:17" s="109" customFormat="1" ht="23.1" customHeight="1" x14ac:dyDescent="0.25">
      <c r="B24" s="79" t="s">
        <v>138</v>
      </c>
      <c r="C24" s="135" t="s">
        <v>603</v>
      </c>
      <c r="D24" s="97">
        <v>1136277.4195574976</v>
      </c>
      <c r="E24" s="97">
        <f t="shared" si="0"/>
        <v>1194949.4369097673</v>
      </c>
      <c r="F24" s="97">
        <v>1136277.4195574976</v>
      </c>
      <c r="G24" s="97">
        <f t="shared" si="1"/>
        <v>1194949.4369097673</v>
      </c>
      <c r="H24" s="137" t="s">
        <v>345</v>
      </c>
      <c r="I24" s="137" t="s">
        <v>285</v>
      </c>
      <c r="J24" s="137" t="s">
        <v>283</v>
      </c>
      <c r="K24" s="137" t="s">
        <v>289</v>
      </c>
      <c r="L24" s="137" t="s">
        <v>291</v>
      </c>
      <c r="M24" s="137" t="s">
        <v>510</v>
      </c>
      <c r="N24" s="81">
        <v>11110</v>
      </c>
      <c r="O24" s="137" t="s">
        <v>341</v>
      </c>
      <c r="P24" s="137" t="s">
        <v>340</v>
      </c>
      <c r="Q24" s="137"/>
    </row>
    <row r="25" spans="2:17" s="109" customFormat="1" ht="23.1" customHeight="1" x14ac:dyDescent="0.25">
      <c r="B25" s="79" t="s">
        <v>138</v>
      </c>
      <c r="C25" s="135" t="s">
        <v>605</v>
      </c>
      <c r="D25" s="97">
        <v>1136277.4195574976</v>
      </c>
      <c r="E25" s="97">
        <f t="shared" si="0"/>
        <v>1194949.4369097673</v>
      </c>
      <c r="F25" s="97">
        <v>1136277.4195574976</v>
      </c>
      <c r="G25" s="97">
        <f t="shared" si="1"/>
        <v>1194949.4369097673</v>
      </c>
      <c r="H25" s="137" t="s">
        <v>345</v>
      </c>
      <c r="I25" s="137" t="s">
        <v>285</v>
      </c>
      <c r="J25" s="137" t="s">
        <v>283</v>
      </c>
      <c r="K25" s="137" t="s">
        <v>289</v>
      </c>
      <c r="L25" s="137" t="s">
        <v>292</v>
      </c>
      <c r="M25" s="137" t="s">
        <v>295</v>
      </c>
      <c r="N25" s="137">
        <v>31120</v>
      </c>
      <c r="O25" s="137" t="s">
        <v>341</v>
      </c>
      <c r="P25" s="137" t="s">
        <v>340</v>
      </c>
      <c r="Q25" s="137"/>
    </row>
    <row r="26" spans="2:17" s="109" customFormat="1" ht="23.1" customHeight="1" x14ac:dyDescent="0.25">
      <c r="B26" s="79" t="s">
        <v>138</v>
      </c>
      <c r="C26" s="137" t="s">
        <v>425</v>
      </c>
      <c r="D26" s="97">
        <v>12613.38764801005</v>
      </c>
      <c r="E26" s="97">
        <f t="shared" si="0"/>
        <v>13264.683613429435</v>
      </c>
      <c r="F26" s="97">
        <v>12613.38764801005</v>
      </c>
      <c r="G26" s="97">
        <f t="shared" si="1"/>
        <v>13264.683613429435</v>
      </c>
      <c r="H26" s="137" t="s">
        <v>345</v>
      </c>
      <c r="I26" s="137" t="s">
        <v>286</v>
      </c>
      <c r="J26" s="137" t="s">
        <v>283</v>
      </c>
      <c r="K26" s="137" t="s">
        <v>289</v>
      </c>
      <c r="L26" s="137" t="s">
        <v>292</v>
      </c>
      <c r="M26" s="137" t="s">
        <v>295</v>
      </c>
      <c r="N26" s="81">
        <v>31194</v>
      </c>
      <c r="O26" s="137" t="s">
        <v>341</v>
      </c>
      <c r="P26" s="137" t="s">
        <v>340</v>
      </c>
      <c r="Q26" s="137"/>
    </row>
    <row r="27" spans="2:17" s="109" customFormat="1" ht="23.1" customHeight="1" x14ac:dyDescent="0.25">
      <c r="B27" s="79" t="s">
        <v>138</v>
      </c>
      <c r="C27" s="137" t="s">
        <v>426</v>
      </c>
      <c r="D27" s="97">
        <v>29490.292891851277</v>
      </c>
      <c r="E27" s="97">
        <f t="shared" si="0"/>
        <v>31013.032802451653</v>
      </c>
      <c r="F27" s="97">
        <v>29490.292891851277</v>
      </c>
      <c r="G27" s="97">
        <f t="shared" si="1"/>
        <v>31013.032802451653</v>
      </c>
      <c r="H27" s="137" t="s">
        <v>345</v>
      </c>
      <c r="I27" s="137" t="s">
        <v>286</v>
      </c>
      <c r="J27" s="137" t="s">
        <v>283</v>
      </c>
      <c r="K27" s="137" t="s">
        <v>289</v>
      </c>
      <c r="L27" s="137" t="s">
        <v>292</v>
      </c>
      <c r="M27" s="137" t="s">
        <v>295</v>
      </c>
      <c r="N27" s="81">
        <v>31194</v>
      </c>
      <c r="O27" s="137" t="s">
        <v>341</v>
      </c>
      <c r="P27" s="137" t="s">
        <v>340</v>
      </c>
      <c r="Q27" s="137"/>
    </row>
    <row r="28" spans="2:17" s="109" customFormat="1" ht="23.1" customHeight="1" x14ac:dyDescent="0.25">
      <c r="B28" s="79" t="s">
        <v>138</v>
      </c>
      <c r="C28" s="137" t="s">
        <v>427</v>
      </c>
      <c r="D28" s="97">
        <v>33944.455583431016</v>
      </c>
      <c r="E28" s="97">
        <f t="shared" si="0"/>
        <v>35697.187489148193</v>
      </c>
      <c r="F28" s="97">
        <v>33944.455583431016</v>
      </c>
      <c r="G28" s="97">
        <f t="shared" si="1"/>
        <v>35697.187489148193</v>
      </c>
      <c r="H28" s="137" t="s">
        <v>345</v>
      </c>
      <c r="I28" s="137" t="s">
        <v>286</v>
      </c>
      <c r="J28" s="137" t="s">
        <v>283</v>
      </c>
      <c r="K28" s="137" t="s">
        <v>289</v>
      </c>
      <c r="L28" s="137" t="s">
        <v>292</v>
      </c>
      <c r="M28" s="137" t="s">
        <v>295</v>
      </c>
      <c r="N28" s="137">
        <v>31194</v>
      </c>
      <c r="O28" s="137" t="s">
        <v>341</v>
      </c>
      <c r="P28" s="137" t="s">
        <v>340</v>
      </c>
      <c r="Q28" s="137"/>
    </row>
    <row r="29" spans="2:17" s="109" customFormat="1" ht="23.1" customHeight="1" x14ac:dyDescent="0.25">
      <c r="B29" s="79" t="s">
        <v>138</v>
      </c>
      <c r="C29" s="137" t="s">
        <v>428</v>
      </c>
      <c r="D29" s="97">
        <v>29442.150190904678</v>
      </c>
      <c r="E29" s="97">
        <f t="shared" si="0"/>
        <v>30962.404239041622</v>
      </c>
      <c r="F29" s="97">
        <v>29442.150190904678</v>
      </c>
      <c r="G29" s="97">
        <f t="shared" si="1"/>
        <v>30962.404239041622</v>
      </c>
      <c r="H29" s="137" t="s">
        <v>345</v>
      </c>
      <c r="I29" s="137" t="s">
        <v>286</v>
      </c>
      <c r="J29" s="137" t="s">
        <v>283</v>
      </c>
      <c r="K29" s="137" t="s">
        <v>289</v>
      </c>
      <c r="L29" s="137" t="s">
        <v>292</v>
      </c>
      <c r="M29" s="137" t="s">
        <v>295</v>
      </c>
      <c r="N29" s="137">
        <v>31194</v>
      </c>
      <c r="O29" s="137" t="s">
        <v>341</v>
      </c>
      <c r="P29" s="137" t="s">
        <v>340</v>
      </c>
      <c r="Q29" s="137"/>
    </row>
    <row r="30" spans="2:17" s="109" customFormat="1" ht="23.1" customHeight="1" x14ac:dyDescent="0.25">
      <c r="B30" s="79" t="s">
        <v>130</v>
      </c>
      <c r="C30" s="137" t="s">
        <v>429</v>
      </c>
      <c r="D30" s="97">
        <v>30625.262343748516</v>
      </c>
      <c r="E30" s="97">
        <f t="shared" si="0"/>
        <v>32206.606734407949</v>
      </c>
      <c r="F30" s="97">
        <v>30625.262343748502</v>
      </c>
      <c r="G30" s="97">
        <f t="shared" si="1"/>
        <v>32206.606734407931</v>
      </c>
      <c r="H30" s="137" t="s">
        <v>345</v>
      </c>
      <c r="I30" s="137" t="s">
        <v>286</v>
      </c>
      <c r="J30" s="137" t="s">
        <v>283</v>
      </c>
      <c r="K30" s="137" t="s">
        <v>289</v>
      </c>
      <c r="L30" s="137" t="s">
        <v>292</v>
      </c>
      <c r="M30" s="137" t="s">
        <v>391</v>
      </c>
      <c r="N30" s="81">
        <v>16050</v>
      </c>
      <c r="O30" s="137" t="s">
        <v>341</v>
      </c>
      <c r="P30" s="137" t="s">
        <v>340</v>
      </c>
      <c r="Q30" s="137"/>
    </row>
    <row r="31" spans="2:17" s="109" customFormat="1" ht="23.1" customHeight="1" x14ac:dyDescent="0.25">
      <c r="B31" s="79" t="s">
        <v>122</v>
      </c>
      <c r="C31" s="137" t="s">
        <v>430</v>
      </c>
      <c r="D31" s="97">
        <v>1515085.7980981776</v>
      </c>
      <c r="E31" s="97">
        <f t="shared" si="0"/>
        <v>1593317.6970219559</v>
      </c>
      <c r="F31" s="97">
        <v>1515085.7980981776</v>
      </c>
      <c r="G31" s="97">
        <f t="shared" si="1"/>
        <v>1593317.6970219559</v>
      </c>
      <c r="H31" s="137" t="s">
        <v>345</v>
      </c>
      <c r="I31" s="137" t="s">
        <v>285</v>
      </c>
      <c r="J31" s="137" t="s">
        <v>283</v>
      </c>
      <c r="K31" s="137" t="s">
        <v>289</v>
      </c>
      <c r="L31" s="137" t="s">
        <v>291</v>
      </c>
      <c r="M31" s="137" t="s">
        <v>511</v>
      </c>
      <c r="N31" s="137">
        <v>52010</v>
      </c>
      <c r="O31" s="137" t="s">
        <v>340</v>
      </c>
      <c r="P31" s="137" t="s">
        <v>340</v>
      </c>
      <c r="Q31" s="137"/>
    </row>
    <row r="32" spans="2:17" s="109" customFormat="1" ht="23.1" customHeight="1" x14ac:dyDescent="0.25">
      <c r="B32" s="79" t="s">
        <v>122</v>
      </c>
      <c r="C32" s="137" t="s">
        <v>431</v>
      </c>
      <c r="D32" s="97">
        <v>66126.02945524831</v>
      </c>
      <c r="E32" s="97">
        <f t="shared" si="0"/>
        <v>69540.466353189942</v>
      </c>
      <c r="F32" s="97">
        <v>66126.02945524831</v>
      </c>
      <c r="G32" s="97">
        <f t="shared" si="1"/>
        <v>69540.466353189942</v>
      </c>
      <c r="H32" s="137" t="s">
        <v>345</v>
      </c>
      <c r="I32" s="137" t="s">
        <v>286</v>
      </c>
      <c r="J32" s="137" t="s">
        <v>283</v>
      </c>
      <c r="K32" s="137" t="s">
        <v>289</v>
      </c>
      <c r="L32" s="137" t="s">
        <v>291</v>
      </c>
      <c r="M32" s="137" t="s">
        <v>512</v>
      </c>
      <c r="N32" s="81">
        <v>14031</v>
      </c>
      <c r="O32" s="137" t="s">
        <v>341</v>
      </c>
      <c r="P32" s="137" t="s">
        <v>341</v>
      </c>
      <c r="Q32" s="137"/>
    </row>
    <row r="33" spans="2:17" s="109" customFormat="1" ht="23.1" customHeight="1" x14ac:dyDescent="0.25">
      <c r="B33" s="79" t="s">
        <v>122</v>
      </c>
      <c r="C33" s="137" t="s">
        <v>432</v>
      </c>
      <c r="D33" s="97">
        <v>22201.031556060407</v>
      </c>
      <c r="E33" s="97">
        <f t="shared" si="0"/>
        <v>23347.388322705236</v>
      </c>
      <c r="F33" s="97">
        <v>22201.031556060407</v>
      </c>
      <c r="G33" s="97">
        <f t="shared" si="1"/>
        <v>23347.388322705236</v>
      </c>
      <c r="H33" s="137" t="s">
        <v>345</v>
      </c>
      <c r="I33" s="137" t="s">
        <v>286</v>
      </c>
      <c r="J33" s="137" t="s">
        <v>283</v>
      </c>
      <c r="K33" s="137" t="s">
        <v>289</v>
      </c>
      <c r="L33" s="137" t="s">
        <v>291</v>
      </c>
      <c r="M33" s="137" t="s">
        <v>513</v>
      </c>
      <c r="N33" s="81">
        <v>15112</v>
      </c>
      <c r="O33" s="137" t="s">
        <v>341</v>
      </c>
      <c r="P33" s="137" t="s">
        <v>340</v>
      </c>
      <c r="Q33" s="137"/>
    </row>
    <row r="34" spans="2:17" s="109" customFormat="1" ht="23.1" customHeight="1" x14ac:dyDescent="0.25">
      <c r="B34" s="79" t="s">
        <v>122</v>
      </c>
      <c r="C34" s="137" t="s">
        <v>433</v>
      </c>
      <c r="D34" s="97">
        <v>53087.015102660989</v>
      </c>
      <c r="E34" s="97">
        <f t="shared" si="0"/>
        <v>55828.178675634656</v>
      </c>
      <c r="F34" s="97">
        <v>53087.015102660989</v>
      </c>
      <c r="G34" s="97">
        <f t="shared" si="1"/>
        <v>55828.178675634656</v>
      </c>
      <c r="H34" s="137" t="s">
        <v>345</v>
      </c>
      <c r="I34" s="137" t="s">
        <v>286</v>
      </c>
      <c r="J34" s="137" t="s">
        <v>283</v>
      </c>
      <c r="K34" s="137" t="s">
        <v>289</v>
      </c>
      <c r="L34" s="137" t="s">
        <v>291</v>
      </c>
      <c r="M34" s="137" t="s">
        <v>391</v>
      </c>
      <c r="N34" s="137">
        <v>16040</v>
      </c>
      <c r="O34" s="137" t="s">
        <v>341</v>
      </c>
      <c r="P34" s="137" t="s">
        <v>340</v>
      </c>
      <c r="Q34" s="137"/>
    </row>
    <row r="35" spans="2:17" s="109" customFormat="1" ht="23.1" customHeight="1" x14ac:dyDescent="0.25">
      <c r="B35" s="79" t="s">
        <v>122</v>
      </c>
      <c r="C35" s="137" t="s">
        <v>434</v>
      </c>
      <c r="D35" s="97">
        <v>25951.752063691671</v>
      </c>
      <c r="E35" s="97">
        <f t="shared" si="0"/>
        <v>27291.778382260673</v>
      </c>
      <c r="F35" s="97">
        <v>25951.752063691671</v>
      </c>
      <c r="G35" s="97">
        <f t="shared" si="1"/>
        <v>27291.778382260673</v>
      </c>
      <c r="H35" s="137" t="s">
        <v>345</v>
      </c>
      <c r="I35" s="137" t="s">
        <v>286</v>
      </c>
      <c r="J35" s="137" t="s">
        <v>283</v>
      </c>
      <c r="K35" s="137" t="s">
        <v>289</v>
      </c>
      <c r="L35" s="137" t="s">
        <v>291</v>
      </c>
      <c r="M35" s="137" t="s">
        <v>507</v>
      </c>
      <c r="N35" s="137">
        <v>43030</v>
      </c>
      <c r="O35" s="137" t="s">
        <v>341</v>
      </c>
      <c r="P35" s="137" t="s">
        <v>340</v>
      </c>
      <c r="Q35" s="137"/>
    </row>
    <row r="36" spans="2:17" s="109" customFormat="1" ht="42.75" customHeight="1" x14ac:dyDescent="0.25">
      <c r="B36" s="79" t="s">
        <v>122</v>
      </c>
      <c r="C36" s="135" t="s">
        <v>598</v>
      </c>
      <c r="D36" s="97">
        <v>608539.50161680579</v>
      </c>
      <c r="E36" s="97">
        <f t="shared" si="0"/>
        <v>639961.61701209994</v>
      </c>
      <c r="F36" s="97">
        <v>608539.50161680579</v>
      </c>
      <c r="G36" s="97">
        <f t="shared" si="1"/>
        <v>639961.61701209994</v>
      </c>
      <c r="H36" s="137" t="s">
        <v>345</v>
      </c>
      <c r="I36" s="137" t="s">
        <v>285</v>
      </c>
      <c r="J36" s="137" t="s">
        <v>283</v>
      </c>
      <c r="K36" s="137" t="s">
        <v>289</v>
      </c>
      <c r="L36" s="137" t="s">
        <v>292</v>
      </c>
      <c r="M36" s="137" t="s">
        <v>295</v>
      </c>
      <c r="N36" s="137">
        <v>31130</v>
      </c>
      <c r="O36" s="137" t="s">
        <v>341</v>
      </c>
      <c r="P36" s="137" t="s">
        <v>340</v>
      </c>
      <c r="Q36" s="137"/>
    </row>
    <row r="37" spans="2:17" s="109" customFormat="1" ht="54.75" customHeight="1" x14ac:dyDescent="0.25">
      <c r="B37" s="79" t="s">
        <v>122</v>
      </c>
      <c r="C37" s="135" t="s">
        <v>599</v>
      </c>
      <c r="D37" s="97">
        <v>1865231.0469432182</v>
      </c>
      <c r="E37" s="97">
        <f t="shared" si="0"/>
        <v>1961542.7983418007</v>
      </c>
      <c r="F37" s="97">
        <v>1865231.0469432182</v>
      </c>
      <c r="G37" s="97">
        <f t="shared" si="1"/>
        <v>1961542.7983418007</v>
      </c>
      <c r="H37" s="137" t="s">
        <v>345</v>
      </c>
      <c r="I37" s="137" t="s">
        <v>285</v>
      </c>
      <c r="J37" s="137" t="s">
        <v>283</v>
      </c>
      <c r="K37" s="137" t="s">
        <v>289</v>
      </c>
      <c r="L37" s="137" t="s">
        <v>292</v>
      </c>
      <c r="M37" s="137" t="s">
        <v>298</v>
      </c>
      <c r="N37" s="81">
        <v>31220</v>
      </c>
      <c r="O37" s="137" t="s">
        <v>341</v>
      </c>
      <c r="P37" s="137" t="s">
        <v>340</v>
      </c>
      <c r="Q37" s="137"/>
    </row>
    <row r="38" spans="2:17" s="109" customFormat="1" ht="23.1" customHeight="1" x14ac:dyDescent="0.25">
      <c r="B38" s="79" t="s">
        <v>122</v>
      </c>
      <c r="C38" s="137" t="s">
        <v>435</v>
      </c>
      <c r="D38" s="97">
        <v>54328.460001172498</v>
      </c>
      <c r="E38" s="97">
        <f t="shared" si="0"/>
        <v>57133.725945075719</v>
      </c>
      <c r="F38" s="97">
        <v>54328.460001172498</v>
      </c>
      <c r="G38" s="97">
        <f t="shared" si="1"/>
        <v>57133.725945075719</v>
      </c>
      <c r="H38" s="137" t="s">
        <v>345</v>
      </c>
      <c r="I38" s="137" t="s">
        <v>286</v>
      </c>
      <c r="J38" s="137" t="s">
        <v>283</v>
      </c>
      <c r="K38" s="137" t="s">
        <v>289</v>
      </c>
      <c r="L38" s="137" t="s">
        <v>292</v>
      </c>
      <c r="M38" s="137" t="s">
        <v>295</v>
      </c>
      <c r="N38" s="81">
        <v>31130</v>
      </c>
      <c r="O38" s="137" t="s">
        <v>341</v>
      </c>
      <c r="P38" s="137" t="s">
        <v>340</v>
      </c>
      <c r="Q38" s="137"/>
    </row>
    <row r="39" spans="2:17" s="109" customFormat="1" ht="23.1" customHeight="1" x14ac:dyDescent="0.25">
      <c r="B39" s="79" t="s">
        <v>122</v>
      </c>
      <c r="C39" s="137" t="s">
        <v>436</v>
      </c>
      <c r="D39" s="97">
        <v>77274.475135966335</v>
      </c>
      <c r="E39" s="97">
        <f t="shared" si="0"/>
        <v>81264.565291793391</v>
      </c>
      <c r="F39" s="97">
        <v>77274.475135966335</v>
      </c>
      <c r="G39" s="97">
        <f t="shared" si="1"/>
        <v>81264.565291793391</v>
      </c>
      <c r="H39" s="137" t="s">
        <v>345</v>
      </c>
      <c r="I39" s="137" t="s">
        <v>286</v>
      </c>
      <c r="J39" s="137" t="s">
        <v>283</v>
      </c>
      <c r="K39" s="137" t="s">
        <v>289</v>
      </c>
      <c r="L39" s="137" t="s">
        <v>292</v>
      </c>
      <c r="M39" s="137" t="s">
        <v>295</v>
      </c>
      <c r="N39" s="137">
        <v>31161</v>
      </c>
      <c r="O39" s="137" t="s">
        <v>341</v>
      </c>
      <c r="P39" s="137" t="s">
        <v>341</v>
      </c>
      <c r="Q39" s="137"/>
    </row>
    <row r="40" spans="2:17" s="109" customFormat="1" ht="23.1" customHeight="1" x14ac:dyDescent="0.25">
      <c r="B40" s="79" t="s">
        <v>122</v>
      </c>
      <c r="C40" s="137" t="s">
        <v>437</v>
      </c>
      <c r="D40" s="97">
        <v>41409.252221994931</v>
      </c>
      <c r="E40" s="97">
        <f t="shared" si="0"/>
        <v>43547.431088437203</v>
      </c>
      <c r="F40" s="97">
        <v>41409.252221994931</v>
      </c>
      <c r="G40" s="97">
        <f t="shared" si="1"/>
        <v>43547.431088437203</v>
      </c>
      <c r="H40" s="137" t="s">
        <v>345</v>
      </c>
      <c r="I40" s="137" t="s">
        <v>286</v>
      </c>
      <c r="J40" s="137" t="s">
        <v>283</v>
      </c>
      <c r="K40" s="137" t="s">
        <v>289</v>
      </c>
      <c r="L40" s="137" t="s">
        <v>292</v>
      </c>
      <c r="M40" s="137" t="s">
        <v>295</v>
      </c>
      <c r="N40" s="137">
        <v>31163</v>
      </c>
      <c r="O40" s="137" t="s">
        <v>341</v>
      </c>
      <c r="P40" s="137" t="s">
        <v>341</v>
      </c>
      <c r="Q40" s="137"/>
    </row>
    <row r="41" spans="2:17" s="109" customFormat="1" ht="23.1" customHeight="1" x14ac:dyDescent="0.25">
      <c r="B41" s="79" t="s">
        <v>122</v>
      </c>
      <c r="C41" s="137" t="s">
        <v>438</v>
      </c>
      <c r="D41" s="97">
        <v>15380.86512934201</v>
      </c>
      <c r="E41" s="97">
        <f t="shared" si="0"/>
        <v>16175.060605049965</v>
      </c>
      <c r="F41" s="97">
        <v>15380.86512934201</v>
      </c>
      <c r="G41" s="97">
        <f t="shared" si="1"/>
        <v>16175.060605049965</v>
      </c>
      <c r="H41" s="137" t="s">
        <v>345</v>
      </c>
      <c r="I41" s="137" t="s">
        <v>286</v>
      </c>
      <c r="J41" s="137" t="s">
        <v>283</v>
      </c>
      <c r="K41" s="137" t="s">
        <v>289</v>
      </c>
      <c r="L41" s="137" t="s">
        <v>292</v>
      </c>
      <c r="M41" s="137" t="s">
        <v>295</v>
      </c>
      <c r="N41" s="81">
        <v>31194</v>
      </c>
      <c r="O41" s="137" t="s">
        <v>341</v>
      </c>
      <c r="P41" s="137" t="s">
        <v>340</v>
      </c>
      <c r="Q41" s="137"/>
    </row>
    <row r="42" spans="2:17" s="109" customFormat="1" ht="23.1" customHeight="1" x14ac:dyDescent="0.25">
      <c r="B42" s="79" t="s">
        <v>122</v>
      </c>
      <c r="C42" s="137" t="s">
        <v>439</v>
      </c>
      <c r="D42" s="97">
        <v>11211.346086101203</v>
      </c>
      <c r="E42" s="97">
        <f t="shared" si="0"/>
        <v>11790.24722484089</v>
      </c>
      <c r="F42" s="97">
        <v>11211.346086101203</v>
      </c>
      <c r="G42" s="97">
        <f t="shared" si="1"/>
        <v>11790.24722484089</v>
      </c>
      <c r="H42" s="137" t="s">
        <v>345</v>
      </c>
      <c r="I42" s="137" t="s">
        <v>286</v>
      </c>
      <c r="J42" s="137" t="s">
        <v>283</v>
      </c>
      <c r="K42" s="137" t="s">
        <v>289</v>
      </c>
      <c r="L42" s="137" t="s">
        <v>293</v>
      </c>
      <c r="M42" s="137" t="s">
        <v>514</v>
      </c>
      <c r="N42" s="137">
        <v>32310</v>
      </c>
      <c r="O42" s="137" t="s">
        <v>340</v>
      </c>
      <c r="P42" s="137" t="s">
        <v>340</v>
      </c>
      <c r="Q42" s="137"/>
    </row>
    <row r="43" spans="2:17" s="109" customFormat="1" ht="23.1" customHeight="1" x14ac:dyDescent="0.25">
      <c r="B43" s="79" t="s">
        <v>129</v>
      </c>
      <c r="C43" s="137" t="s">
        <v>440</v>
      </c>
      <c r="D43" s="97">
        <v>979.28536113029099</v>
      </c>
      <c r="E43" s="97">
        <f t="shared" si="0"/>
        <v>1029.8510475657704</v>
      </c>
      <c r="F43" s="97">
        <v>979.28536113029099</v>
      </c>
      <c r="G43" s="97">
        <f t="shared" si="1"/>
        <v>1029.8510475657704</v>
      </c>
      <c r="H43" s="137" t="s">
        <v>345</v>
      </c>
      <c r="I43" s="137" t="s">
        <v>286</v>
      </c>
      <c r="J43" s="137" t="s">
        <v>283</v>
      </c>
      <c r="K43" s="137" t="s">
        <v>289</v>
      </c>
      <c r="L43" s="137" t="s">
        <v>291</v>
      </c>
      <c r="M43" s="137" t="s">
        <v>512</v>
      </c>
      <c r="N43" s="81">
        <v>14031</v>
      </c>
      <c r="O43" s="137" t="s">
        <v>341</v>
      </c>
      <c r="P43" s="137" t="s">
        <v>340</v>
      </c>
      <c r="Q43" s="137"/>
    </row>
    <row r="44" spans="2:17" s="109" customFormat="1" ht="23.1" customHeight="1" x14ac:dyDescent="0.25">
      <c r="B44" s="79" t="s">
        <v>129</v>
      </c>
      <c r="C44" s="137" t="s">
        <v>441</v>
      </c>
      <c r="D44" s="97">
        <v>22664.89133481904</v>
      </c>
      <c r="E44" s="97">
        <f t="shared" si="0"/>
        <v>23835.19963699552</v>
      </c>
      <c r="F44" s="97">
        <v>22664.89133481904</v>
      </c>
      <c r="G44" s="97">
        <f t="shared" si="1"/>
        <v>23835.19963699552</v>
      </c>
      <c r="H44" s="137" t="s">
        <v>345</v>
      </c>
      <c r="I44" s="137" t="s">
        <v>286</v>
      </c>
      <c r="J44" s="137" t="s">
        <v>283</v>
      </c>
      <c r="K44" s="137" t="s">
        <v>289</v>
      </c>
      <c r="L44" s="137" t="s">
        <v>291</v>
      </c>
      <c r="M44" s="137" t="s">
        <v>391</v>
      </c>
      <c r="N44" s="137">
        <v>16040</v>
      </c>
      <c r="O44" s="137" t="s">
        <v>341</v>
      </c>
      <c r="P44" s="137" t="s">
        <v>341</v>
      </c>
      <c r="Q44" s="137"/>
    </row>
    <row r="45" spans="2:17" s="109" customFormat="1" ht="23.1" customHeight="1" x14ac:dyDescent="0.25">
      <c r="B45" s="79" t="s">
        <v>129</v>
      </c>
      <c r="C45" s="137" t="s">
        <v>442</v>
      </c>
      <c r="D45" s="97">
        <v>4623.72972867308</v>
      </c>
      <c r="E45" s="97">
        <f t="shared" si="0"/>
        <v>4862.477367413062</v>
      </c>
      <c r="F45" s="97">
        <v>4623.72972867308</v>
      </c>
      <c r="G45" s="97">
        <f t="shared" si="1"/>
        <v>4862.477367413062</v>
      </c>
      <c r="H45" s="137" t="s">
        <v>345</v>
      </c>
      <c r="I45" s="137" t="s">
        <v>286</v>
      </c>
      <c r="J45" s="137" t="s">
        <v>283</v>
      </c>
      <c r="K45" s="137" t="s">
        <v>289</v>
      </c>
      <c r="L45" s="137" t="s">
        <v>291</v>
      </c>
      <c r="M45" s="137" t="s">
        <v>507</v>
      </c>
      <c r="N45" s="137">
        <v>43040</v>
      </c>
      <c r="O45" s="137" t="s">
        <v>341</v>
      </c>
      <c r="P45" s="137" t="s">
        <v>340</v>
      </c>
      <c r="Q45" s="137"/>
    </row>
    <row r="46" spans="2:17" s="109" customFormat="1" ht="23.1" customHeight="1" x14ac:dyDescent="0.25">
      <c r="B46" s="79" t="s">
        <v>117</v>
      </c>
      <c r="C46" s="137" t="s">
        <v>430</v>
      </c>
      <c r="D46" s="97">
        <v>1201908.8033111386</v>
      </c>
      <c r="E46" s="97">
        <f t="shared" si="0"/>
        <v>1263969.7163856754</v>
      </c>
      <c r="F46" s="97">
        <v>1201908.8033111386</v>
      </c>
      <c r="G46" s="97">
        <f t="shared" si="1"/>
        <v>1263969.7163856754</v>
      </c>
      <c r="H46" s="137" t="s">
        <v>345</v>
      </c>
      <c r="I46" s="137" t="s">
        <v>285</v>
      </c>
      <c r="J46" s="137" t="s">
        <v>283</v>
      </c>
      <c r="K46" s="137" t="s">
        <v>289</v>
      </c>
      <c r="L46" s="137" t="s">
        <v>291</v>
      </c>
      <c r="M46" s="137" t="s">
        <v>511</v>
      </c>
      <c r="N46" s="81">
        <v>52010</v>
      </c>
      <c r="O46" s="137" t="s">
        <v>340</v>
      </c>
      <c r="P46" s="137" t="s">
        <v>340</v>
      </c>
      <c r="Q46" s="137"/>
    </row>
    <row r="47" spans="2:17" s="109" customFormat="1" ht="23.1" customHeight="1" x14ac:dyDescent="0.25">
      <c r="B47" s="79" t="s">
        <v>117</v>
      </c>
      <c r="C47" s="137" t="s">
        <v>583</v>
      </c>
      <c r="D47" s="97">
        <v>1423737.4249192341</v>
      </c>
      <c r="E47" s="97">
        <f t="shared" si="0"/>
        <v>1497252.5238397666</v>
      </c>
      <c r="F47" s="97">
        <v>1423737.4249192341</v>
      </c>
      <c r="G47" s="97">
        <f t="shared" si="1"/>
        <v>1497252.5238397666</v>
      </c>
      <c r="H47" s="137" t="s">
        <v>345</v>
      </c>
      <c r="I47" s="137" t="s">
        <v>285</v>
      </c>
      <c r="J47" s="137" t="s">
        <v>283</v>
      </c>
      <c r="K47" s="137" t="s">
        <v>289</v>
      </c>
      <c r="L47" s="137" t="s">
        <v>292</v>
      </c>
      <c r="M47" s="137" t="s">
        <v>512</v>
      </c>
      <c r="N47" s="81">
        <v>14010</v>
      </c>
      <c r="O47" s="137" t="s">
        <v>341</v>
      </c>
      <c r="P47" s="137" t="s">
        <v>341</v>
      </c>
      <c r="Q47" s="137"/>
    </row>
    <row r="48" spans="2:17" s="109" customFormat="1" ht="23.1" customHeight="1" x14ac:dyDescent="0.25">
      <c r="B48" s="79" t="s">
        <v>117</v>
      </c>
      <c r="C48" s="137" t="s">
        <v>586</v>
      </c>
      <c r="D48" s="97">
        <v>323568.99983819341</v>
      </c>
      <c r="E48" s="97">
        <f t="shared" si="0"/>
        <v>340276.57991186605</v>
      </c>
      <c r="F48" s="97">
        <v>323568.99983819341</v>
      </c>
      <c r="G48" s="97">
        <f t="shared" si="1"/>
        <v>340276.57991186605</v>
      </c>
      <c r="H48" s="137" t="s">
        <v>345</v>
      </c>
      <c r="I48" s="137" t="s">
        <v>285</v>
      </c>
      <c r="J48" s="137" t="s">
        <v>283</v>
      </c>
      <c r="K48" s="137" t="s">
        <v>289</v>
      </c>
      <c r="L48" s="137" t="s">
        <v>292</v>
      </c>
      <c r="M48" s="137" t="s">
        <v>333</v>
      </c>
      <c r="N48" s="81">
        <v>23110</v>
      </c>
      <c r="O48" s="137" t="s">
        <v>341</v>
      </c>
      <c r="P48" s="137" t="s">
        <v>341</v>
      </c>
      <c r="Q48" s="137"/>
    </row>
    <row r="49" spans="2:17" s="109" customFormat="1" ht="23.1" customHeight="1" x14ac:dyDescent="0.25">
      <c r="B49" s="79" t="s">
        <v>117</v>
      </c>
      <c r="C49" s="137" t="s">
        <v>585</v>
      </c>
      <c r="D49" s="97">
        <v>367319.98385781434</v>
      </c>
      <c r="E49" s="97">
        <f t="shared" si="0"/>
        <v>386286.6588051471</v>
      </c>
      <c r="F49" s="97">
        <v>367319.98385781434</v>
      </c>
      <c r="G49" s="97">
        <f t="shared" si="1"/>
        <v>386286.6588051471</v>
      </c>
      <c r="H49" s="137" t="s">
        <v>345</v>
      </c>
      <c r="I49" s="137" t="s">
        <v>285</v>
      </c>
      <c r="J49" s="137" t="s">
        <v>283</v>
      </c>
      <c r="K49" s="137" t="s">
        <v>289</v>
      </c>
      <c r="L49" s="137" t="s">
        <v>292</v>
      </c>
      <c r="M49" s="137" t="s">
        <v>512</v>
      </c>
      <c r="N49" s="137">
        <v>14021</v>
      </c>
      <c r="O49" s="137" t="s">
        <v>341</v>
      </c>
      <c r="P49" s="137" t="s">
        <v>341</v>
      </c>
      <c r="Q49" s="137"/>
    </row>
    <row r="50" spans="2:17" s="109" customFormat="1" ht="48" x14ac:dyDescent="0.25">
      <c r="B50" s="79" t="s">
        <v>117</v>
      </c>
      <c r="C50" s="137" t="s">
        <v>601</v>
      </c>
      <c r="D50" s="97">
        <v>73713.86496204877</v>
      </c>
      <c r="E50" s="97">
        <f t="shared" si="0"/>
        <v>77520.101968712566</v>
      </c>
      <c r="F50" s="97">
        <v>73713.86496204877</v>
      </c>
      <c r="G50" s="97">
        <f t="shared" si="1"/>
        <v>77520.101968712566</v>
      </c>
      <c r="H50" s="137" t="s">
        <v>345</v>
      </c>
      <c r="I50" s="137" t="s">
        <v>285</v>
      </c>
      <c r="J50" s="137" t="s">
        <v>283</v>
      </c>
      <c r="K50" s="137" t="s">
        <v>289</v>
      </c>
      <c r="L50" s="137" t="s">
        <v>293</v>
      </c>
      <c r="M50" s="137" t="s">
        <v>333</v>
      </c>
      <c r="N50" s="81">
        <v>23110</v>
      </c>
      <c r="O50" s="137" t="s">
        <v>341</v>
      </c>
      <c r="P50" s="137" t="s">
        <v>341</v>
      </c>
      <c r="Q50" s="137"/>
    </row>
    <row r="51" spans="2:17" s="109" customFormat="1" ht="23.1" customHeight="1" x14ac:dyDescent="0.25">
      <c r="B51" s="79" t="s">
        <v>131</v>
      </c>
      <c r="C51" s="137" t="s">
        <v>444</v>
      </c>
      <c r="D51" s="97">
        <v>144.56627284270175</v>
      </c>
      <c r="E51" s="97">
        <f t="shared" si="0"/>
        <v>152.03099468156668</v>
      </c>
      <c r="F51" s="97">
        <v>144.56627284270175</v>
      </c>
      <c r="G51" s="97">
        <f t="shared" si="1"/>
        <v>152.03099468156668</v>
      </c>
      <c r="H51" s="137" t="s">
        <v>345</v>
      </c>
      <c r="I51" s="137" t="s">
        <v>286</v>
      </c>
      <c r="J51" s="137" t="s">
        <v>283</v>
      </c>
      <c r="K51" s="137" t="s">
        <v>289</v>
      </c>
      <c r="L51" s="137" t="s">
        <v>291</v>
      </c>
      <c r="M51" s="137" t="s">
        <v>295</v>
      </c>
      <c r="N51" s="81">
        <v>31120</v>
      </c>
      <c r="O51" s="137" t="s">
        <v>341</v>
      </c>
      <c r="P51" s="137" t="s">
        <v>340</v>
      </c>
      <c r="Q51" s="137"/>
    </row>
    <row r="52" spans="2:17" s="109" customFormat="1" ht="23.1" customHeight="1" x14ac:dyDescent="0.25">
      <c r="B52" s="79" t="s">
        <v>131</v>
      </c>
      <c r="C52" s="137" t="s">
        <v>445</v>
      </c>
      <c r="D52" s="97">
        <v>144.56627284270175</v>
      </c>
      <c r="E52" s="97">
        <f t="shared" si="0"/>
        <v>152.03099468156668</v>
      </c>
      <c r="F52" s="97">
        <v>144.56627284270175</v>
      </c>
      <c r="G52" s="97">
        <f t="shared" si="1"/>
        <v>152.03099468156668</v>
      </c>
      <c r="H52" s="137" t="s">
        <v>345</v>
      </c>
      <c r="I52" s="137" t="s">
        <v>286</v>
      </c>
      <c r="J52" s="137" t="s">
        <v>283</v>
      </c>
      <c r="K52" s="137" t="s">
        <v>289</v>
      </c>
      <c r="L52" s="137" t="s">
        <v>291</v>
      </c>
      <c r="M52" s="137" t="s">
        <v>295</v>
      </c>
      <c r="N52" s="137">
        <v>31181</v>
      </c>
      <c r="O52" s="137" t="s">
        <v>341</v>
      </c>
      <c r="P52" s="137" t="s">
        <v>340</v>
      </c>
      <c r="Q52" s="137"/>
    </row>
    <row r="53" spans="2:17" s="109" customFormat="1" ht="23.1" customHeight="1" x14ac:dyDescent="0.25">
      <c r="B53" s="79" t="s">
        <v>131</v>
      </c>
      <c r="C53" s="137" t="s">
        <v>446</v>
      </c>
      <c r="D53" s="97">
        <v>85.66644376900706</v>
      </c>
      <c r="E53" s="97">
        <f t="shared" si="0"/>
        <v>90.089855683044547</v>
      </c>
      <c r="F53" s="97">
        <v>85.66644376900706</v>
      </c>
      <c r="G53" s="97">
        <f t="shared" si="1"/>
        <v>90.089855683044547</v>
      </c>
      <c r="H53" s="137" t="s">
        <v>345</v>
      </c>
      <c r="I53" s="137" t="s">
        <v>286</v>
      </c>
      <c r="J53" s="137" t="s">
        <v>283</v>
      </c>
      <c r="K53" s="137" t="s">
        <v>289</v>
      </c>
      <c r="L53" s="137" t="s">
        <v>291</v>
      </c>
      <c r="M53" s="137" t="s">
        <v>507</v>
      </c>
      <c r="N53" s="137">
        <v>43040</v>
      </c>
      <c r="O53" s="137" t="s">
        <v>341</v>
      </c>
      <c r="P53" s="137" t="s">
        <v>340</v>
      </c>
      <c r="Q53" s="137"/>
    </row>
    <row r="54" spans="2:17" s="109" customFormat="1" ht="23.1" customHeight="1" x14ac:dyDescent="0.25">
      <c r="B54" s="79" t="s">
        <v>131</v>
      </c>
      <c r="C54" s="137" t="s">
        <v>447</v>
      </c>
      <c r="D54" s="97">
        <v>144.56627284270175</v>
      </c>
      <c r="E54" s="97">
        <f t="shared" si="0"/>
        <v>152.03099468156668</v>
      </c>
      <c r="F54" s="97">
        <v>144.56627284270175</v>
      </c>
      <c r="G54" s="97">
        <f t="shared" si="1"/>
        <v>152.03099468156668</v>
      </c>
      <c r="H54" s="137" t="s">
        <v>345</v>
      </c>
      <c r="I54" s="137" t="s">
        <v>286</v>
      </c>
      <c r="J54" s="137" t="s">
        <v>283</v>
      </c>
      <c r="K54" s="137" t="s">
        <v>289</v>
      </c>
      <c r="L54" s="137" t="s">
        <v>291</v>
      </c>
      <c r="M54" s="137" t="s">
        <v>507</v>
      </c>
      <c r="N54" s="81">
        <v>43072</v>
      </c>
      <c r="O54" s="137" t="s">
        <v>341</v>
      </c>
      <c r="P54" s="137" t="s">
        <v>340</v>
      </c>
      <c r="Q54" s="137"/>
    </row>
    <row r="55" spans="2:17" s="109" customFormat="1" ht="23.1" customHeight="1" x14ac:dyDescent="0.25">
      <c r="B55" s="79" t="s">
        <v>405</v>
      </c>
      <c r="C55" s="137" t="s">
        <v>607</v>
      </c>
      <c r="D55" s="97">
        <v>76929.289897694893</v>
      </c>
      <c r="E55" s="97">
        <f t="shared" si="0"/>
        <v>80901.5563126458</v>
      </c>
      <c r="F55" s="97">
        <v>76929.289897694893</v>
      </c>
      <c r="G55" s="97">
        <f t="shared" si="1"/>
        <v>80901.5563126458</v>
      </c>
      <c r="H55" s="137" t="s">
        <v>345</v>
      </c>
      <c r="I55" s="137" t="s">
        <v>287</v>
      </c>
      <c r="J55" s="137" t="s">
        <v>283</v>
      </c>
      <c r="K55" s="137" t="s">
        <v>289</v>
      </c>
      <c r="L55" s="137" t="s">
        <v>292</v>
      </c>
      <c r="M55" s="137" t="s">
        <v>298</v>
      </c>
      <c r="N55" s="137">
        <v>31220</v>
      </c>
      <c r="O55" s="137" t="s">
        <v>341</v>
      </c>
      <c r="P55" s="137" t="s">
        <v>340</v>
      </c>
      <c r="Q55" s="137"/>
    </row>
    <row r="56" spans="2:17" s="109" customFormat="1" ht="23.1" customHeight="1" x14ac:dyDescent="0.25">
      <c r="B56" s="79" t="s">
        <v>137</v>
      </c>
      <c r="C56" s="137" t="s">
        <v>448</v>
      </c>
      <c r="D56" s="97">
        <v>1842.5840876398315</v>
      </c>
      <c r="E56" s="97">
        <f t="shared" si="0"/>
        <v>1937.7264566619324</v>
      </c>
      <c r="F56" s="97">
        <v>1842.5840876398315</v>
      </c>
      <c r="G56" s="97">
        <f t="shared" si="1"/>
        <v>1937.7264566619324</v>
      </c>
      <c r="H56" s="137" t="s">
        <v>345</v>
      </c>
      <c r="I56" s="137" t="s">
        <v>286</v>
      </c>
      <c r="J56" s="137" t="s">
        <v>283</v>
      </c>
      <c r="K56" s="137" t="s">
        <v>289</v>
      </c>
      <c r="L56" s="137" t="s">
        <v>291</v>
      </c>
      <c r="M56" s="137" t="s">
        <v>510</v>
      </c>
      <c r="N56" s="137">
        <v>11230</v>
      </c>
      <c r="O56" s="137" t="s">
        <v>341</v>
      </c>
      <c r="P56" s="137" t="s">
        <v>340</v>
      </c>
      <c r="Q56" s="137"/>
    </row>
    <row r="57" spans="2:17" s="109" customFormat="1" ht="23.1" customHeight="1" x14ac:dyDescent="0.25">
      <c r="B57" s="79" t="s">
        <v>137</v>
      </c>
      <c r="C57" s="137" t="s">
        <v>444</v>
      </c>
      <c r="D57" s="97">
        <v>570.05425277081338</v>
      </c>
      <c r="E57" s="97">
        <f t="shared" si="0"/>
        <v>599.48917107036846</v>
      </c>
      <c r="F57" s="97">
        <v>570.05425277081338</v>
      </c>
      <c r="G57" s="97">
        <f t="shared" si="1"/>
        <v>599.48917107036846</v>
      </c>
      <c r="H57" s="137" t="s">
        <v>345</v>
      </c>
      <c r="I57" s="137" t="s">
        <v>286</v>
      </c>
      <c r="J57" s="137" t="s">
        <v>283</v>
      </c>
      <c r="K57" s="137" t="s">
        <v>289</v>
      </c>
      <c r="L57" s="137" t="s">
        <v>291</v>
      </c>
      <c r="M57" s="137" t="s">
        <v>295</v>
      </c>
      <c r="N57" s="81">
        <v>31120</v>
      </c>
      <c r="O57" s="137" t="s">
        <v>341</v>
      </c>
      <c r="P57" s="137" t="s">
        <v>340</v>
      </c>
      <c r="Q57" s="137"/>
    </row>
    <row r="58" spans="2:17" s="109" customFormat="1" ht="23.1" customHeight="1" x14ac:dyDescent="0.25">
      <c r="B58" s="79" t="s">
        <v>137</v>
      </c>
      <c r="C58" s="137" t="s">
        <v>446</v>
      </c>
      <c r="D58" s="97">
        <v>87.246727243974689</v>
      </c>
      <c r="E58" s="97">
        <f t="shared" si="0"/>
        <v>91.751737558076243</v>
      </c>
      <c r="F58" s="97">
        <v>87.246727243974689</v>
      </c>
      <c r="G58" s="97">
        <f t="shared" si="1"/>
        <v>91.751737558076243</v>
      </c>
      <c r="H58" s="137" t="s">
        <v>345</v>
      </c>
      <c r="I58" s="137" t="s">
        <v>286</v>
      </c>
      <c r="J58" s="137" t="s">
        <v>283</v>
      </c>
      <c r="K58" s="137" t="s">
        <v>289</v>
      </c>
      <c r="L58" s="137" t="s">
        <v>291</v>
      </c>
      <c r="M58" s="137" t="s">
        <v>507</v>
      </c>
      <c r="N58" s="81">
        <v>43040</v>
      </c>
      <c r="O58" s="137" t="s">
        <v>341</v>
      </c>
      <c r="P58" s="137" t="s">
        <v>340</v>
      </c>
      <c r="Q58" s="137"/>
    </row>
    <row r="59" spans="2:17" s="109" customFormat="1" ht="23.1" customHeight="1" x14ac:dyDescent="0.25">
      <c r="B59" s="79" t="s">
        <v>137</v>
      </c>
      <c r="C59" s="137" t="s">
        <v>447</v>
      </c>
      <c r="D59" s="97">
        <v>594.1349060880915</v>
      </c>
      <c r="E59" s="97">
        <f t="shared" si="0"/>
        <v>624.81323597443634</v>
      </c>
      <c r="F59" s="97">
        <v>594.1349060880915</v>
      </c>
      <c r="G59" s="97">
        <f t="shared" si="1"/>
        <v>624.81323597443634</v>
      </c>
      <c r="H59" s="137" t="s">
        <v>345</v>
      </c>
      <c r="I59" s="137" t="s">
        <v>286</v>
      </c>
      <c r="J59" s="137" t="s">
        <v>283</v>
      </c>
      <c r="K59" s="137" t="s">
        <v>289</v>
      </c>
      <c r="L59" s="137" t="s">
        <v>291</v>
      </c>
      <c r="M59" s="137" t="s">
        <v>507</v>
      </c>
      <c r="N59" s="137">
        <v>43072</v>
      </c>
      <c r="O59" s="137" t="s">
        <v>341</v>
      </c>
      <c r="P59" s="137" t="s">
        <v>340</v>
      </c>
      <c r="Q59" s="137"/>
    </row>
    <row r="60" spans="2:17" s="109" customFormat="1" ht="23.1" customHeight="1" x14ac:dyDescent="0.25">
      <c r="B60" s="79" t="s">
        <v>126</v>
      </c>
      <c r="C60" s="137" t="s">
        <v>449</v>
      </c>
      <c r="D60" s="97">
        <v>42623.456522369466</v>
      </c>
      <c r="E60" s="97">
        <f t="shared" si="0"/>
        <v>44824.331183478251</v>
      </c>
      <c r="F60" s="97">
        <v>42623.456522369466</v>
      </c>
      <c r="G60" s="97">
        <f t="shared" si="1"/>
        <v>44824.331183478251</v>
      </c>
      <c r="H60" s="137" t="s">
        <v>345</v>
      </c>
      <c r="I60" s="137" t="s">
        <v>286</v>
      </c>
      <c r="J60" s="137" t="s">
        <v>283</v>
      </c>
      <c r="K60" s="137" t="s">
        <v>289</v>
      </c>
      <c r="L60" s="137" t="s">
        <v>291</v>
      </c>
      <c r="M60" s="137" t="s">
        <v>391</v>
      </c>
      <c r="N60" s="137">
        <v>16040</v>
      </c>
      <c r="O60" s="137" t="s">
        <v>341</v>
      </c>
      <c r="P60" s="137" t="s">
        <v>340</v>
      </c>
      <c r="Q60" s="137"/>
    </row>
    <row r="61" spans="2:17" s="109" customFormat="1" ht="23.1" customHeight="1" x14ac:dyDescent="0.25">
      <c r="B61" s="79" t="s">
        <v>126</v>
      </c>
      <c r="C61" s="137" t="s">
        <v>450</v>
      </c>
      <c r="D61" s="97">
        <v>8054.7042283737974</v>
      </c>
      <c r="E61" s="97">
        <f t="shared" si="0"/>
        <v>8470.6112402711096</v>
      </c>
      <c r="F61" s="97">
        <v>8054.7042283737974</v>
      </c>
      <c r="G61" s="97">
        <f t="shared" si="1"/>
        <v>8470.6112402711096</v>
      </c>
      <c r="H61" s="137" t="s">
        <v>345</v>
      </c>
      <c r="I61" s="137" t="s">
        <v>286</v>
      </c>
      <c r="J61" s="137" t="s">
        <v>283</v>
      </c>
      <c r="K61" s="137" t="s">
        <v>289</v>
      </c>
      <c r="L61" s="137" t="s">
        <v>291</v>
      </c>
      <c r="M61" s="137" t="s">
        <v>295</v>
      </c>
      <c r="N61" s="137">
        <v>31120</v>
      </c>
      <c r="O61" s="137" t="s">
        <v>341</v>
      </c>
      <c r="P61" s="137" t="s">
        <v>340</v>
      </c>
      <c r="Q61" s="137"/>
    </row>
    <row r="62" spans="2:17" s="109" customFormat="1" ht="23.1" customHeight="1" x14ac:dyDescent="0.25">
      <c r="B62" s="79" t="s">
        <v>126</v>
      </c>
      <c r="C62" s="137" t="s">
        <v>451</v>
      </c>
      <c r="D62" s="97">
        <v>11146.842315686752</v>
      </c>
      <c r="E62" s="97">
        <f t="shared" si="0"/>
        <v>11722.412783349198</v>
      </c>
      <c r="F62" s="97">
        <v>11146.842315686752</v>
      </c>
      <c r="G62" s="97">
        <f t="shared" si="1"/>
        <v>11722.412783349198</v>
      </c>
      <c r="H62" s="137" t="s">
        <v>345</v>
      </c>
      <c r="I62" s="137" t="s">
        <v>286</v>
      </c>
      <c r="J62" s="137" t="s">
        <v>283</v>
      </c>
      <c r="K62" s="137" t="s">
        <v>289</v>
      </c>
      <c r="L62" s="137" t="s">
        <v>291</v>
      </c>
      <c r="M62" s="137" t="s">
        <v>507</v>
      </c>
      <c r="N62" s="81">
        <v>43040</v>
      </c>
      <c r="O62" s="137" t="s">
        <v>341</v>
      </c>
      <c r="P62" s="137" t="s">
        <v>340</v>
      </c>
      <c r="Q62" s="137"/>
    </row>
    <row r="63" spans="2:17" s="109" customFormat="1" ht="23.1" customHeight="1" x14ac:dyDescent="0.25">
      <c r="B63" s="79" t="s">
        <v>132</v>
      </c>
      <c r="C63" s="137" t="s">
        <v>448</v>
      </c>
      <c r="D63" s="97">
        <v>1394.6516178394668</v>
      </c>
      <c r="E63" s="97">
        <f t="shared" si="0"/>
        <v>1466.6648625927719</v>
      </c>
      <c r="F63" s="97">
        <v>1394.6516178394668</v>
      </c>
      <c r="G63" s="97">
        <f t="shared" si="1"/>
        <v>1466.6648625927719</v>
      </c>
      <c r="H63" s="137" t="s">
        <v>345</v>
      </c>
      <c r="I63" s="137" t="s">
        <v>286</v>
      </c>
      <c r="J63" s="137" t="s">
        <v>283</v>
      </c>
      <c r="K63" s="137" t="s">
        <v>289</v>
      </c>
      <c r="L63" s="137" t="s">
        <v>291</v>
      </c>
      <c r="M63" s="137" t="s">
        <v>510</v>
      </c>
      <c r="N63" s="137">
        <v>11230</v>
      </c>
      <c r="O63" s="137" t="s">
        <v>341</v>
      </c>
      <c r="P63" s="137" t="s">
        <v>340</v>
      </c>
      <c r="Q63" s="137"/>
    </row>
    <row r="64" spans="2:17" s="109" customFormat="1" ht="23.1" customHeight="1" x14ac:dyDescent="0.25">
      <c r="B64" s="79" t="s">
        <v>132</v>
      </c>
      <c r="C64" s="137" t="s">
        <v>444</v>
      </c>
      <c r="D64" s="97">
        <v>371.50067429977184</v>
      </c>
      <c r="E64" s="97">
        <f t="shared" si="0"/>
        <v>390.68322042251748</v>
      </c>
      <c r="F64" s="97">
        <v>371.50067429977184</v>
      </c>
      <c r="G64" s="97">
        <f t="shared" si="1"/>
        <v>390.68322042251748</v>
      </c>
      <c r="H64" s="137" t="s">
        <v>345</v>
      </c>
      <c r="I64" s="137" t="s">
        <v>286</v>
      </c>
      <c r="J64" s="137" t="s">
        <v>283</v>
      </c>
      <c r="K64" s="137" t="s">
        <v>289</v>
      </c>
      <c r="L64" s="137" t="s">
        <v>291</v>
      </c>
      <c r="M64" s="137" t="s">
        <v>295</v>
      </c>
      <c r="N64" s="81">
        <v>31120</v>
      </c>
      <c r="O64" s="137" t="s">
        <v>341</v>
      </c>
      <c r="P64" s="137" t="s">
        <v>340</v>
      </c>
      <c r="Q64" s="137"/>
    </row>
    <row r="65" spans="2:17" s="109" customFormat="1" ht="23.1" customHeight="1" x14ac:dyDescent="0.25">
      <c r="B65" s="79" t="s">
        <v>132</v>
      </c>
      <c r="C65" s="137" t="s">
        <v>445</v>
      </c>
      <c r="D65" s="97">
        <v>138.95922701349951</v>
      </c>
      <c r="E65" s="97">
        <f t="shared" si="0"/>
        <v>146.13442739877959</v>
      </c>
      <c r="F65" s="97">
        <v>138.95922701349951</v>
      </c>
      <c r="G65" s="97">
        <f t="shared" si="1"/>
        <v>146.13442739877959</v>
      </c>
      <c r="H65" s="137" t="s">
        <v>345</v>
      </c>
      <c r="I65" s="137" t="s">
        <v>286</v>
      </c>
      <c r="J65" s="137" t="s">
        <v>283</v>
      </c>
      <c r="K65" s="137" t="s">
        <v>289</v>
      </c>
      <c r="L65" s="137" t="s">
        <v>291</v>
      </c>
      <c r="M65" s="137" t="s">
        <v>295</v>
      </c>
      <c r="N65" s="81">
        <v>31181</v>
      </c>
      <c r="O65" s="137" t="s">
        <v>341</v>
      </c>
      <c r="P65" s="137" t="s">
        <v>340</v>
      </c>
      <c r="Q65" s="137"/>
    </row>
    <row r="66" spans="2:17" s="109" customFormat="1" ht="23.1" customHeight="1" x14ac:dyDescent="0.25">
      <c r="B66" s="79" t="s">
        <v>132</v>
      </c>
      <c r="C66" s="137" t="s">
        <v>446</v>
      </c>
      <c r="D66" s="97">
        <v>138.95922701349951</v>
      </c>
      <c r="E66" s="97">
        <f t="shared" si="0"/>
        <v>146.13442739877959</v>
      </c>
      <c r="F66" s="97">
        <v>138.95922701349951</v>
      </c>
      <c r="G66" s="97">
        <f t="shared" si="1"/>
        <v>146.13442739877959</v>
      </c>
      <c r="H66" s="137" t="s">
        <v>345</v>
      </c>
      <c r="I66" s="137" t="s">
        <v>286</v>
      </c>
      <c r="J66" s="137" t="s">
        <v>283</v>
      </c>
      <c r="K66" s="137" t="s">
        <v>289</v>
      </c>
      <c r="L66" s="137" t="s">
        <v>291</v>
      </c>
      <c r="M66" s="137" t="s">
        <v>507</v>
      </c>
      <c r="N66" s="137">
        <v>43040</v>
      </c>
      <c r="O66" s="137" t="s">
        <v>341</v>
      </c>
      <c r="P66" s="137" t="s">
        <v>340</v>
      </c>
      <c r="Q66" s="137"/>
    </row>
    <row r="67" spans="2:17" s="109" customFormat="1" ht="23.1" customHeight="1" x14ac:dyDescent="0.25">
      <c r="B67" s="79" t="s">
        <v>132</v>
      </c>
      <c r="C67" s="137" t="s">
        <v>447</v>
      </c>
      <c r="D67" s="97">
        <v>138.95922701349951</v>
      </c>
      <c r="E67" s="97">
        <f t="shared" si="0"/>
        <v>146.13442739877959</v>
      </c>
      <c r="F67" s="97">
        <v>138.95922701349951</v>
      </c>
      <c r="G67" s="97">
        <f t="shared" si="1"/>
        <v>146.13442739877959</v>
      </c>
      <c r="H67" s="137" t="s">
        <v>345</v>
      </c>
      <c r="I67" s="137" t="s">
        <v>286</v>
      </c>
      <c r="J67" s="137" t="s">
        <v>283</v>
      </c>
      <c r="K67" s="137" t="s">
        <v>289</v>
      </c>
      <c r="L67" s="137" t="s">
        <v>291</v>
      </c>
      <c r="M67" s="137" t="s">
        <v>507</v>
      </c>
      <c r="N67" s="137">
        <v>43072</v>
      </c>
      <c r="O67" s="137" t="s">
        <v>341</v>
      </c>
      <c r="P67" s="137" t="s">
        <v>340</v>
      </c>
      <c r="Q67" s="137"/>
    </row>
    <row r="68" spans="2:17" s="109" customFormat="1" ht="23.1" customHeight="1" x14ac:dyDescent="0.25">
      <c r="B68" s="79" t="s">
        <v>140</v>
      </c>
      <c r="C68" s="137" t="s">
        <v>453</v>
      </c>
      <c r="D68" s="97">
        <v>75837.167908849558</v>
      </c>
      <c r="E68" s="97">
        <f t="shared" si="0"/>
        <v>79753.042285045289</v>
      </c>
      <c r="F68" s="97">
        <v>75837.167908849558</v>
      </c>
      <c r="G68" s="97">
        <f t="shared" si="1"/>
        <v>79753.042285045289</v>
      </c>
      <c r="H68" s="137" t="s">
        <v>345</v>
      </c>
      <c r="I68" s="137" t="s">
        <v>286</v>
      </c>
      <c r="J68" s="137" t="s">
        <v>283</v>
      </c>
      <c r="K68" s="137" t="s">
        <v>289</v>
      </c>
      <c r="L68" s="137" t="s">
        <v>291</v>
      </c>
      <c r="M68" s="137" t="s">
        <v>295</v>
      </c>
      <c r="N68" s="81">
        <v>31181</v>
      </c>
      <c r="O68" s="137" t="s">
        <v>341</v>
      </c>
      <c r="P68" s="137" t="s">
        <v>340</v>
      </c>
      <c r="Q68" s="137"/>
    </row>
    <row r="69" spans="2:17" s="109" customFormat="1" ht="23.1" customHeight="1" x14ac:dyDescent="0.25">
      <c r="B69" s="79" t="s">
        <v>140</v>
      </c>
      <c r="C69" s="137" t="s">
        <v>425</v>
      </c>
      <c r="D69" s="97">
        <v>10591.394208252712</v>
      </c>
      <c r="E69" s="97">
        <f t="shared" si="0"/>
        <v>11138.28395020792</v>
      </c>
      <c r="F69" s="97">
        <v>10591.394208252712</v>
      </c>
      <c r="G69" s="97">
        <f t="shared" si="1"/>
        <v>11138.28395020792</v>
      </c>
      <c r="H69" s="137" t="s">
        <v>345</v>
      </c>
      <c r="I69" s="137" t="s">
        <v>286</v>
      </c>
      <c r="J69" s="137" t="s">
        <v>283</v>
      </c>
      <c r="K69" s="137" t="s">
        <v>289</v>
      </c>
      <c r="L69" s="137" t="s">
        <v>292</v>
      </c>
      <c r="M69" s="137" t="s">
        <v>295</v>
      </c>
      <c r="N69" s="137">
        <v>31194</v>
      </c>
      <c r="O69" s="137" t="s">
        <v>341</v>
      </c>
      <c r="P69" s="137" t="s">
        <v>340</v>
      </c>
      <c r="Q69" s="137"/>
    </row>
    <row r="70" spans="2:17" s="109" customFormat="1" ht="23.1" customHeight="1" x14ac:dyDescent="0.25">
      <c r="B70" s="79" t="s">
        <v>140</v>
      </c>
      <c r="C70" s="137" t="s">
        <v>426</v>
      </c>
      <c r="D70" s="97">
        <v>10591.394208252712</v>
      </c>
      <c r="E70" s="97">
        <f t="shared" si="0"/>
        <v>11138.28395020792</v>
      </c>
      <c r="F70" s="97">
        <v>10591.394208252712</v>
      </c>
      <c r="G70" s="97">
        <f t="shared" si="1"/>
        <v>11138.28395020792</v>
      </c>
      <c r="H70" s="137" t="s">
        <v>345</v>
      </c>
      <c r="I70" s="137" t="s">
        <v>286</v>
      </c>
      <c r="J70" s="137" t="s">
        <v>283</v>
      </c>
      <c r="K70" s="137" t="s">
        <v>289</v>
      </c>
      <c r="L70" s="137" t="s">
        <v>292</v>
      </c>
      <c r="M70" s="137" t="s">
        <v>295</v>
      </c>
      <c r="N70" s="137">
        <v>31194</v>
      </c>
      <c r="O70" s="137" t="s">
        <v>341</v>
      </c>
      <c r="P70" s="137" t="s">
        <v>340</v>
      </c>
      <c r="Q70" s="137"/>
    </row>
    <row r="71" spans="2:17" s="109" customFormat="1" ht="23.1" customHeight="1" x14ac:dyDescent="0.25">
      <c r="B71" s="79" t="s">
        <v>140</v>
      </c>
      <c r="C71" s="137" t="s">
        <v>427</v>
      </c>
      <c r="D71" s="97">
        <v>21182.788416505424</v>
      </c>
      <c r="E71" s="97">
        <f t="shared" si="0"/>
        <v>22276.567900415841</v>
      </c>
      <c r="F71" s="97">
        <v>21182.788416505424</v>
      </c>
      <c r="G71" s="97">
        <f t="shared" si="1"/>
        <v>22276.567900415841</v>
      </c>
      <c r="H71" s="137" t="s">
        <v>345</v>
      </c>
      <c r="I71" s="137" t="s">
        <v>286</v>
      </c>
      <c r="J71" s="137" t="s">
        <v>283</v>
      </c>
      <c r="K71" s="137" t="s">
        <v>289</v>
      </c>
      <c r="L71" s="137" t="s">
        <v>292</v>
      </c>
      <c r="M71" s="137" t="s">
        <v>295</v>
      </c>
      <c r="N71" s="81">
        <v>31194</v>
      </c>
      <c r="O71" s="137" t="s">
        <v>341</v>
      </c>
      <c r="P71" s="137" t="s">
        <v>340</v>
      </c>
      <c r="Q71" s="137"/>
    </row>
    <row r="72" spans="2:17" s="109" customFormat="1" ht="23.1" customHeight="1" x14ac:dyDescent="0.25">
      <c r="B72" s="79" t="s">
        <v>151</v>
      </c>
      <c r="C72" s="137" t="s">
        <v>454</v>
      </c>
      <c r="D72" s="97">
        <v>308501.08063986094</v>
      </c>
      <c r="E72" s="97">
        <f t="shared" si="0"/>
        <v>324430.62429262901</v>
      </c>
      <c r="F72" s="97">
        <v>308501.08063986094</v>
      </c>
      <c r="G72" s="97">
        <f t="shared" si="1"/>
        <v>324430.62429262901</v>
      </c>
      <c r="H72" s="137" t="s">
        <v>345</v>
      </c>
      <c r="I72" s="137" t="s">
        <v>285</v>
      </c>
      <c r="J72" s="137" t="s">
        <v>283</v>
      </c>
      <c r="K72" s="137" t="s">
        <v>289</v>
      </c>
      <c r="L72" s="137" t="s">
        <v>292</v>
      </c>
      <c r="M72" s="137" t="s">
        <v>391</v>
      </c>
      <c r="N72" s="81">
        <v>24040</v>
      </c>
      <c r="O72" s="137" t="s">
        <v>341</v>
      </c>
      <c r="P72" s="137" t="s">
        <v>340</v>
      </c>
      <c r="Q72" s="137"/>
    </row>
    <row r="73" spans="2:17" s="109" customFormat="1" ht="23.1" customHeight="1" x14ac:dyDescent="0.25">
      <c r="B73" s="79" t="s">
        <v>151</v>
      </c>
      <c r="C73" s="137" t="s">
        <v>455</v>
      </c>
      <c r="D73" s="97">
        <v>53795.880000000005</v>
      </c>
      <c r="E73" s="97">
        <f t="shared" si="0"/>
        <v>56573.646019560423</v>
      </c>
      <c r="F73" s="97">
        <v>53795.880000000005</v>
      </c>
      <c r="G73" s="97">
        <f t="shared" si="1"/>
        <v>56573.646019560423</v>
      </c>
      <c r="H73" s="137" t="s">
        <v>345</v>
      </c>
      <c r="I73" s="137" t="s">
        <v>286</v>
      </c>
      <c r="J73" s="137" t="s">
        <v>283</v>
      </c>
      <c r="K73" s="137" t="s">
        <v>289</v>
      </c>
      <c r="L73" s="137" t="s">
        <v>292</v>
      </c>
      <c r="M73" s="137" t="s">
        <v>521</v>
      </c>
      <c r="N73" s="137">
        <v>72010</v>
      </c>
      <c r="O73" s="137" t="s">
        <v>340</v>
      </c>
      <c r="P73" s="137" t="s">
        <v>340</v>
      </c>
      <c r="Q73" s="137"/>
    </row>
    <row r="74" spans="2:17" s="109" customFormat="1" ht="23.1" customHeight="1" x14ac:dyDescent="0.25">
      <c r="B74" s="79" t="s">
        <v>148</v>
      </c>
      <c r="C74" s="137" t="s">
        <v>425</v>
      </c>
      <c r="D74" s="97">
        <v>14091.159250979694</v>
      </c>
      <c r="E74" s="97">
        <f t="shared" si="0"/>
        <v>14818.760385928799</v>
      </c>
      <c r="F74" s="97">
        <v>14091.159250979694</v>
      </c>
      <c r="G74" s="97">
        <f t="shared" si="1"/>
        <v>14818.760385928799</v>
      </c>
      <c r="H74" s="137" t="s">
        <v>345</v>
      </c>
      <c r="I74" s="137" t="s">
        <v>286</v>
      </c>
      <c r="J74" s="137" t="s">
        <v>283</v>
      </c>
      <c r="K74" s="137" t="s">
        <v>289</v>
      </c>
      <c r="L74" s="137" t="s">
        <v>292</v>
      </c>
      <c r="M74" s="137" t="s">
        <v>295</v>
      </c>
      <c r="N74" s="81">
        <v>31194</v>
      </c>
      <c r="O74" s="137" t="s">
        <v>341</v>
      </c>
      <c r="P74" s="137" t="s">
        <v>340</v>
      </c>
      <c r="Q74" s="137"/>
    </row>
    <row r="75" spans="2:17" s="109" customFormat="1" ht="23.1" customHeight="1" x14ac:dyDescent="0.25">
      <c r="B75" s="79" t="s">
        <v>148</v>
      </c>
      <c r="C75" s="137" t="s">
        <v>426</v>
      </c>
      <c r="D75" s="97">
        <v>14091.159250979694</v>
      </c>
      <c r="E75" s="97">
        <f t="shared" ref="E75:E138" si="2">D75*(1/$C$4)</f>
        <v>14818.760385928799</v>
      </c>
      <c r="F75" s="97">
        <v>14091.159250979694</v>
      </c>
      <c r="G75" s="97">
        <f t="shared" ref="G75:G138" si="3">F75*(1/$C$4)</f>
        <v>14818.760385928799</v>
      </c>
      <c r="H75" s="137" t="s">
        <v>345</v>
      </c>
      <c r="I75" s="137" t="s">
        <v>286</v>
      </c>
      <c r="J75" s="137" t="s">
        <v>283</v>
      </c>
      <c r="K75" s="137" t="s">
        <v>289</v>
      </c>
      <c r="L75" s="137" t="s">
        <v>292</v>
      </c>
      <c r="M75" s="137" t="s">
        <v>295</v>
      </c>
      <c r="N75" s="81">
        <v>31194</v>
      </c>
      <c r="O75" s="137" t="s">
        <v>341</v>
      </c>
      <c r="P75" s="137" t="s">
        <v>340</v>
      </c>
      <c r="Q75" s="137"/>
    </row>
    <row r="76" spans="2:17" s="109" customFormat="1" ht="23.1" customHeight="1" x14ac:dyDescent="0.25">
      <c r="B76" s="79" t="s">
        <v>148</v>
      </c>
      <c r="C76" s="137" t="s">
        <v>427</v>
      </c>
      <c r="D76" s="97">
        <v>19796.697261425394</v>
      </c>
      <c r="E76" s="97">
        <f t="shared" si="2"/>
        <v>20818.905522584282</v>
      </c>
      <c r="F76" s="97">
        <v>19796.697261425394</v>
      </c>
      <c r="G76" s="97">
        <f t="shared" si="3"/>
        <v>20818.905522584282</v>
      </c>
      <c r="H76" s="137" t="s">
        <v>345</v>
      </c>
      <c r="I76" s="137" t="s">
        <v>286</v>
      </c>
      <c r="J76" s="137" t="s">
        <v>283</v>
      </c>
      <c r="K76" s="137" t="s">
        <v>289</v>
      </c>
      <c r="L76" s="137" t="s">
        <v>292</v>
      </c>
      <c r="M76" s="137" t="s">
        <v>295</v>
      </c>
      <c r="N76" s="137">
        <v>31194</v>
      </c>
      <c r="O76" s="137" t="s">
        <v>341</v>
      </c>
      <c r="P76" s="137" t="s">
        <v>340</v>
      </c>
      <c r="Q76" s="137"/>
    </row>
    <row r="77" spans="2:17" s="109" customFormat="1" ht="23.1" customHeight="1" x14ac:dyDescent="0.25">
      <c r="B77" s="79" t="s">
        <v>148</v>
      </c>
      <c r="C77" s="137" t="s">
        <v>457</v>
      </c>
      <c r="D77" s="97">
        <v>4766.1273937137203</v>
      </c>
      <c r="E77" s="97">
        <f t="shared" si="2"/>
        <v>5012.2277775935645</v>
      </c>
      <c r="F77" s="97">
        <v>4766.1273937137203</v>
      </c>
      <c r="G77" s="97">
        <f t="shared" si="3"/>
        <v>5012.2277775935645</v>
      </c>
      <c r="H77" s="137" t="s">
        <v>345</v>
      </c>
      <c r="I77" s="137" t="s">
        <v>286</v>
      </c>
      <c r="J77" s="137" t="s">
        <v>283</v>
      </c>
      <c r="K77" s="137" t="s">
        <v>289</v>
      </c>
      <c r="L77" s="137" t="s">
        <v>292</v>
      </c>
      <c r="M77" s="137" t="s">
        <v>295</v>
      </c>
      <c r="N77" s="137">
        <v>31194</v>
      </c>
      <c r="O77" s="137" t="s">
        <v>341</v>
      </c>
      <c r="P77" s="137" t="s">
        <v>340</v>
      </c>
      <c r="Q77" s="137"/>
    </row>
    <row r="78" spans="2:17" s="109" customFormat="1" ht="23.1" customHeight="1" x14ac:dyDescent="0.25">
      <c r="B78" s="79" t="s">
        <v>150</v>
      </c>
      <c r="C78" s="137" t="s">
        <v>458</v>
      </c>
      <c r="D78" s="97">
        <v>70354.411999999997</v>
      </c>
      <c r="E78" s="97">
        <f t="shared" si="2"/>
        <v>73987.18266905038</v>
      </c>
      <c r="F78" s="97">
        <v>70354.411999999997</v>
      </c>
      <c r="G78" s="97">
        <f t="shared" si="3"/>
        <v>73987.18266905038</v>
      </c>
      <c r="H78" s="137" t="s">
        <v>345</v>
      </c>
      <c r="I78" s="137" t="s">
        <v>287</v>
      </c>
      <c r="J78" s="137" t="s">
        <v>283</v>
      </c>
      <c r="K78" s="137" t="s">
        <v>289</v>
      </c>
      <c r="L78" s="137" t="s">
        <v>291</v>
      </c>
      <c r="M78" s="137" t="s">
        <v>513</v>
      </c>
      <c r="N78" s="81">
        <v>15160</v>
      </c>
      <c r="O78" s="137" t="s">
        <v>340</v>
      </c>
      <c r="P78" s="137" t="s">
        <v>340</v>
      </c>
      <c r="Q78" s="137"/>
    </row>
    <row r="79" spans="2:17" s="109" customFormat="1" ht="23.1" customHeight="1" x14ac:dyDescent="0.25">
      <c r="B79" s="79" t="s">
        <v>146</v>
      </c>
      <c r="C79" s="137" t="s">
        <v>459</v>
      </c>
      <c r="D79" s="97">
        <v>1462.413857306143</v>
      </c>
      <c r="E79" s="97">
        <f t="shared" si="2"/>
        <v>1537.9260251405437</v>
      </c>
      <c r="F79" s="97">
        <v>1462.413857306143</v>
      </c>
      <c r="G79" s="97">
        <f t="shared" si="3"/>
        <v>1537.9260251405437</v>
      </c>
      <c r="H79" s="137" t="s">
        <v>345</v>
      </c>
      <c r="I79" s="137" t="s">
        <v>286</v>
      </c>
      <c r="J79" s="137" t="s">
        <v>283</v>
      </c>
      <c r="K79" s="137" t="s">
        <v>289</v>
      </c>
      <c r="L79" s="137" t="s">
        <v>291</v>
      </c>
      <c r="M79" s="137" t="s">
        <v>513</v>
      </c>
      <c r="N79" s="137">
        <v>15160</v>
      </c>
      <c r="O79" s="137" t="s">
        <v>341</v>
      </c>
      <c r="P79" s="137" t="s">
        <v>340</v>
      </c>
      <c r="Q79" s="137"/>
    </row>
    <row r="80" spans="2:17" s="109" customFormat="1" ht="23.1" customHeight="1" x14ac:dyDescent="0.25">
      <c r="B80" s="79" t="s">
        <v>146</v>
      </c>
      <c r="C80" s="137" t="s">
        <v>460</v>
      </c>
      <c r="D80" s="97">
        <v>1436.6708067726042</v>
      </c>
      <c r="E80" s="97">
        <f t="shared" si="2"/>
        <v>1510.85372465307</v>
      </c>
      <c r="F80" s="97">
        <v>1436.6708067726042</v>
      </c>
      <c r="G80" s="97">
        <f t="shared" si="3"/>
        <v>1510.85372465307</v>
      </c>
      <c r="H80" s="137" t="s">
        <v>345</v>
      </c>
      <c r="I80" s="137" t="s">
        <v>286</v>
      </c>
      <c r="J80" s="137" t="s">
        <v>283</v>
      </c>
      <c r="K80" s="137" t="s">
        <v>289</v>
      </c>
      <c r="L80" s="137" t="s">
        <v>291</v>
      </c>
      <c r="M80" s="137" t="s">
        <v>513</v>
      </c>
      <c r="N80" s="81">
        <v>15160</v>
      </c>
      <c r="O80" s="137" t="s">
        <v>341</v>
      </c>
      <c r="P80" s="137" t="s">
        <v>340</v>
      </c>
      <c r="Q80" s="137"/>
    </row>
    <row r="81" spans="2:17" s="109" customFormat="1" ht="23.1" customHeight="1" x14ac:dyDescent="0.25">
      <c r="B81" s="79" t="s">
        <v>146</v>
      </c>
      <c r="C81" s="137" t="s">
        <v>461</v>
      </c>
      <c r="D81" s="97">
        <v>58237.225530003343</v>
      </c>
      <c r="E81" s="97">
        <f t="shared" si="2"/>
        <v>61244.321726788672</v>
      </c>
      <c r="F81" s="97">
        <v>58237.225530003343</v>
      </c>
      <c r="G81" s="97">
        <f t="shared" si="3"/>
        <v>61244.321726788672</v>
      </c>
      <c r="H81" s="137" t="s">
        <v>345</v>
      </c>
      <c r="I81" s="137" t="s">
        <v>286</v>
      </c>
      <c r="J81" s="137" t="s">
        <v>283</v>
      </c>
      <c r="K81" s="137" t="s">
        <v>289</v>
      </c>
      <c r="L81" s="137" t="s">
        <v>291</v>
      </c>
      <c r="M81" s="137" t="s">
        <v>295</v>
      </c>
      <c r="N81" s="81">
        <v>31181</v>
      </c>
      <c r="O81" s="137" t="s">
        <v>341</v>
      </c>
      <c r="P81" s="137" t="s">
        <v>340</v>
      </c>
      <c r="Q81" s="137"/>
    </row>
    <row r="82" spans="2:17" s="109" customFormat="1" ht="23.1" customHeight="1" x14ac:dyDescent="0.25">
      <c r="B82" s="79" t="s">
        <v>146</v>
      </c>
      <c r="C82" s="137" t="s">
        <v>462</v>
      </c>
      <c r="D82" s="97">
        <v>1071.0645588117115</v>
      </c>
      <c r="E82" s="97">
        <f t="shared" si="2"/>
        <v>1126.3692909998019</v>
      </c>
      <c r="F82" s="97">
        <v>1071.0645588117115</v>
      </c>
      <c r="G82" s="97">
        <f t="shared" si="3"/>
        <v>1126.3692909998019</v>
      </c>
      <c r="H82" s="137" t="s">
        <v>345</v>
      </c>
      <c r="I82" s="137" t="s">
        <v>286</v>
      </c>
      <c r="J82" s="137" t="s">
        <v>283</v>
      </c>
      <c r="K82" s="137" t="s">
        <v>289</v>
      </c>
      <c r="L82" s="137" t="s">
        <v>293</v>
      </c>
      <c r="M82" s="137" t="s">
        <v>513</v>
      </c>
      <c r="N82" s="137">
        <v>15160</v>
      </c>
      <c r="O82" s="137" t="s">
        <v>341</v>
      </c>
      <c r="P82" s="137" t="s">
        <v>340</v>
      </c>
      <c r="Q82" s="137"/>
    </row>
    <row r="83" spans="2:17" s="109" customFormat="1" ht="23.1" customHeight="1" x14ac:dyDescent="0.25">
      <c r="B83" s="79" t="s">
        <v>409</v>
      </c>
      <c r="C83" s="137" t="s">
        <v>463</v>
      </c>
      <c r="D83" s="97">
        <v>63237.792000000009</v>
      </c>
      <c r="E83" s="97">
        <f t="shared" si="2"/>
        <v>66503.093911031669</v>
      </c>
      <c r="F83" s="97">
        <v>63237.792000000009</v>
      </c>
      <c r="G83" s="97">
        <f t="shared" si="3"/>
        <v>66503.093911031669</v>
      </c>
      <c r="H83" s="137" t="s">
        <v>345</v>
      </c>
      <c r="I83" s="137" t="s">
        <v>286</v>
      </c>
      <c r="J83" s="137" t="s">
        <v>283</v>
      </c>
      <c r="K83" s="137" t="s">
        <v>289</v>
      </c>
      <c r="L83" s="137" t="s">
        <v>292</v>
      </c>
      <c r="M83" s="137" t="s">
        <v>295</v>
      </c>
      <c r="N83" s="137">
        <v>31120</v>
      </c>
      <c r="O83" s="137" t="s">
        <v>340</v>
      </c>
      <c r="P83" s="137" t="s">
        <v>340</v>
      </c>
      <c r="Q83" s="137"/>
    </row>
    <row r="84" spans="2:17" s="109" customFormat="1" ht="23.1" customHeight="1" x14ac:dyDescent="0.25">
      <c r="B84" s="79" t="s">
        <v>142</v>
      </c>
      <c r="C84" s="137" t="s">
        <v>464</v>
      </c>
      <c r="D84" s="97">
        <v>12071.718278925415</v>
      </c>
      <c r="E84" s="97">
        <f t="shared" si="2"/>
        <v>12695.044987827758</v>
      </c>
      <c r="F84" s="97">
        <v>12071.718278925415</v>
      </c>
      <c r="G84" s="97">
        <f t="shared" si="3"/>
        <v>12695.044987827758</v>
      </c>
      <c r="H84" s="137" t="s">
        <v>345</v>
      </c>
      <c r="I84" s="137" t="s">
        <v>286</v>
      </c>
      <c r="J84" s="137" t="s">
        <v>283</v>
      </c>
      <c r="K84" s="137" t="s">
        <v>289</v>
      </c>
      <c r="L84" s="137" t="s">
        <v>291</v>
      </c>
      <c r="M84" s="137" t="s">
        <v>524</v>
      </c>
      <c r="N84" s="81">
        <v>12230</v>
      </c>
      <c r="O84" s="137" t="s">
        <v>341</v>
      </c>
      <c r="P84" s="137" t="s">
        <v>340</v>
      </c>
      <c r="Q84" s="137"/>
    </row>
    <row r="85" spans="2:17" s="109" customFormat="1" ht="23.1" customHeight="1" x14ac:dyDescent="0.25">
      <c r="B85" s="79" t="s">
        <v>142</v>
      </c>
      <c r="C85" s="137" t="s">
        <v>218</v>
      </c>
      <c r="D85" s="97">
        <v>45071.964949436981</v>
      </c>
      <c r="E85" s="97">
        <f t="shared" si="2"/>
        <v>47399.269060297593</v>
      </c>
      <c r="F85" s="97">
        <v>45071.964949436981</v>
      </c>
      <c r="G85" s="97">
        <f t="shared" si="3"/>
        <v>47399.269060297593</v>
      </c>
      <c r="H85" s="137" t="s">
        <v>345</v>
      </c>
      <c r="I85" s="137" t="s">
        <v>286</v>
      </c>
      <c r="J85" s="137" t="s">
        <v>283</v>
      </c>
      <c r="K85" s="137" t="s">
        <v>289</v>
      </c>
      <c r="L85" s="137" t="s">
        <v>292</v>
      </c>
      <c r="M85" s="137" t="s">
        <v>295</v>
      </c>
      <c r="N85" s="81">
        <v>31120</v>
      </c>
      <c r="O85" s="137" t="s">
        <v>341</v>
      </c>
      <c r="P85" s="137" t="s">
        <v>340</v>
      </c>
      <c r="Q85" s="137"/>
    </row>
    <row r="86" spans="2:17" s="109" customFormat="1" ht="23.1" customHeight="1" x14ac:dyDescent="0.25">
      <c r="B86" s="79" t="s">
        <v>147</v>
      </c>
      <c r="C86" s="137" t="s">
        <v>466</v>
      </c>
      <c r="D86" s="97">
        <v>35990.671156741984</v>
      </c>
      <c r="E86" s="97">
        <f t="shared" si="2"/>
        <v>37849.060002883569</v>
      </c>
      <c r="F86" s="97">
        <v>35990.671156741984</v>
      </c>
      <c r="G86" s="97">
        <f t="shared" si="3"/>
        <v>37849.060002883569</v>
      </c>
      <c r="H86" s="137" t="s">
        <v>345</v>
      </c>
      <c r="I86" s="137" t="s">
        <v>286</v>
      </c>
      <c r="J86" s="137" t="s">
        <v>283</v>
      </c>
      <c r="K86" s="137" t="s">
        <v>289</v>
      </c>
      <c r="L86" s="137" t="s">
        <v>291</v>
      </c>
      <c r="M86" s="137" t="s">
        <v>295</v>
      </c>
      <c r="N86" s="137">
        <v>31166</v>
      </c>
      <c r="O86" s="137" t="s">
        <v>341</v>
      </c>
      <c r="P86" s="137" t="s">
        <v>340</v>
      </c>
      <c r="Q86" s="137"/>
    </row>
    <row r="87" spans="2:17" s="109" customFormat="1" ht="23.1" customHeight="1" x14ac:dyDescent="0.25">
      <c r="B87" s="79" t="s">
        <v>144</v>
      </c>
      <c r="C87" s="137" t="s">
        <v>430</v>
      </c>
      <c r="D87" s="97">
        <v>249920.24524829455</v>
      </c>
      <c r="E87" s="97">
        <f t="shared" si="2"/>
        <v>262824.95030843891</v>
      </c>
      <c r="F87" s="97">
        <v>249920.24524829455</v>
      </c>
      <c r="G87" s="97">
        <f t="shared" si="3"/>
        <v>262824.95030843891</v>
      </c>
      <c r="H87" s="137" t="s">
        <v>345</v>
      </c>
      <c r="I87" s="137" t="s">
        <v>285</v>
      </c>
      <c r="J87" s="137" t="s">
        <v>283</v>
      </c>
      <c r="K87" s="137" t="s">
        <v>289</v>
      </c>
      <c r="L87" s="137" t="s">
        <v>291</v>
      </c>
      <c r="M87" s="137" t="s">
        <v>524</v>
      </c>
      <c r="N87" s="81">
        <v>12240</v>
      </c>
      <c r="O87" s="137" t="s">
        <v>340</v>
      </c>
      <c r="P87" s="137" t="s">
        <v>340</v>
      </c>
      <c r="Q87" s="137"/>
    </row>
    <row r="88" spans="2:17" s="109" customFormat="1" ht="23.1" customHeight="1" x14ac:dyDescent="0.25">
      <c r="B88" s="79" t="s">
        <v>144</v>
      </c>
      <c r="C88" s="137" t="s">
        <v>467</v>
      </c>
      <c r="D88" s="97">
        <v>24144.813287490433</v>
      </c>
      <c r="E88" s="97">
        <f t="shared" si="2"/>
        <v>25391.537793133277</v>
      </c>
      <c r="F88" s="97">
        <v>24144.813287490433</v>
      </c>
      <c r="G88" s="97">
        <f t="shared" si="3"/>
        <v>25391.537793133277</v>
      </c>
      <c r="H88" s="137" t="s">
        <v>345</v>
      </c>
      <c r="I88" s="137" t="s">
        <v>286</v>
      </c>
      <c r="J88" s="137" t="s">
        <v>283</v>
      </c>
      <c r="K88" s="137" t="s">
        <v>289</v>
      </c>
      <c r="L88" s="137" t="s">
        <v>291</v>
      </c>
      <c r="M88" s="137" t="s">
        <v>295</v>
      </c>
      <c r="N88" s="81">
        <v>31194</v>
      </c>
      <c r="O88" s="137" t="s">
        <v>341</v>
      </c>
      <c r="P88" s="137" t="s">
        <v>340</v>
      </c>
      <c r="Q88" s="137"/>
    </row>
    <row r="89" spans="2:17" s="109" customFormat="1" ht="23.1" customHeight="1" x14ac:dyDescent="0.25">
      <c r="B89" s="79" t="s">
        <v>144</v>
      </c>
      <c r="C89" s="137" t="s">
        <v>468</v>
      </c>
      <c r="D89" s="97">
        <v>133773.96071375656</v>
      </c>
      <c r="E89" s="97">
        <f t="shared" si="2"/>
        <v>140681.41835498641</v>
      </c>
      <c r="F89" s="97">
        <v>133773.96071375656</v>
      </c>
      <c r="G89" s="97">
        <f t="shared" si="3"/>
        <v>140681.41835498641</v>
      </c>
      <c r="H89" s="137" t="s">
        <v>345</v>
      </c>
      <c r="I89" s="137" t="s">
        <v>286</v>
      </c>
      <c r="J89" s="137" t="s">
        <v>283</v>
      </c>
      <c r="K89" s="137" t="s">
        <v>289</v>
      </c>
      <c r="L89" s="137" t="s">
        <v>292</v>
      </c>
      <c r="M89" s="137" t="s">
        <v>295</v>
      </c>
      <c r="N89" s="137">
        <v>31161</v>
      </c>
      <c r="O89" s="137" t="s">
        <v>341</v>
      </c>
      <c r="P89" s="137" t="s">
        <v>340</v>
      </c>
      <c r="Q89" s="137"/>
    </row>
    <row r="90" spans="2:17" s="109" customFormat="1" ht="23.1" customHeight="1" x14ac:dyDescent="0.25">
      <c r="B90" s="79" t="s">
        <v>127</v>
      </c>
      <c r="C90" s="137" t="s">
        <v>469</v>
      </c>
      <c r="D90" s="97">
        <v>2631.9728337876663</v>
      </c>
      <c r="E90" s="97">
        <f t="shared" si="2"/>
        <v>2767.8755219136256</v>
      </c>
      <c r="F90" s="97">
        <v>2631.9728337876663</v>
      </c>
      <c r="G90" s="97">
        <f t="shared" si="3"/>
        <v>2767.8755219136256</v>
      </c>
      <c r="H90" s="137" t="s">
        <v>345</v>
      </c>
      <c r="I90" s="137" t="s">
        <v>286</v>
      </c>
      <c r="J90" s="137" t="s">
        <v>283</v>
      </c>
      <c r="K90" s="137" t="s">
        <v>289</v>
      </c>
      <c r="L90" s="137" t="s">
        <v>291</v>
      </c>
      <c r="M90" s="137" t="s">
        <v>512</v>
      </c>
      <c r="N90" s="137">
        <v>14031</v>
      </c>
      <c r="O90" s="137" t="s">
        <v>341</v>
      </c>
      <c r="P90" s="137" t="s">
        <v>341</v>
      </c>
      <c r="Q90" s="137"/>
    </row>
    <row r="91" spans="2:17" s="109" customFormat="1" ht="23.1" customHeight="1" x14ac:dyDescent="0.25">
      <c r="B91" s="79" t="s">
        <v>127</v>
      </c>
      <c r="C91" s="137" t="s">
        <v>470</v>
      </c>
      <c r="D91" s="97">
        <v>28906.536800494261</v>
      </c>
      <c r="E91" s="97">
        <f t="shared" si="2"/>
        <v>30399.134294346684</v>
      </c>
      <c r="F91" s="97">
        <v>28906.536800494261</v>
      </c>
      <c r="G91" s="97">
        <f t="shared" si="3"/>
        <v>30399.134294346684</v>
      </c>
      <c r="H91" s="137" t="s">
        <v>345</v>
      </c>
      <c r="I91" s="137" t="s">
        <v>286</v>
      </c>
      <c r="J91" s="137" t="s">
        <v>283</v>
      </c>
      <c r="K91" s="137" t="s">
        <v>289</v>
      </c>
      <c r="L91" s="137" t="s">
        <v>291</v>
      </c>
      <c r="M91" s="137" t="s">
        <v>391</v>
      </c>
      <c r="N91" s="137">
        <v>16040</v>
      </c>
      <c r="O91" s="137" t="s">
        <v>341</v>
      </c>
      <c r="P91" s="137" t="s">
        <v>341</v>
      </c>
      <c r="Q91" s="137"/>
    </row>
    <row r="92" spans="2:17" s="109" customFormat="1" ht="23.1" customHeight="1" x14ac:dyDescent="0.25">
      <c r="B92" s="79" t="s">
        <v>127</v>
      </c>
      <c r="C92" s="137" t="s">
        <v>471</v>
      </c>
      <c r="D92" s="97">
        <v>29317.341035172183</v>
      </c>
      <c r="E92" s="97">
        <f t="shared" si="2"/>
        <v>30831.150525998721</v>
      </c>
      <c r="F92" s="97">
        <v>29317.341035172183</v>
      </c>
      <c r="G92" s="97">
        <f t="shared" si="3"/>
        <v>30831.150525998721</v>
      </c>
      <c r="H92" s="137" t="s">
        <v>345</v>
      </c>
      <c r="I92" s="137" t="s">
        <v>286</v>
      </c>
      <c r="J92" s="137" t="s">
        <v>283</v>
      </c>
      <c r="K92" s="137" t="s">
        <v>289</v>
      </c>
      <c r="L92" s="137" t="s">
        <v>291</v>
      </c>
      <c r="M92" s="137" t="s">
        <v>507</v>
      </c>
      <c r="N92" s="81">
        <v>43040</v>
      </c>
      <c r="O92" s="137" t="s">
        <v>341</v>
      </c>
      <c r="P92" s="137" t="s">
        <v>340</v>
      </c>
      <c r="Q92" s="137"/>
    </row>
    <row r="93" spans="2:17" s="109" customFormat="1" ht="23.1" customHeight="1" x14ac:dyDescent="0.25">
      <c r="B93" s="79" t="s">
        <v>134</v>
      </c>
      <c r="C93" s="137" t="s">
        <v>448</v>
      </c>
      <c r="D93" s="97">
        <v>1549.7029281451491</v>
      </c>
      <c r="E93" s="97">
        <f t="shared" si="2"/>
        <v>1629.7222927175826</v>
      </c>
      <c r="F93" s="97">
        <v>1549.7029281451491</v>
      </c>
      <c r="G93" s="97">
        <f t="shared" si="3"/>
        <v>1629.7222927175826</v>
      </c>
      <c r="H93" s="137" t="s">
        <v>345</v>
      </c>
      <c r="I93" s="137" t="s">
        <v>286</v>
      </c>
      <c r="J93" s="137" t="s">
        <v>283</v>
      </c>
      <c r="K93" s="137" t="s">
        <v>289</v>
      </c>
      <c r="L93" s="137" t="s">
        <v>291</v>
      </c>
      <c r="M93" s="137" t="s">
        <v>510</v>
      </c>
      <c r="N93" s="137">
        <v>11230</v>
      </c>
      <c r="O93" s="137" t="s">
        <v>341</v>
      </c>
      <c r="P93" s="137" t="s">
        <v>340</v>
      </c>
      <c r="Q93" s="137"/>
    </row>
    <row r="94" spans="2:17" s="109" customFormat="1" ht="23.1" customHeight="1" x14ac:dyDescent="0.25">
      <c r="B94" s="79" t="s">
        <v>134</v>
      </c>
      <c r="C94" s="137" t="s">
        <v>444</v>
      </c>
      <c r="D94" s="97">
        <v>449.81856470153645</v>
      </c>
      <c r="E94" s="97">
        <f t="shared" si="2"/>
        <v>473.04507803295451</v>
      </c>
      <c r="F94" s="97">
        <v>449.81856470153645</v>
      </c>
      <c r="G94" s="97">
        <f t="shared" si="3"/>
        <v>473.04507803295451</v>
      </c>
      <c r="H94" s="137" t="s">
        <v>345</v>
      </c>
      <c r="I94" s="137" t="s">
        <v>286</v>
      </c>
      <c r="J94" s="137" t="s">
        <v>283</v>
      </c>
      <c r="K94" s="137" t="s">
        <v>289</v>
      </c>
      <c r="L94" s="137" t="s">
        <v>291</v>
      </c>
      <c r="M94" s="137" t="s">
        <v>295</v>
      </c>
      <c r="N94" s="137">
        <v>31120</v>
      </c>
      <c r="O94" s="137" t="s">
        <v>341</v>
      </c>
      <c r="P94" s="137" t="s">
        <v>340</v>
      </c>
      <c r="Q94" s="137"/>
    </row>
    <row r="95" spans="2:17" s="109" customFormat="1" ht="23.1" customHeight="1" x14ac:dyDescent="0.25">
      <c r="B95" s="79" t="s">
        <v>134</v>
      </c>
      <c r="C95" s="137" t="s">
        <v>473</v>
      </c>
      <c r="D95" s="97">
        <v>94.691509838504714</v>
      </c>
      <c r="E95" s="97">
        <f t="shared" si="2"/>
        <v>99.58093368230594</v>
      </c>
      <c r="F95" s="97">
        <v>94.691509838504714</v>
      </c>
      <c r="G95" s="97">
        <f t="shared" si="3"/>
        <v>99.58093368230594</v>
      </c>
      <c r="H95" s="137" t="s">
        <v>345</v>
      </c>
      <c r="I95" s="137" t="s">
        <v>286</v>
      </c>
      <c r="J95" s="137" t="s">
        <v>283</v>
      </c>
      <c r="K95" s="137" t="s">
        <v>289</v>
      </c>
      <c r="L95" s="137" t="s">
        <v>291</v>
      </c>
      <c r="M95" s="137" t="s">
        <v>507</v>
      </c>
      <c r="N95" s="81">
        <v>43040</v>
      </c>
      <c r="O95" s="137" t="s">
        <v>341</v>
      </c>
      <c r="P95" s="137" t="s">
        <v>340</v>
      </c>
      <c r="Q95" s="137"/>
    </row>
    <row r="96" spans="2:17" s="109" customFormat="1" ht="23.1" customHeight="1" x14ac:dyDescent="0.25">
      <c r="B96" s="79" t="s">
        <v>134</v>
      </c>
      <c r="C96" s="137" t="s">
        <v>447</v>
      </c>
      <c r="D96" s="97">
        <v>449.81856470153645</v>
      </c>
      <c r="E96" s="97">
        <f t="shared" si="2"/>
        <v>473.04507803295451</v>
      </c>
      <c r="F96" s="97">
        <v>449.81856470153645</v>
      </c>
      <c r="G96" s="97">
        <f t="shared" si="3"/>
        <v>473.04507803295451</v>
      </c>
      <c r="H96" s="137" t="s">
        <v>345</v>
      </c>
      <c r="I96" s="137" t="s">
        <v>286</v>
      </c>
      <c r="J96" s="137" t="s">
        <v>283</v>
      </c>
      <c r="K96" s="137" t="s">
        <v>289</v>
      </c>
      <c r="L96" s="137" t="s">
        <v>291</v>
      </c>
      <c r="M96" s="137" t="s">
        <v>507</v>
      </c>
      <c r="N96" s="81">
        <v>43072</v>
      </c>
      <c r="O96" s="137" t="s">
        <v>341</v>
      </c>
      <c r="P96" s="137" t="s">
        <v>340</v>
      </c>
      <c r="Q96" s="137"/>
    </row>
    <row r="97" spans="2:20" s="109" customFormat="1" ht="23.1" customHeight="1" x14ac:dyDescent="0.25">
      <c r="B97" s="79" t="s">
        <v>118</v>
      </c>
      <c r="C97" s="137" t="s">
        <v>609</v>
      </c>
      <c r="D97" s="97">
        <v>193059.55585314252</v>
      </c>
      <c r="E97" s="97">
        <f t="shared" si="2"/>
        <v>203028.24256298511</v>
      </c>
      <c r="F97" s="97">
        <v>193059.55585314252</v>
      </c>
      <c r="G97" s="97">
        <f t="shared" si="3"/>
        <v>203028.24256298511</v>
      </c>
      <c r="H97" s="137" t="s">
        <v>345</v>
      </c>
      <c r="I97" s="137" t="s">
        <v>285</v>
      </c>
      <c r="J97" s="137" t="s">
        <v>283</v>
      </c>
      <c r="K97" s="137" t="s">
        <v>289</v>
      </c>
      <c r="L97" s="137" t="s">
        <v>291</v>
      </c>
      <c r="M97" s="137" t="s">
        <v>295</v>
      </c>
      <c r="N97" s="137">
        <v>31120</v>
      </c>
      <c r="O97" s="137" t="s">
        <v>341</v>
      </c>
      <c r="P97" s="137" t="s">
        <v>340</v>
      </c>
      <c r="Q97" s="137"/>
    </row>
    <row r="98" spans="2:20" s="109" customFormat="1" ht="23.1" customHeight="1" x14ac:dyDescent="0.25">
      <c r="B98" s="79" t="s">
        <v>118</v>
      </c>
      <c r="C98" s="137" t="s">
        <v>430</v>
      </c>
      <c r="D98" s="97">
        <v>1325660.7770751456</v>
      </c>
      <c r="E98" s="97">
        <f t="shared" si="2"/>
        <v>1394111.6595595181</v>
      </c>
      <c r="F98" s="97">
        <v>1325660.7770751456</v>
      </c>
      <c r="G98" s="97">
        <f t="shared" si="3"/>
        <v>1394111.6595595181</v>
      </c>
      <c r="H98" s="137" t="s">
        <v>345</v>
      </c>
      <c r="I98" s="137" t="s">
        <v>285</v>
      </c>
      <c r="J98" s="137" t="s">
        <v>283</v>
      </c>
      <c r="K98" s="137" t="s">
        <v>289</v>
      </c>
      <c r="L98" s="137" t="s">
        <v>291</v>
      </c>
      <c r="M98" s="137" t="s">
        <v>511</v>
      </c>
      <c r="N98" s="137">
        <v>52010</v>
      </c>
      <c r="O98" s="137" t="s">
        <v>340</v>
      </c>
      <c r="P98" s="137" t="s">
        <v>340</v>
      </c>
      <c r="Q98" s="137"/>
    </row>
    <row r="99" spans="2:20" s="109" customFormat="1" ht="23.1" customHeight="1" x14ac:dyDescent="0.25">
      <c r="B99" s="79" t="s">
        <v>118</v>
      </c>
      <c r="C99" s="137" t="s">
        <v>474</v>
      </c>
      <c r="D99" s="97">
        <v>66866.856286915994</v>
      </c>
      <c r="E99" s="97">
        <f t="shared" si="2"/>
        <v>70319.545995284469</v>
      </c>
      <c r="F99" s="97">
        <v>66866.856286915994</v>
      </c>
      <c r="G99" s="97">
        <f t="shared" si="3"/>
        <v>70319.545995284469</v>
      </c>
      <c r="H99" s="137" t="s">
        <v>345</v>
      </c>
      <c r="I99" s="137" t="s">
        <v>286</v>
      </c>
      <c r="J99" s="137" t="s">
        <v>283</v>
      </c>
      <c r="K99" s="137" t="s">
        <v>289</v>
      </c>
      <c r="L99" s="137" t="s">
        <v>291</v>
      </c>
      <c r="M99" s="137" t="s">
        <v>507</v>
      </c>
      <c r="N99" s="81">
        <v>43040</v>
      </c>
      <c r="O99" s="137" t="s">
        <v>341</v>
      </c>
      <c r="P99" s="137" t="s">
        <v>340</v>
      </c>
      <c r="Q99" s="137"/>
    </row>
    <row r="100" spans="2:20" s="109" customFormat="1" ht="23.1" customHeight="1" x14ac:dyDescent="0.25">
      <c r="B100" s="79" t="s">
        <v>118</v>
      </c>
      <c r="C100" s="137" t="s">
        <v>593</v>
      </c>
      <c r="D100" s="97">
        <v>722775.88553484494</v>
      </c>
      <c r="E100" s="97">
        <f t="shared" si="2"/>
        <v>760096.63007134816</v>
      </c>
      <c r="F100" s="97">
        <v>722775.88553484494</v>
      </c>
      <c r="G100" s="97">
        <f t="shared" si="3"/>
        <v>760096.63007134816</v>
      </c>
      <c r="H100" s="137" t="s">
        <v>345</v>
      </c>
      <c r="I100" s="137" t="s">
        <v>285</v>
      </c>
      <c r="J100" s="137" t="s">
        <v>283</v>
      </c>
      <c r="K100" s="137" t="s">
        <v>289</v>
      </c>
      <c r="L100" s="137" t="s">
        <v>292</v>
      </c>
      <c r="M100" s="137" t="s">
        <v>295</v>
      </c>
      <c r="N100" s="137">
        <v>31163</v>
      </c>
      <c r="O100" s="137" t="s">
        <v>341</v>
      </c>
      <c r="P100" s="137" t="s">
        <v>341</v>
      </c>
      <c r="Q100" s="137"/>
    </row>
    <row r="101" spans="2:20" s="109" customFormat="1" ht="23.1" customHeight="1" x14ac:dyDescent="0.25">
      <c r="B101" s="79" t="s">
        <v>118</v>
      </c>
      <c r="C101" s="137" t="s">
        <v>476</v>
      </c>
      <c r="D101" s="97">
        <v>662000</v>
      </c>
      <c r="E101" s="97">
        <f t="shared" si="2"/>
        <v>696182.56388684409</v>
      </c>
      <c r="F101" s="97">
        <v>662000</v>
      </c>
      <c r="G101" s="97">
        <f t="shared" si="3"/>
        <v>696182.56388684409</v>
      </c>
      <c r="H101" s="137" t="s">
        <v>345</v>
      </c>
      <c r="I101" s="137" t="s">
        <v>285</v>
      </c>
      <c r="J101" s="137" t="s">
        <v>283</v>
      </c>
      <c r="K101" s="137" t="s">
        <v>289</v>
      </c>
      <c r="L101" s="137" t="s">
        <v>292</v>
      </c>
      <c r="M101" s="137" t="s">
        <v>507</v>
      </c>
      <c r="N101" s="137">
        <v>43010</v>
      </c>
      <c r="O101" s="137" t="s">
        <v>340</v>
      </c>
      <c r="P101" s="137" t="s">
        <v>340</v>
      </c>
      <c r="Q101" s="137"/>
    </row>
    <row r="102" spans="2:20" s="109" customFormat="1" ht="23.1" customHeight="1" x14ac:dyDescent="0.25">
      <c r="B102" s="79" t="s">
        <v>118</v>
      </c>
      <c r="C102" s="137" t="s">
        <v>477</v>
      </c>
      <c r="D102" s="97">
        <v>697999.66</v>
      </c>
      <c r="E102" s="97">
        <f t="shared" si="2"/>
        <v>734041.07687453995</v>
      </c>
      <c r="F102" s="97">
        <v>697999.66</v>
      </c>
      <c r="G102" s="97">
        <f t="shared" si="3"/>
        <v>734041.07687453995</v>
      </c>
      <c r="H102" s="137" t="s">
        <v>345</v>
      </c>
      <c r="I102" s="137" t="s">
        <v>285</v>
      </c>
      <c r="J102" s="137" t="s">
        <v>283</v>
      </c>
      <c r="K102" s="137" t="s">
        <v>289</v>
      </c>
      <c r="L102" s="137" t="s">
        <v>292</v>
      </c>
      <c r="M102" s="137" t="s">
        <v>507</v>
      </c>
      <c r="N102" s="81">
        <v>43010</v>
      </c>
      <c r="O102" s="137" t="s">
        <v>340</v>
      </c>
      <c r="P102" s="137" t="s">
        <v>340</v>
      </c>
      <c r="Q102" s="137"/>
    </row>
    <row r="103" spans="2:20" s="109" customFormat="1" ht="23.1" customHeight="1" x14ac:dyDescent="0.25">
      <c r="B103" s="79" t="s">
        <v>118</v>
      </c>
      <c r="C103" s="137" t="s">
        <v>478</v>
      </c>
      <c r="D103" s="97">
        <v>33311.665585734612</v>
      </c>
      <c r="E103" s="97">
        <f t="shared" si="2"/>
        <v>35031.723194588929</v>
      </c>
      <c r="F103" s="97">
        <v>33311.665585734612</v>
      </c>
      <c r="G103" s="97">
        <f t="shared" si="3"/>
        <v>35031.723194588929</v>
      </c>
      <c r="H103" s="137" t="s">
        <v>345</v>
      </c>
      <c r="I103" s="137" t="s">
        <v>286</v>
      </c>
      <c r="J103" s="137" t="s">
        <v>283</v>
      </c>
      <c r="K103" s="137" t="s">
        <v>289</v>
      </c>
      <c r="L103" s="137" t="s">
        <v>292</v>
      </c>
      <c r="M103" s="137" t="s">
        <v>295</v>
      </c>
      <c r="N103" s="81">
        <v>31193</v>
      </c>
      <c r="O103" s="137" t="s">
        <v>341</v>
      </c>
      <c r="P103" s="137" t="s">
        <v>340</v>
      </c>
      <c r="Q103" s="137"/>
    </row>
    <row r="104" spans="2:20" s="109" customFormat="1" ht="23.1" customHeight="1" x14ac:dyDescent="0.25">
      <c r="B104" s="79" t="s">
        <v>118</v>
      </c>
      <c r="C104" s="137" t="s">
        <v>479</v>
      </c>
      <c r="D104" s="97">
        <v>16578.685067469414</v>
      </c>
      <c r="E104" s="97">
        <f t="shared" si="2"/>
        <v>17434.730326500594</v>
      </c>
      <c r="F104" s="97">
        <v>16578.685067469414</v>
      </c>
      <c r="G104" s="97">
        <f t="shared" si="3"/>
        <v>17434.730326500594</v>
      </c>
      <c r="H104" s="137" t="s">
        <v>345</v>
      </c>
      <c r="I104" s="137" t="s">
        <v>286</v>
      </c>
      <c r="J104" s="137" t="s">
        <v>283</v>
      </c>
      <c r="K104" s="137" t="s">
        <v>289</v>
      </c>
      <c r="L104" s="137" t="s">
        <v>292</v>
      </c>
      <c r="M104" s="137" t="s">
        <v>507</v>
      </c>
      <c r="N104" s="137">
        <v>43030</v>
      </c>
      <c r="O104" s="137" t="s">
        <v>341</v>
      </c>
      <c r="P104" s="137" t="s">
        <v>340</v>
      </c>
      <c r="Q104" s="137"/>
    </row>
    <row r="105" spans="2:20" s="109" customFormat="1" ht="23.1" customHeight="1" x14ac:dyDescent="0.25">
      <c r="B105" s="79" t="s">
        <v>118</v>
      </c>
      <c r="C105" s="137" t="s">
        <v>480</v>
      </c>
      <c r="D105" s="97">
        <v>42402.706967355087</v>
      </c>
      <c r="E105" s="97">
        <f t="shared" si="2"/>
        <v>44592.183160537475</v>
      </c>
      <c r="F105" s="97">
        <v>42402.706967355087</v>
      </c>
      <c r="G105" s="97">
        <f t="shared" si="3"/>
        <v>44592.183160537475</v>
      </c>
      <c r="H105" s="137" t="s">
        <v>345</v>
      </c>
      <c r="I105" s="137" t="s">
        <v>286</v>
      </c>
      <c r="J105" s="137" t="s">
        <v>283</v>
      </c>
      <c r="K105" s="137" t="s">
        <v>289</v>
      </c>
      <c r="L105" s="137" t="s">
        <v>292</v>
      </c>
      <c r="M105" s="137" t="s">
        <v>391</v>
      </c>
      <c r="N105" s="137">
        <v>16040</v>
      </c>
      <c r="O105" s="137" t="s">
        <v>341</v>
      </c>
      <c r="P105" s="137" t="s">
        <v>340</v>
      </c>
      <c r="Q105" s="137"/>
    </row>
    <row r="106" spans="2:20" s="109" customFormat="1" ht="23.1" customHeight="1" x14ac:dyDescent="0.25">
      <c r="B106" s="79" t="s">
        <v>119</v>
      </c>
      <c r="C106" s="137" t="s">
        <v>577</v>
      </c>
      <c r="D106" s="97">
        <v>65416.432374015407</v>
      </c>
      <c r="E106" s="97">
        <f t="shared" si="2"/>
        <v>68794.229018840473</v>
      </c>
      <c r="F106" s="97">
        <v>65416.432374015407</v>
      </c>
      <c r="G106" s="97">
        <f t="shared" si="3"/>
        <v>68794.229018840473</v>
      </c>
      <c r="H106" s="137" t="s">
        <v>345</v>
      </c>
      <c r="I106" s="137" t="s">
        <v>285</v>
      </c>
      <c r="J106" s="137" t="s">
        <v>283</v>
      </c>
      <c r="K106" s="137" t="s">
        <v>289</v>
      </c>
      <c r="L106" s="137" t="s">
        <v>291</v>
      </c>
      <c r="M106" s="137" t="s">
        <v>507</v>
      </c>
      <c r="N106" s="137">
        <v>43040</v>
      </c>
      <c r="O106" s="137" t="s">
        <v>341</v>
      </c>
      <c r="P106" s="137" t="s">
        <v>340</v>
      </c>
      <c r="Q106" s="137"/>
    </row>
    <row r="107" spans="2:20" s="109" customFormat="1" ht="23.1" customHeight="1" x14ac:dyDescent="0.25">
      <c r="B107" s="79" t="s">
        <v>119</v>
      </c>
      <c r="C107" s="137" t="s">
        <v>482</v>
      </c>
      <c r="D107" s="97">
        <v>15785.380157903579</v>
      </c>
      <c r="E107" s="97">
        <f t="shared" si="2"/>
        <v>16600.462885585846</v>
      </c>
      <c r="F107" s="97">
        <v>15785.380157903579</v>
      </c>
      <c r="G107" s="97">
        <f t="shared" si="3"/>
        <v>16600.462885585846</v>
      </c>
      <c r="H107" s="137" t="s">
        <v>345</v>
      </c>
      <c r="I107" s="137" t="s">
        <v>286</v>
      </c>
      <c r="J107" s="137" t="s">
        <v>283</v>
      </c>
      <c r="K107" s="137" t="s">
        <v>289</v>
      </c>
      <c r="L107" s="137" t="s">
        <v>292</v>
      </c>
      <c r="M107" s="137" t="s">
        <v>512</v>
      </c>
      <c r="N107" s="137">
        <v>14030</v>
      </c>
      <c r="O107" s="137" t="s">
        <v>341</v>
      </c>
      <c r="P107" s="137" t="s">
        <v>340</v>
      </c>
      <c r="Q107" s="137"/>
    </row>
    <row r="108" spans="2:20" s="109" customFormat="1" ht="23.1" customHeight="1" x14ac:dyDescent="0.25">
      <c r="B108" s="79" t="s">
        <v>119</v>
      </c>
      <c r="C108" s="137" t="s">
        <v>483</v>
      </c>
      <c r="D108" s="97">
        <v>51168.942460493345</v>
      </c>
      <c r="E108" s="97">
        <f t="shared" si="2"/>
        <v>53811.065790822744</v>
      </c>
      <c r="F108" s="97">
        <v>51168.942460493345</v>
      </c>
      <c r="G108" s="97">
        <f t="shared" si="3"/>
        <v>53811.065790822744</v>
      </c>
      <c r="H108" s="137" t="s">
        <v>345</v>
      </c>
      <c r="I108" s="137" t="s">
        <v>286</v>
      </c>
      <c r="J108" s="137" t="s">
        <v>283</v>
      </c>
      <c r="K108" s="137" t="s">
        <v>289</v>
      </c>
      <c r="L108" s="137" t="s">
        <v>292</v>
      </c>
      <c r="M108" s="137" t="s">
        <v>295</v>
      </c>
      <c r="N108" s="81">
        <v>31120</v>
      </c>
      <c r="O108" s="137" t="s">
        <v>341</v>
      </c>
      <c r="P108" s="137" t="s">
        <v>340</v>
      </c>
      <c r="Q108" s="137"/>
    </row>
    <row r="109" spans="2:20" s="109" customFormat="1" ht="23.1" customHeight="1" x14ac:dyDescent="0.25">
      <c r="B109" s="79" t="s">
        <v>124</v>
      </c>
      <c r="C109" s="137" t="s">
        <v>484</v>
      </c>
      <c r="D109" s="97">
        <v>8806.0107975608134</v>
      </c>
      <c r="E109" s="97">
        <f t="shared" si="2"/>
        <v>9260.7117442010876</v>
      </c>
      <c r="F109" s="97">
        <v>8806.0107975608134</v>
      </c>
      <c r="G109" s="97">
        <f t="shared" si="3"/>
        <v>9260.7117442010876</v>
      </c>
      <c r="H109" s="137" t="s">
        <v>345</v>
      </c>
      <c r="I109" s="137" t="s">
        <v>286</v>
      </c>
      <c r="J109" s="137" t="s">
        <v>283</v>
      </c>
      <c r="K109" s="137" t="s">
        <v>289</v>
      </c>
      <c r="L109" s="137" t="s">
        <v>291</v>
      </c>
      <c r="M109" s="137" t="s">
        <v>510</v>
      </c>
      <c r="N109" s="81">
        <v>11230</v>
      </c>
      <c r="O109" s="137" t="s">
        <v>341</v>
      </c>
      <c r="P109" s="137" t="s">
        <v>340</v>
      </c>
      <c r="Q109" s="137"/>
    </row>
    <row r="110" spans="2:20" s="109" customFormat="1" ht="23.1" customHeight="1" x14ac:dyDescent="0.25">
      <c r="B110" s="79" t="s">
        <v>124</v>
      </c>
      <c r="C110" s="137" t="s">
        <v>485</v>
      </c>
      <c r="D110" s="97">
        <v>20852.673157398924</v>
      </c>
      <c r="E110" s="97">
        <f t="shared" si="2"/>
        <v>21929.407043221079</v>
      </c>
      <c r="F110" s="97">
        <v>20852.673157398924</v>
      </c>
      <c r="G110" s="97">
        <f t="shared" si="3"/>
        <v>21929.407043221079</v>
      </c>
      <c r="H110" s="137" t="s">
        <v>345</v>
      </c>
      <c r="I110" s="137" t="s">
        <v>286</v>
      </c>
      <c r="J110" s="137" t="s">
        <v>283</v>
      </c>
      <c r="K110" s="137" t="s">
        <v>289</v>
      </c>
      <c r="L110" s="137" t="s">
        <v>291</v>
      </c>
      <c r="M110" s="137" t="s">
        <v>295</v>
      </c>
      <c r="N110" s="137">
        <v>31181</v>
      </c>
      <c r="O110" s="137" t="s">
        <v>341</v>
      </c>
      <c r="P110" s="137" t="s">
        <v>340</v>
      </c>
      <c r="Q110" s="137"/>
    </row>
    <row r="111" spans="2:20" s="109" customFormat="1" ht="23.1" customHeight="1" x14ac:dyDescent="0.25">
      <c r="B111" s="79" t="s">
        <v>124</v>
      </c>
      <c r="C111" s="137" t="s">
        <v>486</v>
      </c>
      <c r="D111" s="97">
        <v>10900.728905350343</v>
      </c>
      <c r="E111" s="97">
        <f t="shared" si="2"/>
        <v>11463.591234988267</v>
      </c>
      <c r="F111" s="97">
        <v>10900.728905350343</v>
      </c>
      <c r="G111" s="97">
        <f t="shared" si="3"/>
        <v>11463.591234988267</v>
      </c>
      <c r="H111" s="137" t="s">
        <v>345</v>
      </c>
      <c r="I111" s="137" t="s">
        <v>286</v>
      </c>
      <c r="J111" s="137" t="s">
        <v>283</v>
      </c>
      <c r="K111" s="137" t="s">
        <v>289</v>
      </c>
      <c r="L111" s="137" t="s">
        <v>291</v>
      </c>
      <c r="M111" s="137" t="s">
        <v>295</v>
      </c>
      <c r="N111" s="137">
        <v>31181</v>
      </c>
      <c r="O111" s="137" t="s">
        <v>341</v>
      </c>
      <c r="P111" s="137" t="s">
        <v>340</v>
      </c>
      <c r="Q111" s="137"/>
      <c r="S111" s="138"/>
      <c r="T111" s="138"/>
    </row>
    <row r="112" spans="2:20" s="109" customFormat="1" ht="23.1" customHeight="1" x14ac:dyDescent="0.25">
      <c r="B112" s="79" t="s">
        <v>124</v>
      </c>
      <c r="C112" s="137" t="s">
        <v>218</v>
      </c>
      <c r="D112" s="97">
        <v>39370.646853103099</v>
      </c>
      <c r="E112" s="97">
        <f t="shared" si="2"/>
        <v>41403.561734255025</v>
      </c>
      <c r="F112" s="97">
        <v>39370.646853103099</v>
      </c>
      <c r="G112" s="97">
        <f t="shared" si="3"/>
        <v>41403.561734255025</v>
      </c>
      <c r="H112" s="137" t="s">
        <v>345</v>
      </c>
      <c r="I112" s="137" t="s">
        <v>286</v>
      </c>
      <c r="J112" s="137" t="s">
        <v>283</v>
      </c>
      <c r="K112" s="137" t="s">
        <v>289</v>
      </c>
      <c r="L112" s="137" t="s">
        <v>292</v>
      </c>
      <c r="M112" s="137" t="s">
        <v>295</v>
      </c>
      <c r="N112" s="81">
        <v>31120</v>
      </c>
      <c r="O112" s="137" t="s">
        <v>341</v>
      </c>
      <c r="P112" s="137" t="s">
        <v>340</v>
      </c>
      <c r="Q112" s="137"/>
      <c r="S112" s="138"/>
      <c r="T112" s="138"/>
    </row>
    <row r="113" spans="2:20" s="109" customFormat="1" ht="23.1" customHeight="1" x14ac:dyDescent="0.25">
      <c r="B113" s="79" t="s">
        <v>121</v>
      </c>
      <c r="C113" s="137" t="s">
        <v>611</v>
      </c>
      <c r="D113" s="97">
        <v>93600.601053607752</v>
      </c>
      <c r="E113" s="97">
        <f t="shared" si="2"/>
        <v>98433.695502794988</v>
      </c>
      <c r="F113" s="97">
        <v>93600.601053607752</v>
      </c>
      <c r="G113" s="97">
        <f t="shared" si="3"/>
        <v>98433.695502794988</v>
      </c>
      <c r="H113" s="137" t="s">
        <v>345</v>
      </c>
      <c r="I113" s="137" t="s">
        <v>285</v>
      </c>
      <c r="J113" s="137" t="s">
        <v>283</v>
      </c>
      <c r="K113" s="137" t="s">
        <v>289</v>
      </c>
      <c r="L113" s="137" t="s">
        <v>291</v>
      </c>
      <c r="M113" s="137" t="s">
        <v>295</v>
      </c>
      <c r="N113" s="81">
        <v>31110</v>
      </c>
      <c r="O113" s="137" t="s">
        <v>341</v>
      </c>
      <c r="P113" s="137" t="s">
        <v>340</v>
      </c>
      <c r="Q113" s="137"/>
      <c r="S113" s="138"/>
      <c r="T113" s="138"/>
    </row>
    <row r="114" spans="2:20" s="109" customFormat="1" ht="23.1" customHeight="1" x14ac:dyDescent="0.25">
      <c r="B114" s="79" t="s">
        <v>121</v>
      </c>
      <c r="C114" s="137" t="s">
        <v>430</v>
      </c>
      <c r="D114" s="97">
        <v>1136319.0830628814</v>
      </c>
      <c r="E114" s="97">
        <f t="shared" si="2"/>
        <v>1194993.2517224539</v>
      </c>
      <c r="F114" s="97">
        <v>1136319.0830628814</v>
      </c>
      <c r="G114" s="97">
        <f t="shared" si="3"/>
        <v>1194993.2517224539</v>
      </c>
      <c r="H114" s="137" t="s">
        <v>345</v>
      </c>
      <c r="I114" s="137" t="s">
        <v>285</v>
      </c>
      <c r="J114" s="137" t="s">
        <v>283</v>
      </c>
      <c r="K114" s="137" t="s">
        <v>289</v>
      </c>
      <c r="L114" s="137" t="s">
        <v>291</v>
      </c>
      <c r="M114" s="137" t="s">
        <v>511</v>
      </c>
      <c r="N114" s="81">
        <v>52010</v>
      </c>
      <c r="O114" s="137" t="s">
        <v>340</v>
      </c>
      <c r="P114" s="137" t="s">
        <v>340</v>
      </c>
      <c r="Q114" s="137"/>
      <c r="S114" s="138"/>
      <c r="T114" s="138"/>
    </row>
    <row r="115" spans="2:20" s="109" customFormat="1" ht="23.1" customHeight="1" x14ac:dyDescent="0.25">
      <c r="B115" s="79" t="s">
        <v>121</v>
      </c>
      <c r="C115" s="137" t="s">
        <v>488</v>
      </c>
      <c r="D115" s="97">
        <v>5111.1987570189776</v>
      </c>
      <c r="E115" s="97">
        <f t="shared" si="2"/>
        <v>5375.1170018077382</v>
      </c>
      <c r="F115" s="97">
        <v>5111.1987570189776</v>
      </c>
      <c r="G115" s="97">
        <f t="shared" si="3"/>
        <v>5375.1170018077382</v>
      </c>
      <c r="H115" s="137" t="s">
        <v>345</v>
      </c>
      <c r="I115" s="137" t="s">
        <v>286</v>
      </c>
      <c r="J115" s="137" t="s">
        <v>283</v>
      </c>
      <c r="K115" s="137" t="s">
        <v>289</v>
      </c>
      <c r="L115" s="137" t="s">
        <v>291</v>
      </c>
      <c r="M115" s="137" t="s">
        <v>295</v>
      </c>
      <c r="N115" s="137">
        <v>31161</v>
      </c>
      <c r="O115" s="137" t="s">
        <v>341</v>
      </c>
      <c r="P115" s="137" t="s">
        <v>340</v>
      </c>
      <c r="Q115" s="137"/>
      <c r="S115" s="138"/>
      <c r="T115" s="138"/>
    </row>
    <row r="116" spans="2:20" s="109" customFormat="1" ht="23.1" customHeight="1" x14ac:dyDescent="0.25">
      <c r="B116" s="79" t="s">
        <v>121</v>
      </c>
      <c r="C116" s="137" t="s">
        <v>489</v>
      </c>
      <c r="D116" s="97">
        <v>69874.735814881569</v>
      </c>
      <c r="E116" s="97">
        <f t="shared" si="2"/>
        <v>73482.738263625593</v>
      </c>
      <c r="F116" s="97">
        <v>69874.735814881569</v>
      </c>
      <c r="G116" s="97">
        <f t="shared" si="3"/>
        <v>73482.738263625593</v>
      </c>
      <c r="H116" s="137" t="s">
        <v>345</v>
      </c>
      <c r="I116" s="137" t="s">
        <v>286</v>
      </c>
      <c r="J116" s="137" t="s">
        <v>283</v>
      </c>
      <c r="K116" s="137" t="s">
        <v>289</v>
      </c>
      <c r="L116" s="137" t="s">
        <v>291</v>
      </c>
      <c r="M116" s="137" t="s">
        <v>391</v>
      </c>
      <c r="N116" s="137">
        <v>16040</v>
      </c>
      <c r="O116" s="137" t="s">
        <v>341</v>
      </c>
      <c r="P116" s="137" t="s">
        <v>340</v>
      </c>
      <c r="Q116" s="137"/>
    </row>
    <row r="117" spans="2:20" s="109" customFormat="1" ht="23.1" customHeight="1" x14ac:dyDescent="0.25">
      <c r="B117" s="79" t="s">
        <v>121</v>
      </c>
      <c r="C117" s="137" t="s">
        <v>490</v>
      </c>
      <c r="D117" s="97">
        <v>175226.70770921605</v>
      </c>
      <c r="E117" s="97">
        <f t="shared" si="2"/>
        <v>184274.59008225476</v>
      </c>
      <c r="F117" s="97">
        <v>175226.70770921605</v>
      </c>
      <c r="G117" s="97">
        <f t="shared" si="3"/>
        <v>184274.59008225476</v>
      </c>
      <c r="H117" s="137" t="s">
        <v>345</v>
      </c>
      <c r="I117" s="137" t="s">
        <v>286</v>
      </c>
      <c r="J117" s="137" t="s">
        <v>283</v>
      </c>
      <c r="K117" s="137" t="s">
        <v>289</v>
      </c>
      <c r="L117" s="137" t="s">
        <v>291</v>
      </c>
      <c r="M117" s="137" t="s">
        <v>295</v>
      </c>
      <c r="N117" s="81">
        <v>31120</v>
      </c>
      <c r="O117" s="137" t="s">
        <v>341</v>
      </c>
      <c r="P117" s="137" t="s">
        <v>340</v>
      </c>
      <c r="Q117" s="137"/>
    </row>
    <row r="118" spans="2:20" s="109" customFormat="1" ht="23.1" customHeight="1" x14ac:dyDescent="0.25">
      <c r="B118" s="79" t="s">
        <v>121</v>
      </c>
      <c r="C118" s="137" t="s">
        <v>451</v>
      </c>
      <c r="D118" s="97">
        <v>28137.773802156971</v>
      </c>
      <c r="E118" s="97">
        <f t="shared" si="2"/>
        <v>29590.675993434612</v>
      </c>
      <c r="F118" s="97">
        <v>28137.773802156971</v>
      </c>
      <c r="G118" s="97">
        <f t="shared" si="3"/>
        <v>29590.675993434612</v>
      </c>
      <c r="H118" s="137" t="s">
        <v>345</v>
      </c>
      <c r="I118" s="137" t="s">
        <v>286</v>
      </c>
      <c r="J118" s="137" t="s">
        <v>283</v>
      </c>
      <c r="K118" s="137" t="s">
        <v>289</v>
      </c>
      <c r="L118" s="137" t="s">
        <v>291</v>
      </c>
      <c r="M118" s="137" t="s">
        <v>507</v>
      </c>
      <c r="N118" s="81">
        <v>43040</v>
      </c>
      <c r="O118" s="137" t="s">
        <v>341</v>
      </c>
      <c r="P118" s="137" t="s">
        <v>340</v>
      </c>
      <c r="Q118" s="137"/>
    </row>
    <row r="119" spans="2:20" s="109" customFormat="1" ht="23.1" customHeight="1" x14ac:dyDescent="0.25">
      <c r="B119" s="79" t="s">
        <v>121</v>
      </c>
      <c r="C119" s="133" t="s">
        <v>613</v>
      </c>
      <c r="D119" s="97">
        <v>3137027.7530929553</v>
      </c>
      <c r="E119" s="97">
        <f t="shared" si="2"/>
        <v>3299009.0998979444</v>
      </c>
      <c r="F119" s="97">
        <v>3137027.7530929553</v>
      </c>
      <c r="G119" s="97">
        <f t="shared" si="3"/>
        <v>3299009.0998979444</v>
      </c>
      <c r="H119" s="137" t="s">
        <v>345</v>
      </c>
      <c r="I119" s="137" t="s">
        <v>285</v>
      </c>
      <c r="J119" s="137" t="s">
        <v>283</v>
      </c>
      <c r="K119" s="137" t="s">
        <v>289</v>
      </c>
      <c r="L119" s="137" t="s">
        <v>292</v>
      </c>
      <c r="M119" s="137" t="s">
        <v>512</v>
      </c>
      <c r="N119" s="81">
        <v>14030</v>
      </c>
      <c r="O119" s="137" t="s">
        <v>341</v>
      </c>
      <c r="P119" s="137" t="s">
        <v>340</v>
      </c>
      <c r="Q119" s="137"/>
    </row>
    <row r="120" spans="2:20" s="109" customFormat="1" ht="23.1" customHeight="1" x14ac:dyDescent="0.25">
      <c r="B120" s="79" t="s">
        <v>121</v>
      </c>
      <c r="C120" s="137" t="s">
        <v>425</v>
      </c>
      <c r="D120" s="97">
        <v>8476.5046127488094</v>
      </c>
      <c r="E120" s="97">
        <f t="shared" si="2"/>
        <v>8914.1914110304024</v>
      </c>
      <c r="F120" s="97">
        <v>8476.5046127488094</v>
      </c>
      <c r="G120" s="97">
        <f t="shared" si="3"/>
        <v>8914.1914110304024</v>
      </c>
      <c r="H120" s="137" t="s">
        <v>345</v>
      </c>
      <c r="I120" s="137" t="s">
        <v>286</v>
      </c>
      <c r="J120" s="137" t="s">
        <v>283</v>
      </c>
      <c r="K120" s="137" t="s">
        <v>289</v>
      </c>
      <c r="L120" s="137" t="s">
        <v>292</v>
      </c>
      <c r="M120" s="137" t="s">
        <v>295</v>
      </c>
      <c r="N120" s="81">
        <v>31194</v>
      </c>
      <c r="O120" s="137" t="s">
        <v>341</v>
      </c>
      <c r="P120" s="137" t="s">
        <v>340</v>
      </c>
      <c r="Q120" s="137"/>
    </row>
    <row r="121" spans="2:20" s="109" customFormat="1" ht="23.1" customHeight="1" x14ac:dyDescent="0.25">
      <c r="B121" s="79" t="s">
        <v>121</v>
      </c>
      <c r="C121" s="137" t="s">
        <v>426</v>
      </c>
      <c r="D121" s="97">
        <v>5087.2584661079427</v>
      </c>
      <c r="E121" s="97">
        <f t="shared" si="2"/>
        <v>5349.9405469638687</v>
      </c>
      <c r="F121" s="97">
        <v>5087.2584661079427</v>
      </c>
      <c r="G121" s="97">
        <f t="shared" si="3"/>
        <v>5349.9405469638687</v>
      </c>
      <c r="H121" s="137" t="s">
        <v>345</v>
      </c>
      <c r="I121" s="137" t="s">
        <v>286</v>
      </c>
      <c r="J121" s="137" t="s">
        <v>283</v>
      </c>
      <c r="K121" s="137" t="s">
        <v>289</v>
      </c>
      <c r="L121" s="137" t="s">
        <v>292</v>
      </c>
      <c r="M121" s="137" t="s">
        <v>295</v>
      </c>
      <c r="N121" s="137">
        <v>31194</v>
      </c>
      <c r="O121" s="137" t="s">
        <v>341</v>
      </c>
      <c r="P121" s="137" t="s">
        <v>340</v>
      </c>
      <c r="Q121" s="137"/>
    </row>
    <row r="122" spans="2:20" s="109" customFormat="1" ht="23.1" customHeight="1" x14ac:dyDescent="0.25">
      <c r="B122" s="79" t="s">
        <v>121</v>
      </c>
      <c r="C122" s="137" t="s">
        <v>427</v>
      </c>
      <c r="D122" s="97">
        <v>8476.5046127488094</v>
      </c>
      <c r="E122" s="97">
        <f t="shared" si="2"/>
        <v>8914.1914110304024</v>
      </c>
      <c r="F122" s="97">
        <v>8476.5046127488094</v>
      </c>
      <c r="G122" s="97">
        <f t="shared" si="3"/>
        <v>8914.1914110304024</v>
      </c>
      <c r="H122" s="137" t="s">
        <v>345</v>
      </c>
      <c r="I122" s="137" t="s">
        <v>286</v>
      </c>
      <c r="J122" s="137" t="s">
        <v>283</v>
      </c>
      <c r="K122" s="137" t="s">
        <v>289</v>
      </c>
      <c r="L122" s="137" t="s">
        <v>292</v>
      </c>
      <c r="M122" s="137" t="s">
        <v>295</v>
      </c>
      <c r="N122" s="137">
        <v>31194</v>
      </c>
      <c r="O122" s="137" t="s">
        <v>341</v>
      </c>
      <c r="P122" s="137" t="s">
        <v>340</v>
      </c>
      <c r="Q122" s="137"/>
    </row>
    <row r="123" spans="2:20" s="109" customFormat="1" ht="23.1" customHeight="1" x14ac:dyDescent="0.25">
      <c r="B123" s="79" t="s">
        <v>121</v>
      </c>
      <c r="C123" s="137" t="s">
        <v>428</v>
      </c>
      <c r="D123" s="97">
        <v>5087.2584661079427</v>
      </c>
      <c r="E123" s="97">
        <f t="shared" si="2"/>
        <v>5349.9405469638687</v>
      </c>
      <c r="F123" s="97">
        <v>5087.2584661079427</v>
      </c>
      <c r="G123" s="97">
        <f t="shared" si="3"/>
        <v>5349.9405469638687</v>
      </c>
      <c r="H123" s="137" t="s">
        <v>345</v>
      </c>
      <c r="I123" s="137" t="s">
        <v>286</v>
      </c>
      <c r="J123" s="137" t="s">
        <v>283</v>
      </c>
      <c r="K123" s="137" t="s">
        <v>289</v>
      </c>
      <c r="L123" s="137" t="s">
        <v>292</v>
      </c>
      <c r="M123" s="137" t="s">
        <v>295</v>
      </c>
      <c r="N123" s="81">
        <v>31194</v>
      </c>
      <c r="O123" s="137" t="s">
        <v>341</v>
      </c>
      <c r="P123" s="137" t="s">
        <v>340</v>
      </c>
      <c r="Q123" s="137"/>
    </row>
    <row r="124" spans="2:20" s="109" customFormat="1" ht="23.1" customHeight="1" x14ac:dyDescent="0.25">
      <c r="B124" s="79" t="s">
        <v>411</v>
      </c>
      <c r="C124" s="137" t="s">
        <v>491</v>
      </c>
      <c r="D124" s="97">
        <v>11672.728208221386</v>
      </c>
      <c r="E124" s="97">
        <f t="shared" si="2"/>
        <v>12275.452947966543</v>
      </c>
      <c r="F124" s="97">
        <v>11672.728208221386</v>
      </c>
      <c r="G124" s="97">
        <f t="shared" si="3"/>
        <v>12275.452947966543</v>
      </c>
      <c r="H124" s="137" t="s">
        <v>345</v>
      </c>
      <c r="I124" s="137" t="s">
        <v>286</v>
      </c>
      <c r="J124" s="137" t="s">
        <v>283</v>
      </c>
      <c r="K124" s="137" t="s">
        <v>289</v>
      </c>
      <c r="L124" s="137" t="s">
        <v>291</v>
      </c>
      <c r="M124" s="137" t="s">
        <v>391</v>
      </c>
      <c r="N124" s="81">
        <v>16050</v>
      </c>
      <c r="O124" s="137" t="s">
        <v>341</v>
      </c>
      <c r="P124" s="137" t="s">
        <v>340</v>
      </c>
      <c r="Q124" s="137"/>
    </row>
    <row r="125" spans="2:20" s="109" customFormat="1" ht="23.1" customHeight="1" x14ac:dyDescent="0.25">
      <c r="B125" s="79" t="s">
        <v>411</v>
      </c>
      <c r="C125" s="137" t="s">
        <v>492</v>
      </c>
      <c r="D125" s="97">
        <v>29975.38</v>
      </c>
      <c r="E125" s="97">
        <f t="shared" si="2"/>
        <v>31523.167525502158</v>
      </c>
      <c r="F125" s="97">
        <v>29975.38</v>
      </c>
      <c r="G125" s="97">
        <f t="shared" si="3"/>
        <v>31523.167525502158</v>
      </c>
      <c r="H125" s="137" t="s">
        <v>345</v>
      </c>
      <c r="I125" s="137" t="s">
        <v>286</v>
      </c>
      <c r="J125" s="137" t="s">
        <v>283</v>
      </c>
      <c r="K125" s="137" t="s">
        <v>289</v>
      </c>
      <c r="L125" s="137" t="s">
        <v>291</v>
      </c>
      <c r="M125" s="137" t="s">
        <v>295</v>
      </c>
      <c r="N125" s="137">
        <v>31120</v>
      </c>
      <c r="O125" s="137" t="s">
        <v>340</v>
      </c>
      <c r="P125" s="137" t="s">
        <v>340</v>
      </c>
      <c r="Q125" s="137"/>
    </row>
    <row r="126" spans="2:20" s="109" customFormat="1" ht="23.1" customHeight="1" x14ac:dyDescent="0.25">
      <c r="B126" s="79" t="s">
        <v>411</v>
      </c>
      <c r="C126" s="137" t="s">
        <v>493</v>
      </c>
      <c r="D126" s="97">
        <v>41975.972000000002</v>
      </c>
      <c r="E126" s="97">
        <f t="shared" si="2"/>
        <v>44143.413608160692</v>
      </c>
      <c r="F126" s="97">
        <v>41975.972000000002</v>
      </c>
      <c r="G126" s="97">
        <f t="shared" si="3"/>
        <v>44143.413608160692</v>
      </c>
      <c r="H126" s="137" t="s">
        <v>345</v>
      </c>
      <c r="I126" s="137" t="s">
        <v>286</v>
      </c>
      <c r="J126" s="137" t="s">
        <v>283</v>
      </c>
      <c r="K126" s="137" t="s">
        <v>289</v>
      </c>
      <c r="L126" s="137" t="s">
        <v>292</v>
      </c>
      <c r="M126" s="137" t="s">
        <v>507</v>
      </c>
      <c r="N126" s="137">
        <v>43040</v>
      </c>
      <c r="O126" s="137" t="s">
        <v>340</v>
      </c>
      <c r="P126" s="137" t="s">
        <v>340</v>
      </c>
      <c r="Q126" s="137"/>
    </row>
    <row r="127" spans="2:20" s="109" customFormat="1" ht="23.1" customHeight="1" x14ac:dyDescent="0.25">
      <c r="B127" s="79" t="s">
        <v>159</v>
      </c>
      <c r="C127" s="137" t="s">
        <v>494</v>
      </c>
      <c r="D127" s="97">
        <v>2083175.2691887454</v>
      </c>
      <c r="E127" s="97">
        <f t="shared" si="2"/>
        <v>2190740.6343345731</v>
      </c>
      <c r="F127" s="97">
        <v>2083175.2691887454</v>
      </c>
      <c r="G127" s="97">
        <f t="shared" si="3"/>
        <v>2190740.6343345731</v>
      </c>
      <c r="H127" s="137" t="s">
        <v>345</v>
      </c>
      <c r="I127" s="137" t="s">
        <v>285</v>
      </c>
      <c r="J127" s="137" t="s">
        <v>283</v>
      </c>
      <c r="K127" s="137" t="s">
        <v>289</v>
      </c>
      <c r="L127" s="137" t="s">
        <v>291</v>
      </c>
      <c r="M127" s="137" t="s">
        <v>295</v>
      </c>
      <c r="N127" s="137">
        <v>31120</v>
      </c>
      <c r="O127" s="137" t="s">
        <v>341</v>
      </c>
      <c r="P127" s="137" t="s">
        <v>340</v>
      </c>
      <c r="Q127" s="137"/>
    </row>
    <row r="128" spans="2:20" s="109" customFormat="1" ht="23.1" customHeight="1" x14ac:dyDescent="0.25">
      <c r="B128" s="79" t="s">
        <v>125</v>
      </c>
      <c r="C128" s="137" t="s">
        <v>430</v>
      </c>
      <c r="D128" s="97">
        <v>1515078.2229153805</v>
      </c>
      <c r="E128" s="97">
        <f t="shared" si="2"/>
        <v>1593309.7306923761</v>
      </c>
      <c r="F128" s="97">
        <v>1515078.2229153805</v>
      </c>
      <c r="G128" s="97">
        <f t="shared" si="3"/>
        <v>1593309.7306923761</v>
      </c>
      <c r="H128" s="137" t="s">
        <v>345</v>
      </c>
      <c r="I128" s="137" t="s">
        <v>285</v>
      </c>
      <c r="J128" s="137" t="s">
        <v>283</v>
      </c>
      <c r="K128" s="137" t="s">
        <v>289</v>
      </c>
      <c r="L128" s="137" t="s">
        <v>291</v>
      </c>
      <c r="M128" s="137" t="s">
        <v>295</v>
      </c>
      <c r="N128" s="81">
        <v>31120</v>
      </c>
      <c r="O128" s="137" t="s">
        <v>340</v>
      </c>
      <c r="P128" s="137" t="s">
        <v>340</v>
      </c>
      <c r="Q128" s="137"/>
    </row>
    <row r="129" spans="2:17" s="109" customFormat="1" ht="23.1" customHeight="1" x14ac:dyDescent="0.25">
      <c r="B129" s="79" t="s">
        <v>125</v>
      </c>
      <c r="C129" s="137" t="s">
        <v>495</v>
      </c>
      <c r="D129" s="97">
        <v>6405.7863392208192</v>
      </c>
      <c r="E129" s="97">
        <f t="shared" si="2"/>
        <v>6736.5509929759382</v>
      </c>
      <c r="F129" s="97">
        <v>6405.7863392208192</v>
      </c>
      <c r="G129" s="97">
        <f t="shared" si="3"/>
        <v>6736.5509929759382</v>
      </c>
      <c r="H129" s="137" t="s">
        <v>345</v>
      </c>
      <c r="I129" s="137" t="s">
        <v>286</v>
      </c>
      <c r="J129" s="137" t="s">
        <v>283</v>
      </c>
      <c r="K129" s="137" t="s">
        <v>289</v>
      </c>
      <c r="L129" s="137" t="s">
        <v>291</v>
      </c>
      <c r="M129" s="137" t="s">
        <v>391</v>
      </c>
      <c r="N129" s="81">
        <v>16050</v>
      </c>
      <c r="O129" s="137" t="s">
        <v>341</v>
      </c>
      <c r="P129" s="137" t="s">
        <v>340</v>
      </c>
      <c r="Q129" s="137"/>
    </row>
    <row r="130" spans="2:17" s="109" customFormat="1" ht="23.1" customHeight="1" x14ac:dyDescent="0.25">
      <c r="B130" s="79" t="s">
        <v>125</v>
      </c>
      <c r="C130" s="137" t="s">
        <v>496</v>
      </c>
      <c r="D130" s="97">
        <v>769.50788164915741</v>
      </c>
      <c r="E130" s="97">
        <f t="shared" si="2"/>
        <v>809.24164649191027</v>
      </c>
      <c r="F130" s="97">
        <v>769.50788164915741</v>
      </c>
      <c r="G130" s="97">
        <f t="shared" si="3"/>
        <v>809.24164649191027</v>
      </c>
      <c r="H130" s="137" t="s">
        <v>345</v>
      </c>
      <c r="I130" s="137" t="s">
        <v>286</v>
      </c>
      <c r="J130" s="137" t="s">
        <v>283</v>
      </c>
      <c r="K130" s="137" t="s">
        <v>289</v>
      </c>
      <c r="L130" s="137" t="s">
        <v>291</v>
      </c>
      <c r="M130" s="137" t="s">
        <v>295</v>
      </c>
      <c r="N130" s="137">
        <v>31120</v>
      </c>
      <c r="O130" s="137" t="s">
        <v>341</v>
      </c>
      <c r="P130" s="137" t="s">
        <v>340</v>
      </c>
      <c r="Q130" s="137"/>
    </row>
    <row r="131" spans="2:17" s="109" customFormat="1" ht="23.1" customHeight="1" x14ac:dyDescent="0.25">
      <c r="B131" s="79" t="s">
        <v>125</v>
      </c>
      <c r="C131" s="137" t="s">
        <v>497</v>
      </c>
      <c r="D131" s="97">
        <v>34.112942321568951</v>
      </c>
      <c r="E131" s="97">
        <f t="shared" si="2"/>
        <v>35.874374089356351</v>
      </c>
      <c r="F131" s="97">
        <v>34.112942321568951</v>
      </c>
      <c r="G131" s="97">
        <f t="shared" si="3"/>
        <v>35.874374089356351</v>
      </c>
      <c r="H131" s="137" t="s">
        <v>345</v>
      </c>
      <c r="I131" s="137" t="s">
        <v>286</v>
      </c>
      <c r="J131" s="137" t="s">
        <v>283</v>
      </c>
      <c r="K131" s="137" t="s">
        <v>289</v>
      </c>
      <c r="L131" s="137" t="s">
        <v>292</v>
      </c>
      <c r="M131" s="137" t="s">
        <v>510</v>
      </c>
      <c r="N131" s="81">
        <v>11220</v>
      </c>
      <c r="O131" s="137" t="s">
        <v>341</v>
      </c>
      <c r="P131" s="137" t="s">
        <v>340</v>
      </c>
      <c r="Q131" s="137"/>
    </row>
    <row r="132" spans="2:17" s="109" customFormat="1" ht="23.1" customHeight="1" x14ac:dyDescent="0.25">
      <c r="B132" s="79" t="s">
        <v>125</v>
      </c>
      <c r="C132" s="137" t="s">
        <v>498</v>
      </c>
      <c r="D132" s="97">
        <v>10961.452100840736</v>
      </c>
      <c r="E132" s="97">
        <f t="shared" si="2"/>
        <v>11527.449890462442</v>
      </c>
      <c r="F132" s="97">
        <v>10961.452100840736</v>
      </c>
      <c r="G132" s="97">
        <f t="shared" si="3"/>
        <v>11527.449890462442</v>
      </c>
      <c r="H132" s="137" t="s">
        <v>345</v>
      </c>
      <c r="I132" s="137" t="s">
        <v>286</v>
      </c>
      <c r="J132" s="137" t="s">
        <v>283</v>
      </c>
      <c r="K132" s="137" t="s">
        <v>289</v>
      </c>
      <c r="L132" s="137" t="s">
        <v>292</v>
      </c>
      <c r="M132" s="137" t="s">
        <v>510</v>
      </c>
      <c r="N132" s="81">
        <v>11330</v>
      </c>
      <c r="O132" s="137" t="s">
        <v>341</v>
      </c>
      <c r="P132" s="137" t="s">
        <v>340</v>
      </c>
      <c r="Q132" s="137"/>
    </row>
    <row r="133" spans="2:17" s="109" customFormat="1" ht="23.1" customHeight="1" x14ac:dyDescent="0.25">
      <c r="B133" s="79" t="s">
        <v>125</v>
      </c>
      <c r="C133" s="137" t="s">
        <v>499</v>
      </c>
      <c r="D133" s="97">
        <v>741.58724028615029</v>
      </c>
      <c r="E133" s="97">
        <f t="shared" si="2"/>
        <v>779.87931463471477</v>
      </c>
      <c r="F133" s="97">
        <v>741.58724028615029</v>
      </c>
      <c r="G133" s="97">
        <f t="shared" si="3"/>
        <v>779.87931463471477</v>
      </c>
      <c r="H133" s="137" t="s">
        <v>345</v>
      </c>
      <c r="I133" s="137" t="s">
        <v>286</v>
      </c>
      <c r="J133" s="137" t="s">
        <v>283</v>
      </c>
      <c r="K133" s="137" t="s">
        <v>289</v>
      </c>
      <c r="L133" s="137" t="s">
        <v>292</v>
      </c>
      <c r="M133" s="137" t="s">
        <v>510</v>
      </c>
      <c r="N133" s="137">
        <v>11330</v>
      </c>
      <c r="O133" s="137" t="s">
        <v>341</v>
      </c>
      <c r="P133" s="137" t="s">
        <v>340</v>
      </c>
      <c r="Q133" s="137"/>
    </row>
    <row r="134" spans="2:17" s="109" customFormat="1" ht="23.1" customHeight="1" x14ac:dyDescent="0.25">
      <c r="B134" s="79" t="s">
        <v>125</v>
      </c>
      <c r="C134" s="137" t="s">
        <v>500</v>
      </c>
      <c r="D134" s="97">
        <v>3071.0196703965312</v>
      </c>
      <c r="E134" s="97">
        <f t="shared" si="2"/>
        <v>3229.592670519015</v>
      </c>
      <c r="F134" s="97">
        <v>3071.0196703965312</v>
      </c>
      <c r="G134" s="97">
        <f t="shared" si="3"/>
        <v>3229.592670519015</v>
      </c>
      <c r="H134" s="137" t="s">
        <v>345</v>
      </c>
      <c r="I134" s="137" t="s">
        <v>286</v>
      </c>
      <c r="J134" s="137" t="s">
        <v>283</v>
      </c>
      <c r="K134" s="137" t="s">
        <v>289</v>
      </c>
      <c r="L134" s="137" t="s">
        <v>292</v>
      </c>
      <c r="M134" s="137" t="s">
        <v>510</v>
      </c>
      <c r="N134" s="137">
        <v>11330</v>
      </c>
      <c r="O134" s="137" t="s">
        <v>341</v>
      </c>
      <c r="P134" s="137" t="s">
        <v>340</v>
      </c>
      <c r="Q134" s="137"/>
    </row>
    <row r="135" spans="2:17" s="109" customFormat="1" ht="23.1" customHeight="1" x14ac:dyDescent="0.25">
      <c r="B135" s="79" t="s">
        <v>125</v>
      </c>
      <c r="C135" s="137" t="s">
        <v>425</v>
      </c>
      <c r="D135" s="97">
        <v>8473.1153666021692</v>
      </c>
      <c r="E135" s="97">
        <f t="shared" si="2"/>
        <v>8910.6271601663375</v>
      </c>
      <c r="F135" s="97">
        <v>8473.1153666021692</v>
      </c>
      <c r="G135" s="97">
        <f t="shared" si="3"/>
        <v>8910.6271601663375</v>
      </c>
      <c r="H135" s="137" t="s">
        <v>345</v>
      </c>
      <c r="I135" s="137" t="s">
        <v>286</v>
      </c>
      <c r="J135" s="137" t="s">
        <v>283</v>
      </c>
      <c r="K135" s="137" t="s">
        <v>289</v>
      </c>
      <c r="L135" s="137" t="s">
        <v>292</v>
      </c>
      <c r="M135" s="137" t="s">
        <v>295</v>
      </c>
      <c r="N135" s="81">
        <v>31194</v>
      </c>
      <c r="O135" s="137" t="s">
        <v>341</v>
      </c>
      <c r="P135" s="137" t="s">
        <v>340</v>
      </c>
      <c r="Q135" s="137"/>
    </row>
    <row r="136" spans="2:17" s="109" customFormat="1" ht="23.1" customHeight="1" x14ac:dyDescent="0.25">
      <c r="B136" s="79" t="s">
        <v>125</v>
      </c>
      <c r="C136" s="137" t="s">
        <v>426</v>
      </c>
      <c r="D136" s="97">
        <v>7837.6317141070067</v>
      </c>
      <c r="E136" s="97">
        <f t="shared" si="2"/>
        <v>8242.3301231538626</v>
      </c>
      <c r="F136" s="97">
        <v>7837.6317141070067</v>
      </c>
      <c r="G136" s="97">
        <f t="shared" si="3"/>
        <v>8242.3301231538626</v>
      </c>
      <c r="H136" s="137" t="s">
        <v>345</v>
      </c>
      <c r="I136" s="137" t="s">
        <v>286</v>
      </c>
      <c r="J136" s="137" t="s">
        <v>283</v>
      </c>
      <c r="K136" s="137" t="s">
        <v>289</v>
      </c>
      <c r="L136" s="137" t="s">
        <v>292</v>
      </c>
      <c r="M136" s="137" t="s">
        <v>295</v>
      </c>
      <c r="N136" s="81">
        <v>31194</v>
      </c>
      <c r="O136" s="137" t="s">
        <v>341</v>
      </c>
      <c r="P136" s="137" t="s">
        <v>340</v>
      </c>
      <c r="Q136" s="137"/>
    </row>
    <row r="137" spans="2:17" s="109" customFormat="1" ht="23.1" customHeight="1" x14ac:dyDescent="0.25">
      <c r="B137" s="79" t="s">
        <v>125</v>
      </c>
      <c r="C137" s="137" t="s">
        <v>427</v>
      </c>
      <c r="D137" s="97">
        <v>8473.1153666021692</v>
      </c>
      <c r="E137" s="97">
        <f t="shared" si="2"/>
        <v>8910.6271601663375</v>
      </c>
      <c r="F137" s="97">
        <v>8473.1153666021692</v>
      </c>
      <c r="G137" s="97">
        <f t="shared" si="3"/>
        <v>8910.6271601663375</v>
      </c>
      <c r="H137" s="137" t="s">
        <v>345</v>
      </c>
      <c r="I137" s="137" t="s">
        <v>286</v>
      </c>
      <c r="J137" s="137" t="s">
        <v>283</v>
      </c>
      <c r="K137" s="137" t="s">
        <v>289</v>
      </c>
      <c r="L137" s="137" t="s">
        <v>292</v>
      </c>
      <c r="M137" s="137" t="s">
        <v>295</v>
      </c>
      <c r="N137" s="137">
        <v>31194</v>
      </c>
      <c r="O137" s="137" t="s">
        <v>341</v>
      </c>
      <c r="P137" s="137" t="s">
        <v>340</v>
      </c>
      <c r="Q137" s="137"/>
    </row>
    <row r="138" spans="2:17" s="109" customFormat="1" ht="23.1" customHeight="1" x14ac:dyDescent="0.25">
      <c r="B138" s="79" t="s">
        <v>125</v>
      </c>
      <c r="C138" s="137" t="s">
        <v>428</v>
      </c>
      <c r="D138" s="97">
        <v>7837.6317141070067</v>
      </c>
      <c r="E138" s="97">
        <f t="shared" si="2"/>
        <v>8242.3301231538626</v>
      </c>
      <c r="F138" s="97">
        <v>7837.6317141070067</v>
      </c>
      <c r="G138" s="97">
        <f t="shared" si="3"/>
        <v>8242.3301231538626</v>
      </c>
      <c r="H138" s="137" t="s">
        <v>345</v>
      </c>
      <c r="I138" s="137" t="s">
        <v>286</v>
      </c>
      <c r="J138" s="137" t="s">
        <v>283</v>
      </c>
      <c r="K138" s="137" t="s">
        <v>289</v>
      </c>
      <c r="L138" s="137" t="s">
        <v>292</v>
      </c>
      <c r="M138" s="137" t="s">
        <v>295</v>
      </c>
      <c r="N138" s="137">
        <v>31194</v>
      </c>
      <c r="O138" s="137" t="s">
        <v>341</v>
      </c>
      <c r="P138" s="137" t="s">
        <v>340</v>
      </c>
      <c r="Q138" s="137"/>
    </row>
    <row r="139" spans="2:17" s="109" customFormat="1" ht="23.1" customHeight="1" x14ac:dyDescent="0.25">
      <c r="B139" s="79" t="s">
        <v>125</v>
      </c>
      <c r="C139" s="137" t="s">
        <v>501</v>
      </c>
      <c r="D139" s="97">
        <v>305.78032859842244</v>
      </c>
      <c r="E139" s="97">
        <f t="shared" ref="E139:E344" si="4">D139*(1/$C$4)</f>
        <v>321.56938542267585</v>
      </c>
      <c r="F139" s="97">
        <v>305.78032859842244</v>
      </c>
      <c r="G139" s="97">
        <f t="shared" ref="G139:G344" si="5">F139*(1/$C$4)</f>
        <v>321.56938542267585</v>
      </c>
      <c r="H139" s="137" t="s">
        <v>345</v>
      </c>
      <c r="I139" s="137" t="s">
        <v>286</v>
      </c>
      <c r="J139" s="137" t="s">
        <v>283</v>
      </c>
      <c r="K139" s="137" t="s">
        <v>289</v>
      </c>
      <c r="L139" s="137" t="s">
        <v>292</v>
      </c>
      <c r="M139" s="137" t="s">
        <v>526</v>
      </c>
      <c r="N139" s="81">
        <v>41081</v>
      </c>
      <c r="O139" s="137" t="s">
        <v>341</v>
      </c>
      <c r="P139" s="137" t="s">
        <v>340</v>
      </c>
      <c r="Q139" s="137"/>
    </row>
    <row r="140" spans="2:17" s="109" customFormat="1" ht="23.1" customHeight="1" x14ac:dyDescent="0.25">
      <c r="B140" s="79" t="s">
        <v>125</v>
      </c>
      <c r="C140" s="137" t="s">
        <v>462</v>
      </c>
      <c r="D140" s="97">
        <v>4.7507359692804778</v>
      </c>
      <c r="E140" s="97">
        <f t="shared" si="4"/>
        <v>4.9960416124518643</v>
      </c>
      <c r="F140" s="97">
        <v>4.7507359692804778</v>
      </c>
      <c r="G140" s="97">
        <f t="shared" si="5"/>
        <v>4.9960416124518643</v>
      </c>
      <c r="H140" s="137" t="s">
        <v>345</v>
      </c>
      <c r="I140" s="137" t="s">
        <v>286</v>
      </c>
      <c r="J140" s="137" t="s">
        <v>283</v>
      </c>
      <c r="K140" s="137" t="s">
        <v>289</v>
      </c>
      <c r="L140" s="137" t="s">
        <v>293</v>
      </c>
      <c r="M140" s="137" t="s">
        <v>295</v>
      </c>
      <c r="N140" s="81">
        <v>31181</v>
      </c>
      <c r="O140" s="137" t="s">
        <v>341</v>
      </c>
      <c r="P140" s="137" t="s">
        <v>340</v>
      </c>
      <c r="Q140" s="137"/>
    </row>
    <row r="141" spans="2:17" s="109" customFormat="1" ht="23.1" customHeight="1" x14ac:dyDescent="0.25">
      <c r="B141" s="79" t="s">
        <v>139</v>
      </c>
      <c r="C141" s="137" t="s">
        <v>502</v>
      </c>
      <c r="D141" s="97">
        <v>311578.12324375496</v>
      </c>
      <c r="E141" s="97">
        <f t="shared" si="4"/>
        <v>327666.55089258071</v>
      </c>
      <c r="F141" s="97">
        <v>311578.12324375496</v>
      </c>
      <c r="G141" s="97">
        <f t="shared" si="5"/>
        <v>327666.55089258071</v>
      </c>
      <c r="H141" s="137" t="s">
        <v>345</v>
      </c>
      <c r="I141" s="137" t="s">
        <v>286</v>
      </c>
      <c r="J141" s="137" t="s">
        <v>283</v>
      </c>
      <c r="K141" s="137" t="s">
        <v>289</v>
      </c>
      <c r="L141" s="137" t="s">
        <v>291</v>
      </c>
      <c r="M141" s="137" t="s">
        <v>295</v>
      </c>
      <c r="N141" s="137">
        <v>31161</v>
      </c>
      <c r="O141" s="137" t="s">
        <v>341</v>
      </c>
      <c r="P141" s="137" t="s">
        <v>341</v>
      </c>
      <c r="Q141" s="137"/>
    </row>
    <row r="142" spans="2:17" s="109" customFormat="1" ht="23.1" customHeight="1" x14ac:dyDescent="0.25">
      <c r="B142" s="79" t="s">
        <v>135</v>
      </c>
      <c r="C142" s="137" t="s">
        <v>448</v>
      </c>
      <c r="D142" s="97">
        <v>1280.6335994331732</v>
      </c>
      <c r="E142" s="97">
        <f t="shared" si="4"/>
        <v>1346.7594904124232</v>
      </c>
      <c r="F142" s="97">
        <v>1280.6335994331732</v>
      </c>
      <c r="G142" s="97">
        <f t="shared" si="5"/>
        <v>1346.7594904124232</v>
      </c>
      <c r="H142" s="137" t="s">
        <v>345</v>
      </c>
      <c r="I142" s="137" t="s">
        <v>286</v>
      </c>
      <c r="J142" s="137" t="s">
        <v>283</v>
      </c>
      <c r="K142" s="137" t="s">
        <v>289</v>
      </c>
      <c r="L142" s="137" t="s">
        <v>291</v>
      </c>
      <c r="M142" s="137" t="s">
        <v>510</v>
      </c>
      <c r="N142" s="81">
        <v>11230</v>
      </c>
      <c r="O142" s="137" t="s">
        <v>341</v>
      </c>
      <c r="P142" s="137" t="s">
        <v>340</v>
      </c>
      <c r="Q142" s="137"/>
    </row>
    <row r="143" spans="2:17" s="109" customFormat="1" ht="23.1" customHeight="1" x14ac:dyDescent="0.25">
      <c r="B143" s="79" t="s">
        <v>135</v>
      </c>
      <c r="C143" s="137" t="s">
        <v>444</v>
      </c>
      <c r="D143" s="97">
        <v>2381.3299823959069</v>
      </c>
      <c r="E143" s="97">
        <f t="shared" si="4"/>
        <v>2504.2906534818667</v>
      </c>
      <c r="F143" s="97">
        <v>2381.3299823959069</v>
      </c>
      <c r="G143" s="97">
        <f t="shared" si="5"/>
        <v>2504.2906534818667</v>
      </c>
      <c r="H143" s="137" t="s">
        <v>345</v>
      </c>
      <c r="I143" s="137" t="s">
        <v>286</v>
      </c>
      <c r="J143" s="137" t="s">
        <v>283</v>
      </c>
      <c r="K143" s="137" t="s">
        <v>289</v>
      </c>
      <c r="L143" s="137" t="s">
        <v>291</v>
      </c>
      <c r="M143" s="137" t="s">
        <v>295</v>
      </c>
      <c r="N143" s="81">
        <v>31120</v>
      </c>
      <c r="O143" s="137" t="s">
        <v>341</v>
      </c>
      <c r="P143" s="137" t="s">
        <v>340</v>
      </c>
      <c r="Q143" s="137"/>
    </row>
    <row r="144" spans="2:17" s="109" customFormat="1" ht="23.1" customHeight="1" x14ac:dyDescent="0.25">
      <c r="B144" s="79" t="s">
        <v>135</v>
      </c>
      <c r="C144" s="137" t="s">
        <v>445</v>
      </c>
      <c r="D144" s="97">
        <v>1406.6075196036393</v>
      </c>
      <c r="E144" s="97">
        <f t="shared" si="4"/>
        <v>1479.2381108461871</v>
      </c>
      <c r="F144" s="97">
        <v>1406.6075196036393</v>
      </c>
      <c r="G144" s="97">
        <f t="shared" si="5"/>
        <v>1479.2381108461871</v>
      </c>
      <c r="H144" s="137" t="s">
        <v>345</v>
      </c>
      <c r="I144" s="137" t="s">
        <v>286</v>
      </c>
      <c r="J144" s="137" t="s">
        <v>283</v>
      </c>
      <c r="K144" s="137" t="s">
        <v>289</v>
      </c>
      <c r="L144" s="137" t="s">
        <v>291</v>
      </c>
      <c r="M144" s="137" t="s">
        <v>295</v>
      </c>
      <c r="N144" s="137">
        <v>31181</v>
      </c>
      <c r="O144" s="137" t="s">
        <v>341</v>
      </c>
      <c r="P144" s="137" t="s">
        <v>340</v>
      </c>
      <c r="Q144" s="137"/>
    </row>
    <row r="145" spans="2:17" s="109" customFormat="1" ht="23.1" customHeight="1" x14ac:dyDescent="0.25">
      <c r="B145" s="79" t="s">
        <v>135</v>
      </c>
      <c r="C145" s="137" t="s">
        <v>473</v>
      </c>
      <c r="D145" s="97">
        <v>47.649709757150362</v>
      </c>
      <c r="E145" s="97">
        <f t="shared" si="4"/>
        <v>50.110116476128262</v>
      </c>
      <c r="F145" s="97">
        <v>47.649709757150362</v>
      </c>
      <c r="G145" s="97">
        <f t="shared" si="5"/>
        <v>50.110116476128262</v>
      </c>
      <c r="H145" s="137" t="s">
        <v>345</v>
      </c>
      <c r="I145" s="137" t="s">
        <v>286</v>
      </c>
      <c r="J145" s="137" t="s">
        <v>283</v>
      </c>
      <c r="K145" s="137" t="s">
        <v>289</v>
      </c>
      <c r="L145" s="137" t="s">
        <v>291</v>
      </c>
      <c r="M145" s="137" t="s">
        <v>507</v>
      </c>
      <c r="N145" s="137">
        <v>43040</v>
      </c>
      <c r="O145" s="137" t="s">
        <v>341</v>
      </c>
      <c r="P145" s="137" t="s">
        <v>340</v>
      </c>
      <c r="Q145" s="137"/>
    </row>
    <row r="146" spans="2:17" s="109" customFormat="1" ht="23.1" customHeight="1" x14ac:dyDescent="0.25">
      <c r="B146" s="79" t="s">
        <v>135</v>
      </c>
      <c r="C146" s="137" t="s">
        <v>447</v>
      </c>
      <c r="D146" s="97">
        <v>1406.6075196036393</v>
      </c>
      <c r="E146" s="97">
        <f t="shared" si="4"/>
        <v>1479.2381108461871</v>
      </c>
      <c r="F146" s="97">
        <v>1406.6075196036393</v>
      </c>
      <c r="G146" s="97">
        <f t="shared" si="5"/>
        <v>1479.2381108461871</v>
      </c>
      <c r="H146" s="137" t="s">
        <v>345</v>
      </c>
      <c r="I146" s="137" t="s">
        <v>286</v>
      </c>
      <c r="J146" s="137" t="s">
        <v>283</v>
      </c>
      <c r="K146" s="137" t="s">
        <v>289</v>
      </c>
      <c r="L146" s="137" t="s">
        <v>291</v>
      </c>
      <c r="M146" s="137" t="s">
        <v>507</v>
      </c>
      <c r="N146" s="81">
        <v>43072</v>
      </c>
      <c r="O146" s="137" t="s">
        <v>341</v>
      </c>
      <c r="P146" s="137" t="s">
        <v>340</v>
      </c>
      <c r="Q146" s="137"/>
    </row>
    <row r="147" spans="2:17" s="109" customFormat="1" ht="23.1" customHeight="1" x14ac:dyDescent="0.25">
      <c r="B147" s="79" t="s">
        <v>136</v>
      </c>
      <c r="C147" s="137" t="s">
        <v>448</v>
      </c>
      <c r="D147" s="97">
        <v>3532.017251681109</v>
      </c>
      <c r="E147" s="97">
        <f t="shared" si="4"/>
        <v>3714.3939969303915</v>
      </c>
      <c r="F147" s="97">
        <v>3532.017251681109</v>
      </c>
      <c r="G147" s="97">
        <f t="shared" si="5"/>
        <v>3714.3939969303915</v>
      </c>
      <c r="H147" s="137" t="s">
        <v>345</v>
      </c>
      <c r="I147" s="137" t="s">
        <v>286</v>
      </c>
      <c r="J147" s="137" t="s">
        <v>283</v>
      </c>
      <c r="K147" s="137" t="s">
        <v>289</v>
      </c>
      <c r="L147" s="137" t="s">
        <v>291</v>
      </c>
      <c r="M147" s="137" t="s">
        <v>510</v>
      </c>
      <c r="N147" s="81">
        <v>11230</v>
      </c>
      <c r="O147" s="137" t="s">
        <v>341</v>
      </c>
      <c r="P147" s="137" t="s">
        <v>340</v>
      </c>
      <c r="Q147" s="137"/>
    </row>
    <row r="148" spans="2:17" s="109" customFormat="1" ht="23.1" customHeight="1" x14ac:dyDescent="0.25">
      <c r="B148" s="79" t="s">
        <v>136</v>
      </c>
      <c r="C148" s="137" t="s">
        <v>444</v>
      </c>
      <c r="D148" s="97">
        <v>410.5845807359604</v>
      </c>
      <c r="E148" s="97">
        <f t="shared" si="4"/>
        <v>431.78523581444989</v>
      </c>
      <c r="F148" s="97">
        <v>410.5845807359604</v>
      </c>
      <c r="G148" s="97">
        <f t="shared" si="5"/>
        <v>431.78523581444989</v>
      </c>
      <c r="H148" s="137" t="s">
        <v>345</v>
      </c>
      <c r="I148" s="137" t="s">
        <v>286</v>
      </c>
      <c r="J148" s="137" t="s">
        <v>283</v>
      </c>
      <c r="K148" s="137" t="s">
        <v>289</v>
      </c>
      <c r="L148" s="137" t="s">
        <v>291</v>
      </c>
      <c r="M148" s="137" t="s">
        <v>295</v>
      </c>
      <c r="N148" s="137">
        <v>31120</v>
      </c>
      <c r="O148" s="137" t="s">
        <v>341</v>
      </c>
      <c r="P148" s="137" t="s">
        <v>340</v>
      </c>
      <c r="Q148" s="137"/>
    </row>
    <row r="149" spans="2:17" s="109" customFormat="1" ht="23.1" customHeight="1" x14ac:dyDescent="0.25">
      <c r="B149" s="79" t="s">
        <v>136</v>
      </c>
      <c r="C149" s="137" t="s">
        <v>445</v>
      </c>
      <c r="D149" s="97">
        <v>78.982367866334926</v>
      </c>
      <c r="E149" s="97">
        <f t="shared" si="4"/>
        <v>83.060645563502916</v>
      </c>
      <c r="F149" s="97">
        <v>78.982367866334926</v>
      </c>
      <c r="G149" s="97">
        <f t="shared" si="5"/>
        <v>83.060645563502916</v>
      </c>
      <c r="H149" s="137" t="s">
        <v>345</v>
      </c>
      <c r="I149" s="137" t="s">
        <v>286</v>
      </c>
      <c r="J149" s="137" t="s">
        <v>283</v>
      </c>
      <c r="K149" s="137" t="s">
        <v>289</v>
      </c>
      <c r="L149" s="137" t="s">
        <v>291</v>
      </c>
      <c r="M149" s="137" t="s">
        <v>295</v>
      </c>
      <c r="N149" s="137">
        <v>31181</v>
      </c>
      <c r="O149" s="137" t="s">
        <v>341</v>
      </c>
      <c r="P149" s="137" t="s">
        <v>340</v>
      </c>
      <c r="Q149" s="137"/>
    </row>
    <row r="150" spans="2:17" s="109" customFormat="1" ht="23.1" customHeight="1" x14ac:dyDescent="0.25">
      <c r="B150" s="79" t="s">
        <v>136</v>
      </c>
      <c r="C150" s="137" t="s">
        <v>473</v>
      </c>
      <c r="D150" s="97">
        <v>157.75851545103453</v>
      </c>
      <c r="E150" s="97">
        <f t="shared" si="4"/>
        <v>165.90442260073038</v>
      </c>
      <c r="F150" s="97">
        <v>157.75851545103453</v>
      </c>
      <c r="G150" s="97">
        <f t="shared" si="5"/>
        <v>165.90442260073038</v>
      </c>
      <c r="H150" s="137" t="s">
        <v>345</v>
      </c>
      <c r="I150" s="137" t="s">
        <v>286</v>
      </c>
      <c r="J150" s="137" t="s">
        <v>283</v>
      </c>
      <c r="K150" s="137" t="s">
        <v>289</v>
      </c>
      <c r="L150" s="137" t="s">
        <v>291</v>
      </c>
      <c r="M150" s="137" t="s">
        <v>507</v>
      </c>
      <c r="N150" s="81">
        <v>43040</v>
      </c>
      <c r="O150" s="137" t="s">
        <v>341</v>
      </c>
      <c r="P150" s="137" t="s">
        <v>340</v>
      </c>
      <c r="Q150" s="137"/>
    </row>
    <row r="151" spans="2:17" s="109" customFormat="1" ht="23.1" customHeight="1" x14ac:dyDescent="0.25">
      <c r="B151" s="79" t="s">
        <v>136</v>
      </c>
      <c r="C151" s="137" t="s">
        <v>503</v>
      </c>
      <c r="D151" s="97">
        <v>26044.064000000002</v>
      </c>
      <c r="E151" s="97">
        <f t="shared" si="4"/>
        <v>27388.856872436641</v>
      </c>
      <c r="F151" s="97">
        <v>26044.064000000002</v>
      </c>
      <c r="G151" s="97">
        <f t="shared" si="5"/>
        <v>27388.856872436641</v>
      </c>
      <c r="H151" s="137" t="s">
        <v>345</v>
      </c>
      <c r="I151" s="137" t="s">
        <v>286</v>
      </c>
      <c r="J151" s="137" t="s">
        <v>283</v>
      </c>
      <c r="K151" s="137" t="s">
        <v>289</v>
      </c>
      <c r="L151" s="137" t="s">
        <v>292</v>
      </c>
      <c r="M151" s="137" t="s">
        <v>526</v>
      </c>
      <c r="N151" s="81">
        <v>41081</v>
      </c>
      <c r="O151" s="137" t="s">
        <v>340</v>
      </c>
      <c r="P151" s="137" t="s">
        <v>340</v>
      </c>
      <c r="Q151" s="137"/>
    </row>
    <row r="152" spans="2:17" s="109" customFormat="1" ht="23.1" customHeight="1" x14ac:dyDescent="0.25">
      <c r="B152" s="79" t="s">
        <v>152</v>
      </c>
      <c r="C152" s="137" t="s">
        <v>230</v>
      </c>
      <c r="D152" s="97">
        <v>180864</v>
      </c>
      <c r="E152" s="97">
        <f>D152*(1/$C$4)</f>
        <v>190202.96561152593</v>
      </c>
      <c r="F152" s="97">
        <v>180864</v>
      </c>
      <c r="G152" s="97">
        <f>F152*(1/$C$4)</f>
        <v>190202.96561152593</v>
      </c>
      <c r="H152" s="137" t="s">
        <v>344</v>
      </c>
      <c r="I152" s="137" t="s">
        <v>288</v>
      </c>
      <c r="J152" s="137" t="s">
        <v>283</v>
      </c>
      <c r="K152" s="137" t="s">
        <v>289</v>
      </c>
      <c r="L152" s="137" t="s">
        <v>292</v>
      </c>
      <c r="M152" s="137" t="s">
        <v>295</v>
      </c>
      <c r="N152" s="137">
        <v>31193</v>
      </c>
      <c r="O152" s="137" t="s">
        <v>341</v>
      </c>
      <c r="P152" s="137" t="s">
        <v>346</v>
      </c>
      <c r="Q152" s="137"/>
    </row>
    <row r="153" spans="2:17" s="109" customFormat="1" ht="23.1" customHeight="1" x14ac:dyDescent="0.25">
      <c r="B153" s="79" t="s">
        <v>152</v>
      </c>
      <c r="C153" s="137" t="s">
        <v>414</v>
      </c>
      <c r="D153" s="97">
        <v>8473.1153666021692</v>
      </c>
      <c r="E153" s="97">
        <f t="shared" ref="E153:E216" si="6">D153*(1/$C$4)</f>
        <v>8910.6271601663375</v>
      </c>
      <c r="F153" s="97">
        <v>8473.1153666021692</v>
      </c>
      <c r="G153" s="97">
        <f t="shared" ref="G153:G216" si="7">F153*(1/$C$4)</f>
        <v>8910.6271601663375</v>
      </c>
      <c r="H153" s="137" t="s">
        <v>344</v>
      </c>
      <c r="I153" s="137" t="s">
        <v>288</v>
      </c>
      <c r="J153" s="137" t="s">
        <v>283</v>
      </c>
      <c r="K153" s="137" t="s">
        <v>289</v>
      </c>
      <c r="L153" s="137" t="s">
        <v>292</v>
      </c>
      <c r="M153" s="137" t="s">
        <v>295</v>
      </c>
      <c r="N153" s="137">
        <v>31194</v>
      </c>
      <c r="O153" s="137" t="s">
        <v>341</v>
      </c>
      <c r="P153" s="137" t="s">
        <v>340</v>
      </c>
      <c r="Q153" s="137"/>
    </row>
    <row r="154" spans="2:17" s="109" customFormat="1" ht="23.1" customHeight="1" x14ac:dyDescent="0.25">
      <c r="B154" s="79" t="s">
        <v>152</v>
      </c>
      <c r="C154" s="137" t="s">
        <v>415</v>
      </c>
      <c r="D154" s="97">
        <v>11862.361513243037</v>
      </c>
      <c r="E154" s="97">
        <f t="shared" si="6"/>
        <v>12474.878024232872</v>
      </c>
      <c r="F154" s="97">
        <v>11862.361513243037</v>
      </c>
      <c r="G154" s="97">
        <f t="shared" si="7"/>
        <v>12474.878024232872</v>
      </c>
      <c r="H154" s="137" t="s">
        <v>344</v>
      </c>
      <c r="I154" s="137" t="s">
        <v>288</v>
      </c>
      <c r="J154" s="137" t="s">
        <v>283</v>
      </c>
      <c r="K154" s="137" t="s">
        <v>289</v>
      </c>
      <c r="L154" s="137" t="s">
        <v>292</v>
      </c>
      <c r="M154" s="137" t="s">
        <v>295</v>
      </c>
      <c r="N154" s="81">
        <v>31194</v>
      </c>
      <c r="O154" s="137" t="s">
        <v>341</v>
      </c>
      <c r="P154" s="137" t="s">
        <v>340</v>
      </c>
      <c r="Q154" s="137"/>
    </row>
    <row r="155" spans="2:17" s="109" customFormat="1" ht="23.1" customHeight="1" x14ac:dyDescent="0.25">
      <c r="B155" s="79" t="s">
        <v>152</v>
      </c>
      <c r="C155" s="137" t="s">
        <v>416</v>
      </c>
      <c r="D155" s="97">
        <v>11862.361513243037</v>
      </c>
      <c r="E155" s="97">
        <f t="shared" si="6"/>
        <v>12474.878024232872</v>
      </c>
      <c r="F155" s="97">
        <v>11862.361513243037</v>
      </c>
      <c r="G155" s="97">
        <f t="shared" si="7"/>
        <v>12474.878024232872</v>
      </c>
      <c r="H155" s="137" t="s">
        <v>344</v>
      </c>
      <c r="I155" s="137" t="s">
        <v>288</v>
      </c>
      <c r="J155" s="137" t="s">
        <v>283</v>
      </c>
      <c r="K155" s="137" t="s">
        <v>289</v>
      </c>
      <c r="L155" s="137" t="s">
        <v>292</v>
      </c>
      <c r="M155" s="137" t="s">
        <v>295</v>
      </c>
      <c r="N155" s="81">
        <v>31194</v>
      </c>
      <c r="O155" s="137" t="s">
        <v>341</v>
      </c>
      <c r="P155" s="137" t="s">
        <v>340</v>
      </c>
      <c r="Q155" s="137"/>
    </row>
    <row r="156" spans="2:17" s="109" customFormat="1" ht="23.1" customHeight="1" x14ac:dyDescent="0.25">
      <c r="B156" s="79" t="s">
        <v>128</v>
      </c>
      <c r="C156" s="137" t="s">
        <v>417</v>
      </c>
      <c r="D156" s="97">
        <v>11779.819086902655</v>
      </c>
      <c r="E156" s="97">
        <f t="shared" si="6"/>
        <v>12388.073495533343</v>
      </c>
      <c r="F156" s="97">
        <v>11779.819086902655</v>
      </c>
      <c r="G156" s="97">
        <f t="shared" si="7"/>
        <v>12388.073495533343</v>
      </c>
      <c r="H156" s="137" t="s">
        <v>344</v>
      </c>
      <c r="I156" s="137" t="s">
        <v>286</v>
      </c>
      <c r="J156" s="137" t="s">
        <v>283</v>
      </c>
      <c r="K156" s="137" t="s">
        <v>289</v>
      </c>
      <c r="L156" s="137" t="s">
        <v>291</v>
      </c>
      <c r="M156" s="137" t="s">
        <v>295</v>
      </c>
      <c r="N156" s="137">
        <v>31161</v>
      </c>
      <c r="O156" s="137" t="s">
        <v>341</v>
      </c>
      <c r="P156" s="137" t="s">
        <v>340</v>
      </c>
      <c r="Q156" s="137"/>
    </row>
    <row r="157" spans="2:17" s="109" customFormat="1" ht="23.1" customHeight="1" x14ac:dyDescent="0.25">
      <c r="B157" s="79" t="s">
        <v>128</v>
      </c>
      <c r="C157" s="137" t="s">
        <v>418</v>
      </c>
      <c r="D157" s="97">
        <v>685.34877373224106</v>
      </c>
      <c r="E157" s="97">
        <f t="shared" si="6"/>
        <v>720.7369583891483</v>
      </c>
      <c r="F157" s="97">
        <v>685.34877373224106</v>
      </c>
      <c r="G157" s="97">
        <f t="shared" si="7"/>
        <v>720.7369583891483</v>
      </c>
      <c r="H157" s="137" t="s">
        <v>344</v>
      </c>
      <c r="I157" s="137" t="s">
        <v>286</v>
      </c>
      <c r="J157" s="137" t="s">
        <v>283</v>
      </c>
      <c r="K157" s="137" t="s">
        <v>289</v>
      </c>
      <c r="L157" s="137" t="s">
        <v>291</v>
      </c>
      <c r="M157" s="137" t="s">
        <v>507</v>
      </c>
      <c r="N157" s="137">
        <v>43040</v>
      </c>
      <c r="O157" s="137" t="s">
        <v>341</v>
      </c>
      <c r="P157" s="137" t="s">
        <v>340</v>
      </c>
      <c r="Q157" s="137"/>
    </row>
    <row r="158" spans="2:17" s="109" customFormat="1" ht="23.1" customHeight="1" x14ac:dyDescent="0.25">
      <c r="B158" s="79" t="s">
        <v>128</v>
      </c>
      <c r="C158" s="137" t="s">
        <v>419</v>
      </c>
      <c r="D158" s="97">
        <v>13430.004692481418</v>
      </c>
      <c r="E158" s="97">
        <f t="shared" si="6"/>
        <v>14123.466918163233</v>
      </c>
      <c r="F158" s="97">
        <v>13430.004692481418</v>
      </c>
      <c r="G158" s="97">
        <f t="shared" si="7"/>
        <v>14123.466918163233</v>
      </c>
      <c r="H158" s="137" t="s">
        <v>344</v>
      </c>
      <c r="I158" s="137" t="s">
        <v>286</v>
      </c>
      <c r="J158" s="137" t="s">
        <v>283</v>
      </c>
      <c r="K158" s="137" t="s">
        <v>289</v>
      </c>
      <c r="L158" s="137" t="s">
        <v>291</v>
      </c>
      <c r="M158" s="137" t="s">
        <v>507</v>
      </c>
      <c r="N158" s="81">
        <v>43072</v>
      </c>
      <c r="O158" s="137" t="s">
        <v>341</v>
      </c>
      <c r="P158" s="137" t="s">
        <v>340</v>
      </c>
      <c r="Q158" s="137"/>
    </row>
    <row r="159" spans="2:17" s="109" customFormat="1" ht="23.1" customHeight="1" x14ac:dyDescent="0.25">
      <c r="B159" s="79" t="s">
        <v>128</v>
      </c>
      <c r="C159" s="137" t="s">
        <v>420</v>
      </c>
      <c r="D159" s="97">
        <v>80000</v>
      </c>
      <c r="E159" s="97">
        <f t="shared" si="6"/>
        <v>84130.823430434335</v>
      </c>
      <c r="F159" s="97">
        <v>80000</v>
      </c>
      <c r="G159" s="97">
        <f t="shared" si="7"/>
        <v>84130.823430434335</v>
      </c>
      <c r="H159" s="137" t="s">
        <v>344</v>
      </c>
      <c r="I159" s="137" t="s">
        <v>286</v>
      </c>
      <c r="J159" s="137" t="s">
        <v>283</v>
      </c>
      <c r="K159" s="137" t="s">
        <v>289</v>
      </c>
      <c r="L159" s="137" t="s">
        <v>291</v>
      </c>
      <c r="M159" s="137" t="s">
        <v>508</v>
      </c>
      <c r="N159" s="81">
        <v>72040</v>
      </c>
      <c r="O159" s="137" t="s">
        <v>340</v>
      </c>
      <c r="P159" s="137" t="s">
        <v>340</v>
      </c>
      <c r="Q159" s="137"/>
    </row>
    <row r="160" spans="2:17" s="109" customFormat="1" ht="23.1" customHeight="1" x14ac:dyDescent="0.25">
      <c r="B160" s="79" t="s">
        <v>128</v>
      </c>
      <c r="C160" s="137" t="s">
        <v>201</v>
      </c>
      <c r="D160" s="97">
        <v>16465.452552036655</v>
      </c>
      <c r="E160" s="97">
        <f t="shared" si="6"/>
        <v>17315.651016969878</v>
      </c>
      <c r="F160" s="97">
        <v>16465.452552036655</v>
      </c>
      <c r="G160" s="97">
        <f t="shared" si="7"/>
        <v>17315.651016969878</v>
      </c>
      <c r="H160" s="137" t="s">
        <v>344</v>
      </c>
      <c r="I160" s="137" t="s">
        <v>286</v>
      </c>
      <c r="J160" s="137" t="s">
        <v>283</v>
      </c>
      <c r="K160" s="137" t="s">
        <v>289</v>
      </c>
      <c r="L160" s="137" t="s">
        <v>291</v>
      </c>
      <c r="M160" s="137" t="s">
        <v>508</v>
      </c>
      <c r="N160" s="137">
        <v>73010</v>
      </c>
      <c r="O160" s="137" t="s">
        <v>341</v>
      </c>
      <c r="P160" s="137" t="s">
        <v>346</v>
      </c>
      <c r="Q160" s="137"/>
    </row>
    <row r="161" spans="2:17" s="109" customFormat="1" ht="23.1" customHeight="1" x14ac:dyDescent="0.25">
      <c r="B161" s="79" t="s">
        <v>128</v>
      </c>
      <c r="C161" s="137" t="s">
        <v>202</v>
      </c>
      <c r="D161" s="97">
        <v>33944.163722660167</v>
      </c>
      <c r="E161" s="97">
        <f t="shared" si="6"/>
        <v>35696.880558060962</v>
      </c>
      <c r="F161" s="97">
        <v>33944.163722660167</v>
      </c>
      <c r="G161" s="97">
        <f t="shared" si="7"/>
        <v>35696.880558060962</v>
      </c>
      <c r="H161" s="137" t="s">
        <v>344</v>
      </c>
      <c r="I161" s="137" t="s">
        <v>286</v>
      </c>
      <c r="J161" s="137" t="s">
        <v>283</v>
      </c>
      <c r="K161" s="137" t="s">
        <v>289</v>
      </c>
      <c r="L161" s="137" t="s">
        <v>291</v>
      </c>
      <c r="M161" s="137" t="s">
        <v>508</v>
      </c>
      <c r="N161" s="137">
        <v>73010</v>
      </c>
      <c r="O161" s="137" t="s">
        <v>341</v>
      </c>
      <c r="P161" s="137" t="s">
        <v>346</v>
      </c>
      <c r="Q161" s="137"/>
    </row>
    <row r="162" spans="2:17" s="109" customFormat="1" ht="23.1" customHeight="1" x14ac:dyDescent="0.25">
      <c r="B162" s="79" t="s">
        <v>128</v>
      </c>
      <c r="C162" s="137" t="s">
        <v>421</v>
      </c>
      <c r="D162" s="97">
        <v>129950.4178337662</v>
      </c>
      <c r="E162" s="97">
        <f t="shared" si="6"/>
        <v>136660.44571854686</v>
      </c>
      <c r="F162" s="97">
        <v>129950.4178337662</v>
      </c>
      <c r="G162" s="97">
        <f t="shared" si="7"/>
        <v>136660.44571854686</v>
      </c>
      <c r="H162" s="137" t="s">
        <v>344</v>
      </c>
      <c r="I162" s="137" t="s">
        <v>286</v>
      </c>
      <c r="J162" s="137" t="s">
        <v>283</v>
      </c>
      <c r="K162" s="137" t="s">
        <v>289</v>
      </c>
      <c r="L162" s="137" t="s">
        <v>291</v>
      </c>
      <c r="M162" s="137" t="s">
        <v>509</v>
      </c>
      <c r="N162" s="81">
        <v>74020</v>
      </c>
      <c r="O162" s="137" t="s">
        <v>341</v>
      </c>
      <c r="P162" s="137" t="s">
        <v>341</v>
      </c>
      <c r="Q162" s="137"/>
    </row>
    <row r="163" spans="2:17" s="109" customFormat="1" ht="23.1" customHeight="1" x14ac:dyDescent="0.25">
      <c r="B163" s="79" t="s">
        <v>128</v>
      </c>
      <c r="C163" s="137" t="s">
        <v>226</v>
      </c>
      <c r="D163" s="97">
        <v>41112.94428851972</v>
      </c>
      <c r="E163" s="97">
        <f t="shared" si="6"/>
        <v>43235.823208034199</v>
      </c>
      <c r="F163" s="97">
        <v>41112.94428851972</v>
      </c>
      <c r="G163" s="97">
        <f t="shared" si="7"/>
        <v>43235.823208034199</v>
      </c>
      <c r="H163" s="137" t="s">
        <v>344</v>
      </c>
      <c r="I163" s="137" t="s">
        <v>286</v>
      </c>
      <c r="J163" s="137" t="s">
        <v>283</v>
      </c>
      <c r="K163" s="137" t="s">
        <v>289</v>
      </c>
      <c r="L163" s="137" t="s">
        <v>292</v>
      </c>
      <c r="M163" s="137" t="s">
        <v>507</v>
      </c>
      <c r="N163" s="81">
        <v>43040</v>
      </c>
      <c r="O163" s="137" t="s">
        <v>341</v>
      </c>
      <c r="P163" s="137" t="s">
        <v>341</v>
      </c>
      <c r="Q163" s="137"/>
    </row>
    <row r="164" spans="2:17" s="109" customFormat="1" ht="23.1" customHeight="1" x14ac:dyDescent="0.25">
      <c r="B164" s="79" t="s">
        <v>128</v>
      </c>
      <c r="C164" s="137" t="s">
        <v>424</v>
      </c>
      <c r="D164" s="97">
        <v>32890.86706027457</v>
      </c>
      <c r="E164" s="97">
        <f t="shared" si="6"/>
        <v>34589.196614023109</v>
      </c>
      <c r="F164" s="97">
        <v>32890.86706027457</v>
      </c>
      <c r="G164" s="97">
        <f t="shared" si="7"/>
        <v>34589.196614023109</v>
      </c>
      <c r="H164" s="137" t="s">
        <v>344</v>
      </c>
      <c r="I164" s="137" t="s">
        <v>286</v>
      </c>
      <c r="J164" s="137" t="s">
        <v>283</v>
      </c>
      <c r="K164" s="137" t="s">
        <v>289</v>
      </c>
      <c r="L164" s="137" t="s">
        <v>292</v>
      </c>
      <c r="M164" s="137" t="s">
        <v>507</v>
      </c>
      <c r="N164" s="81">
        <v>43040</v>
      </c>
      <c r="O164" s="137" t="s">
        <v>341</v>
      </c>
      <c r="P164" s="137" t="s">
        <v>340</v>
      </c>
      <c r="Q164" s="137"/>
    </row>
    <row r="165" spans="2:17" s="109" customFormat="1" ht="23.1" customHeight="1" x14ac:dyDescent="0.25">
      <c r="B165" s="79" t="s">
        <v>128</v>
      </c>
      <c r="C165" s="137" t="s">
        <v>227</v>
      </c>
      <c r="D165" s="97">
        <v>30064.288186756494</v>
      </c>
      <c r="E165" s="97">
        <f t="shared" si="6"/>
        <v>31616.666512521289</v>
      </c>
      <c r="F165" s="97">
        <v>30064.288186756494</v>
      </c>
      <c r="G165" s="97">
        <f t="shared" si="7"/>
        <v>31616.666512521289</v>
      </c>
      <c r="H165" s="137" t="s">
        <v>344</v>
      </c>
      <c r="I165" s="137" t="s">
        <v>286</v>
      </c>
      <c r="J165" s="137" t="s">
        <v>283</v>
      </c>
      <c r="K165" s="137" t="s">
        <v>289</v>
      </c>
      <c r="L165" s="137" t="s">
        <v>292</v>
      </c>
      <c r="M165" s="137" t="s">
        <v>507</v>
      </c>
      <c r="N165" s="137">
        <v>43081</v>
      </c>
      <c r="O165" s="137" t="s">
        <v>341</v>
      </c>
      <c r="P165" s="137" t="s">
        <v>346</v>
      </c>
      <c r="Q165" s="137"/>
    </row>
    <row r="166" spans="2:17" s="109" customFormat="1" ht="23.1" customHeight="1" x14ac:dyDescent="0.25">
      <c r="B166" s="79" t="s">
        <v>138</v>
      </c>
      <c r="C166" s="135" t="s">
        <v>603</v>
      </c>
      <c r="D166" s="97">
        <v>1136277.4195574976</v>
      </c>
      <c r="E166" s="97">
        <f t="shared" si="6"/>
        <v>1194949.4369097673</v>
      </c>
      <c r="F166" s="97">
        <v>1136277.4195574976</v>
      </c>
      <c r="G166" s="97">
        <f t="shared" si="7"/>
        <v>1194949.4369097673</v>
      </c>
      <c r="H166" s="137" t="s">
        <v>344</v>
      </c>
      <c r="I166" s="137" t="s">
        <v>285</v>
      </c>
      <c r="J166" s="137" t="s">
        <v>283</v>
      </c>
      <c r="K166" s="137" t="s">
        <v>289</v>
      </c>
      <c r="L166" s="137" t="s">
        <v>291</v>
      </c>
      <c r="M166" s="137" t="s">
        <v>510</v>
      </c>
      <c r="N166" s="81">
        <v>11110</v>
      </c>
      <c r="O166" s="137" t="s">
        <v>341</v>
      </c>
      <c r="P166" s="137" t="s">
        <v>340</v>
      </c>
      <c r="Q166" s="137"/>
    </row>
    <row r="167" spans="2:17" s="109" customFormat="1" ht="23.1" customHeight="1" x14ac:dyDescent="0.25">
      <c r="B167" s="79" t="s">
        <v>138</v>
      </c>
      <c r="C167" s="135" t="s">
        <v>605</v>
      </c>
      <c r="D167" s="97">
        <v>1136277.4195574976</v>
      </c>
      <c r="E167" s="97">
        <f t="shared" si="6"/>
        <v>1194949.4369097673</v>
      </c>
      <c r="F167" s="97">
        <v>1136277.4195574976</v>
      </c>
      <c r="G167" s="97">
        <f t="shared" si="7"/>
        <v>1194949.4369097673</v>
      </c>
      <c r="H167" s="137" t="s">
        <v>344</v>
      </c>
      <c r="I167" s="137" t="s">
        <v>285</v>
      </c>
      <c r="J167" s="137" t="s">
        <v>283</v>
      </c>
      <c r="K167" s="137" t="s">
        <v>289</v>
      </c>
      <c r="L167" s="137" t="s">
        <v>292</v>
      </c>
      <c r="M167" s="137" t="s">
        <v>295</v>
      </c>
      <c r="N167" s="137">
        <v>31120</v>
      </c>
      <c r="O167" s="137" t="s">
        <v>341</v>
      </c>
      <c r="P167" s="137" t="s">
        <v>340</v>
      </c>
      <c r="Q167" s="137"/>
    </row>
    <row r="168" spans="2:17" s="109" customFormat="1" ht="23.1" customHeight="1" x14ac:dyDescent="0.25">
      <c r="B168" s="79" t="s">
        <v>138</v>
      </c>
      <c r="C168" s="137" t="s">
        <v>425</v>
      </c>
      <c r="D168" s="97">
        <v>12613.38764801005</v>
      </c>
      <c r="E168" s="97">
        <f t="shared" si="6"/>
        <v>13264.683613429435</v>
      </c>
      <c r="F168" s="97">
        <v>12613.38764801005</v>
      </c>
      <c r="G168" s="97">
        <f t="shared" si="7"/>
        <v>13264.683613429435</v>
      </c>
      <c r="H168" s="137" t="s">
        <v>344</v>
      </c>
      <c r="I168" s="137" t="s">
        <v>286</v>
      </c>
      <c r="J168" s="137" t="s">
        <v>283</v>
      </c>
      <c r="K168" s="137" t="s">
        <v>289</v>
      </c>
      <c r="L168" s="137" t="s">
        <v>292</v>
      </c>
      <c r="M168" s="137" t="s">
        <v>295</v>
      </c>
      <c r="N168" s="81">
        <v>31194</v>
      </c>
      <c r="O168" s="137" t="s">
        <v>341</v>
      </c>
      <c r="P168" s="137" t="s">
        <v>340</v>
      </c>
      <c r="Q168" s="137"/>
    </row>
    <row r="169" spans="2:17" s="109" customFormat="1" ht="23.1" customHeight="1" x14ac:dyDescent="0.25">
      <c r="B169" s="79" t="s">
        <v>138</v>
      </c>
      <c r="C169" s="137" t="s">
        <v>426</v>
      </c>
      <c r="D169" s="97">
        <v>29490.292891851277</v>
      </c>
      <c r="E169" s="97">
        <f t="shared" si="6"/>
        <v>31013.032802451653</v>
      </c>
      <c r="F169" s="97">
        <v>29490.292891851277</v>
      </c>
      <c r="G169" s="97">
        <f t="shared" si="7"/>
        <v>31013.032802451653</v>
      </c>
      <c r="H169" s="137" t="s">
        <v>344</v>
      </c>
      <c r="I169" s="137" t="s">
        <v>286</v>
      </c>
      <c r="J169" s="137" t="s">
        <v>283</v>
      </c>
      <c r="K169" s="137" t="s">
        <v>289</v>
      </c>
      <c r="L169" s="137" t="s">
        <v>292</v>
      </c>
      <c r="M169" s="137" t="s">
        <v>295</v>
      </c>
      <c r="N169" s="81">
        <v>31194</v>
      </c>
      <c r="O169" s="137" t="s">
        <v>341</v>
      </c>
      <c r="P169" s="137" t="s">
        <v>340</v>
      </c>
      <c r="Q169" s="137"/>
    </row>
    <row r="170" spans="2:17" s="109" customFormat="1" ht="23.1" customHeight="1" x14ac:dyDescent="0.25">
      <c r="B170" s="79" t="s">
        <v>138</v>
      </c>
      <c r="C170" s="137" t="s">
        <v>427</v>
      </c>
      <c r="D170" s="97">
        <v>33944.455583431016</v>
      </c>
      <c r="E170" s="97">
        <f t="shared" si="6"/>
        <v>35697.187489148193</v>
      </c>
      <c r="F170" s="97">
        <v>33944.455583431016</v>
      </c>
      <c r="G170" s="97">
        <f t="shared" si="7"/>
        <v>35697.187489148193</v>
      </c>
      <c r="H170" s="137" t="s">
        <v>344</v>
      </c>
      <c r="I170" s="137" t="s">
        <v>286</v>
      </c>
      <c r="J170" s="137" t="s">
        <v>283</v>
      </c>
      <c r="K170" s="137" t="s">
        <v>289</v>
      </c>
      <c r="L170" s="137" t="s">
        <v>292</v>
      </c>
      <c r="M170" s="137" t="s">
        <v>295</v>
      </c>
      <c r="N170" s="137">
        <v>31194</v>
      </c>
      <c r="O170" s="137" t="s">
        <v>341</v>
      </c>
      <c r="P170" s="137" t="s">
        <v>340</v>
      </c>
      <c r="Q170" s="137"/>
    </row>
    <row r="171" spans="2:17" s="109" customFormat="1" ht="23.1" customHeight="1" x14ac:dyDescent="0.25">
      <c r="B171" s="79" t="s">
        <v>138</v>
      </c>
      <c r="C171" s="137" t="s">
        <v>428</v>
      </c>
      <c r="D171" s="97">
        <v>29442.150190904678</v>
      </c>
      <c r="E171" s="97">
        <f t="shared" si="6"/>
        <v>30962.404239041622</v>
      </c>
      <c r="F171" s="97">
        <v>29442.150190904678</v>
      </c>
      <c r="G171" s="97">
        <f t="shared" si="7"/>
        <v>30962.404239041622</v>
      </c>
      <c r="H171" s="137" t="s">
        <v>344</v>
      </c>
      <c r="I171" s="137" t="s">
        <v>286</v>
      </c>
      <c r="J171" s="137" t="s">
        <v>283</v>
      </c>
      <c r="K171" s="137" t="s">
        <v>289</v>
      </c>
      <c r="L171" s="137" t="s">
        <v>292</v>
      </c>
      <c r="M171" s="137" t="s">
        <v>295</v>
      </c>
      <c r="N171" s="137">
        <v>31194</v>
      </c>
      <c r="O171" s="137" t="s">
        <v>341</v>
      </c>
      <c r="P171" s="137" t="s">
        <v>340</v>
      </c>
      <c r="Q171" s="137"/>
    </row>
    <row r="172" spans="2:17" s="109" customFormat="1" ht="23.1" customHeight="1" x14ac:dyDescent="0.25">
      <c r="B172" s="79" t="s">
        <v>130</v>
      </c>
      <c r="C172" s="137" t="s">
        <v>429</v>
      </c>
      <c r="D172" s="97">
        <v>30625.262343748516</v>
      </c>
      <c r="E172" s="97">
        <f t="shared" si="6"/>
        <v>32206.606734407949</v>
      </c>
      <c r="F172" s="97">
        <v>30625.262343748502</v>
      </c>
      <c r="G172" s="97">
        <f t="shared" si="7"/>
        <v>32206.606734407931</v>
      </c>
      <c r="H172" s="137" t="s">
        <v>344</v>
      </c>
      <c r="I172" s="137" t="s">
        <v>286</v>
      </c>
      <c r="J172" s="137" t="s">
        <v>283</v>
      </c>
      <c r="K172" s="137" t="s">
        <v>289</v>
      </c>
      <c r="L172" s="137" t="s">
        <v>292</v>
      </c>
      <c r="M172" s="137" t="s">
        <v>391</v>
      </c>
      <c r="N172" s="81">
        <v>16050</v>
      </c>
      <c r="O172" s="137" t="s">
        <v>341</v>
      </c>
      <c r="P172" s="137" t="s">
        <v>340</v>
      </c>
      <c r="Q172" s="137"/>
    </row>
    <row r="173" spans="2:17" s="109" customFormat="1" ht="23.1" customHeight="1" x14ac:dyDescent="0.25">
      <c r="B173" s="79" t="s">
        <v>122</v>
      </c>
      <c r="C173" s="137" t="s">
        <v>430</v>
      </c>
      <c r="D173" s="97">
        <v>1515085.7980981776</v>
      </c>
      <c r="E173" s="97">
        <f t="shared" si="6"/>
        <v>1593317.6970219559</v>
      </c>
      <c r="F173" s="97">
        <v>1515085.7980981776</v>
      </c>
      <c r="G173" s="97">
        <f t="shared" si="7"/>
        <v>1593317.6970219559</v>
      </c>
      <c r="H173" s="137" t="s">
        <v>344</v>
      </c>
      <c r="I173" s="137" t="s">
        <v>285</v>
      </c>
      <c r="J173" s="137" t="s">
        <v>283</v>
      </c>
      <c r="K173" s="137" t="s">
        <v>289</v>
      </c>
      <c r="L173" s="137" t="s">
        <v>291</v>
      </c>
      <c r="M173" s="137" t="s">
        <v>511</v>
      </c>
      <c r="N173" s="137">
        <v>52010</v>
      </c>
      <c r="O173" s="137" t="s">
        <v>340</v>
      </c>
      <c r="P173" s="137" t="s">
        <v>340</v>
      </c>
      <c r="Q173" s="137"/>
    </row>
    <row r="174" spans="2:17" s="109" customFormat="1" ht="23.1" customHeight="1" x14ac:dyDescent="0.25">
      <c r="B174" s="79" t="s">
        <v>122</v>
      </c>
      <c r="C174" s="137" t="s">
        <v>431</v>
      </c>
      <c r="D174" s="97">
        <v>66126.02945524831</v>
      </c>
      <c r="E174" s="97">
        <f t="shared" si="6"/>
        <v>69540.466353189942</v>
      </c>
      <c r="F174" s="97">
        <v>66126.02945524831</v>
      </c>
      <c r="G174" s="97">
        <f t="shared" si="7"/>
        <v>69540.466353189942</v>
      </c>
      <c r="H174" s="137" t="s">
        <v>344</v>
      </c>
      <c r="I174" s="137" t="s">
        <v>286</v>
      </c>
      <c r="J174" s="137" t="s">
        <v>283</v>
      </c>
      <c r="K174" s="137" t="s">
        <v>289</v>
      </c>
      <c r="L174" s="137" t="s">
        <v>291</v>
      </c>
      <c r="M174" s="137" t="s">
        <v>512</v>
      </c>
      <c r="N174" s="81">
        <v>14031</v>
      </c>
      <c r="O174" s="137" t="s">
        <v>341</v>
      </c>
      <c r="P174" s="137" t="s">
        <v>341</v>
      </c>
      <c r="Q174" s="137"/>
    </row>
    <row r="175" spans="2:17" s="109" customFormat="1" ht="23.1" customHeight="1" x14ac:dyDescent="0.25">
      <c r="B175" s="79" t="s">
        <v>122</v>
      </c>
      <c r="C175" s="137" t="s">
        <v>432</v>
      </c>
      <c r="D175" s="97">
        <v>22201.031556060407</v>
      </c>
      <c r="E175" s="97">
        <f t="shared" si="6"/>
        <v>23347.388322705236</v>
      </c>
      <c r="F175" s="97">
        <v>22201.031556060407</v>
      </c>
      <c r="G175" s="97">
        <f t="shared" si="7"/>
        <v>23347.388322705236</v>
      </c>
      <c r="H175" s="137" t="s">
        <v>344</v>
      </c>
      <c r="I175" s="137" t="s">
        <v>286</v>
      </c>
      <c r="J175" s="137" t="s">
        <v>283</v>
      </c>
      <c r="K175" s="137" t="s">
        <v>289</v>
      </c>
      <c r="L175" s="137" t="s">
        <v>291</v>
      </c>
      <c r="M175" s="137" t="s">
        <v>513</v>
      </c>
      <c r="N175" s="81">
        <v>15112</v>
      </c>
      <c r="O175" s="137" t="s">
        <v>341</v>
      </c>
      <c r="P175" s="137" t="s">
        <v>340</v>
      </c>
      <c r="Q175" s="137"/>
    </row>
    <row r="176" spans="2:17" s="109" customFormat="1" ht="23.1" customHeight="1" x14ac:dyDescent="0.25">
      <c r="B176" s="79" t="s">
        <v>122</v>
      </c>
      <c r="C176" s="137" t="s">
        <v>433</v>
      </c>
      <c r="D176" s="97">
        <v>53087.015102660989</v>
      </c>
      <c r="E176" s="97">
        <f t="shared" si="6"/>
        <v>55828.178675634656</v>
      </c>
      <c r="F176" s="97">
        <v>53087.015102660989</v>
      </c>
      <c r="G176" s="97">
        <f t="shared" si="7"/>
        <v>55828.178675634656</v>
      </c>
      <c r="H176" s="137" t="s">
        <v>344</v>
      </c>
      <c r="I176" s="137" t="s">
        <v>286</v>
      </c>
      <c r="J176" s="137" t="s">
        <v>283</v>
      </c>
      <c r="K176" s="137" t="s">
        <v>289</v>
      </c>
      <c r="L176" s="137" t="s">
        <v>291</v>
      </c>
      <c r="M176" s="137" t="s">
        <v>391</v>
      </c>
      <c r="N176" s="137">
        <v>16040</v>
      </c>
      <c r="O176" s="137" t="s">
        <v>341</v>
      </c>
      <c r="P176" s="137" t="s">
        <v>340</v>
      </c>
      <c r="Q176" s="137"/>
    </row>
    <row r="177" spans="2:17" s="109" customFormat="1" ht="23.1" customHeight="1" x14ac:dyDescent="0.25">
      <c r="B177" s="79" t="s">
        <v>122</v>
      </c>
      <c r="C177" s="137" t="s">
        <v>434</v>
      </c>
      <c r="D177" s="97">
        <v>25951.752063691671</v>
      </c>
      <c r="E177" s="97">
        <f t="shared" si="6"/>
        <v>27291.778382260673</v>
      </c>
      <c r="F177" s="97">
        <v>25951.752063691671</v>
      </c>
      <c r="G177" s="97">
        <f t="shared" si="7"/>
        <v>27291.778382260673</v>
      </c>
      <c r="H177" s="137" t="s">
        <v>344</v>
      </c>
      <c r="I177" s="137" t="s">
        <v>286</v>
      </c>
      <c r="J177" s="137" t="s">
        <v>283</v>
      </c>
      <c r="K177" s="137" t="s">
        <v>289</v>
      </c>
      <c r="L177" s="137" t="s">
        <v>291</v>
      </c>
      <c r="M177" s="137" t="s">
        <v>507</v>
      </c>
      <c r="N177" s="137">
        <v>43030</v>
      </c>
      <c r="O177" s="137" t="s">
        <v>341</v>
      </c>
      <c r="P177" s="137" t="s">
        <v>340</v>
      </c>
      <c r="Q177" s="137"/>
    </row>
    <row r="178" spans="2:17" s="109" customFormat="1" ht="24" x14ac:dyDescent="0.25">
      <c r="B178" s="79" t="s">
        <v>122</v>
      </c>
      <c r="C178" s="135" t="s">
        <v>598</v>
      </c>
      <c r="D178" s="97">
        <v>608539.50161680579</v>
      </c>
      <c r="E178" s="97">
        <f t="shared" si="6"/>
        <v>639961.61701209994</v>
      </c>
      <c r="F178" s="97">
        <v>608539.50161680579</v>
      </c>
      <c r="G178" s="97">
        <f t="shared" si="7"/>
        <v>639961.61701209994</v>
      </c>
      <c r="H178" s="137" t="s">
        <v>344</v>
      </c>
      <c r="I178" s="137" t="s">
        <v>285</v>
      </c>
      <c r="J178" s="137" t="s">
        <v>283</v>
      </c>
      <c r="K178" s="137" t="s">
        <v>289</v>
      </c>
      <c r="L178" s="137" t="s">
        <v>292</v>
      </c>
      <c r="M178" s="137" t="s">
        <v>295</v>
      </c>
      <c r="N178" s="137">
        <v>31130</v>
      </c>
      <c r="O178" s="137" t="s">
        <v>341</v>
      </c>
      <c r="P178" s="137" t="s">
        <v>340</v>
      </c>
      <c r="Q178" s="137"/>
    </row>
    <row r="179" spans="2:17" s="109" customFormat="1" ht="36" x14ac:dyDescent="0.25">
      <c r="B179" s="79" t="s">
        <v>122</v>
      </c>
      <c r="C179" s="135" t="s">
        <v>599</v>
      </c>
      <c r="D179" s="97">
        <v>1865231.0469432182</v>
      </c>
      <c r="E179" s="97">
        <f t="shared" si="6"/>
        <v>1961542.7983418007</v>
      </c>
      <c r="F179" s="97">
        <v>1865231.0469432182</v>
      </c>
      <c r="G179" s="97">
        <f t="shared" si="7"/>
        <v>1961542.7983418007</v>
      </c>
      <c r="H179" s="137" t="s">
        <v>344</v>
      </c>
      <c r="I179" s="137" t="s">
        <v>285</v>
      </c>
      <c r="J179" s="137" t="s">
        <v>283</v>
      </c>
      <c r="K179" s="137" t="s">
        <v>289</v>
      </c>
      <c r="L179" s="137" t="s">
        <v>292</v>
      </c>
      <c r="M179" s="137" t="s">
        <v>298</v>
      </c>
      <c r="N179" s="81">
        <v>31220</v>
      </c>
      <c r="O179" s="137" t="s">
        <v>341</v>
      </c>
      <c r="P179" s="137" t="s">
        <v>340</v>
      </c>
      <c r="Q179" s="137"/>
    </row>
    <row r="180" spans="2:17" s="109" customFormat="1" ht="23.1" customHeight="1" x14ac:dyDescent="0.25">
      <c r="B180" s="79" t="s">
        <v>122</v>
      </c>
      <c r="C180" s="137" t="s">
        <v>435</v>
      </c>
      <c r="D180" s="97">
        <v>54328.460001172498</v>
      </c>
      <c r="E180" s="97">
        <f t="shared" si="6"/>
        <v>57133.725945075719</v>
      </c>
      <c r="F180" s="97">
        <v>54328.460001172498</v>
      </c>
      <c r="G180" s="97">
        <f t="shared" si="7"/>
        <v>57133.725945075719</v>
      </c>
      <c r="H180" s="137" t="s">
        <v>344</v>
      </c>
      <c r="I180" s="137" t="s">
        <v>286</v>
      </c>
      <c r="J180" s="137" t="s">
        <v>283</v>
      </c>
      <c r="K180" s="137" t="s">
        <v>289</v>
      </c>
      <c r="L180" s="137" t="s">
        <v>292</v>
      </c>
      <c r="M180" s="137" t="s">
        <v>295</v>
      </c>
      <c r="N180" s="81">
        <v>31130</v>
      </c>
      <c r="O180" s="137" t="s">
        <v>341</v>
      </c>
      <c r="P180" s="137" t="s">
        <v>340</v>
      </c>
      <c r="Q180" s="137"/>
    </row>
    <row r="181" spans="2:17" s="109" customFormat="1" ht="23.1" customHeight="1" x14ac:dyDescent="0.25">
      <c r="B181" s="79" t="s">
        <v>122</v>
      </c>
      <c r="C181" s="137" t="s">
        <v>436</v>
      </c>
      <c r="D181" s="97">
        <v>77274.475135966335</v>
      </c>
      <c r="E181" s="97">
        <f t="shared" si="6"/>
        <v>81264.565291793391</v>
      </c>
      <c r="F181" s="97">
        <v>77274.475135966335</v>
      </c>
      <c r="G181" s="97">
        <f t="shared" si="7"/>
        <v>81264.565291793391</v>
      </c>
      <c r="H181" s="137" t="s">
        <v>344</v>
      </c>
      <c r="I181" s="137" t="s">
        <v>286</v>
      </c>
      <c r="J181" s="137" t="s">
        <v>283</v>
      </c>
      <c r="K181" s="137" t="s">
        <v>289</v>
      </c>
      <c r="L181" s="137" t="s">
        <v>292</v>
      </c>
      <c r="M181" s="137" t="s">
        <v>295</v>
      </c>
      <c r="N181" s="137">
        <v>31161</v>
      </c>
      <c r="O181" s="137" t="s">
        <v>341</v>
      </c>
      <c r="P181" s="137" t="s">
        <v>341</v>
      </c>
      <c r="Q181" s="137"/>
    </row>
    <row r="182" spans="2:17" s="109" customFormat="1" ht="23.1" customHeight="1" x14ac:dyDescent="0.25">
      <c r="B182" s="79" t="s">
        <v>122</v>
      </c>
      <c r="C182" s="137" t="s">
        <v>437</v>
      </c>
      <c r="D182" s="97">
        <v>41409.252221994931</v>
      </c>
      <c r="E182" s="97">
        <f t="shared" si="6"/>
        <v>43547.431088437203</v>
      </c>
      <c r="F182" s="97">
        <v>41409.252221994931</v>
      </c>
      <c r="G182" s="97">
        <f t="shared" si="7"/>
        <v>43547.431088437203</v>
      </c>
      <c r="H182" s="137" t="s">
        <v>344</v>
      </c>
      <c r="I182" s="137" t="s">
        <v>286</v>
      </c>
      <c r="J182" s="137" t="s">
        <v>283</v>
      </c>
      <c r="K182" s="137" t="s">
        <v>289</v>
      </c>
      <c r="L182" s="137" t="s">
        <v>292</v>
      </c>
      <c r="M182" s="137" t="s">
        <v>295</v>
      </c>
      <c r="N182" s="137">
        <v>31163</v>
      </c>
      <c r="O182" s="137" t="s">
        <v>341</v>
      </c>
      <c r="P182" s="137" t="s">
        <v>341</v>
      </c>
      <c r="Q182" s="137"/>
    </row>
    <row r="183" spans="2:17" s="109" customFormat="1" ht="23.1" customHeight="1" x14ac:dyDescent="0.25">
      <c r="B183" s="79" t="s">
        <v>122</v>
      </c>
      <c r="C183" s="137" t="s">
        <v>438</v>
      </c>
      <c r="D183" s="97">
        <v>15380.86512934201</v>
      </c>
      <c r="E183" s="97">
        <f t="shared" si="6"/>
        <v>16175.060605049965</v>
      </c>
      <c r="F183" s="97">
        <v>15380.86512934201</v>
      </c>
      <c r="G183" s="97">
        <f t="shared" si="7"/>
        <v>16175.060605049965</v>
      </c>
      <c r="H183" s="137" t="s">
        <v>344</v>
      </c>
      <c r="I183" s="137" t="s">
        <v>286</v>
      </c>
      <c r="J183" s="137" t="s">
        <v>283</v>
      </c>
      <c r="K183" s="137" t="s">
        <v>289</v>
      </c>
      <c r="L183" s="137" t="s">
        <v>292</v>
      </c>
      <c r="M183" s="137" t="s">
        <v>295</v>
      </c>
      <c r="N183" s="81">
        <v>31194</v>
      </c>
      <c r="O183" s="137" t="s">
        <v>341</v>
      </c>
      <c r="P183" s="137" t="s">
        <v>340</v>
      </c>
      <c r="Q183" s="137"/>
    </row>
    <row r="184" spans="2:17" s="109" customFormat="1" ht="23.1" customHeight="1" x14ac:dyDescent="0.25">
      <c r="B184" s="79" t="s">
        <v>122</v>
      </c>
      <c r="C184" s="137" t="s">
        <v>439</v>
      </c>
      <c r="D184" s="97">
        <v>11211.346086101203</v>
      </c>
      <c r="E184" s="97">
        <f t="shared" si="6"/>
        <v>11790.24722484089</v>
      </c>
      <c r="F184" s="97">
        <v>11211.346086101203</v>
      </c>
      <c r="G184" s="97">
        <f t="shared" si="7"/>
        <v>11790.24722484089</v>
      </c>
      <c r="H184" s="137"/>
      <c r="I184" s="137" t="s">
        <v>286</v>
      </c>
      <c r="J184" s="137" t="s">
        <v>283</v>
      </c>
      <c r="K184" s="137" t="s">
        <v>289</v>
      </c>
      <c r="L184" s="137" t="s">
        <v>293</v>
      </c>
      <c r="M184" s="137" t="s">
        <v>514</v>
      </c>
      <c r="N184" s="137">
        <v>32310</v>
      </c>
      <c r="O184" s="137" t="s">
        <v>340</v>
      </c>
      <c r="P184" s="137" t="s">
        <v>340</v>
      </c>
      <c r="Q184" s="137"/>
    </row>
    <row r="185" spans="2:17" s="109" customFormat="1" ht="23.1" customHeight="1" x14ac:dyDescent="0.25">
      <c r="B185" s="79" t="s">
        <v>129</v>
      </c>
      <c r="C185" s="137" t="s">
        <v>440</v>
      </c>
      <c r="D185" s="97">
        <v>979.28536113029099</v>
      </c>
      <c r="E185" s="97">
        <f t="shared" si="6"/>
        <v>1029.8510475657704</v>
      </c>
      <c r="F185" s="97">
        <v>979.28536113029099</v>
      </c>
      <c r="G185" s="97">
        <f t="shared" si="7"/>
        <v>1029.8510475657704</v>
      </c>
      <c r="H185" s="137" t="s">
        <v>344</v>
      </c>
      <c r="I185" s="137" t="s">
        <v>286</v>
      </c>
      <c r="J185" s="137" t="s">
        <v>283</v>
      </c>
      <c r="K185" s="137" t="s">
        <v>289</v>
      </c>
      <c r="L185" s="137" t="s">
        <v>291</v>
      </c>
      <c r="M185" s="137" t="s">
        <v>512</v>
      </c>
      <c r="N185" s="81">
        <v>14031</v>
      </c>
      <c r="O185" s="137" t="s">
        <v>341</v>
      </c>
      <c r="P185" s="137" t="s">
        <v>340</v>
      </c>
      <c r="Q185" s="137"/>
    </row>
    <row r="186" spans="2:17" s="109" customFormat="1" ht="23.1" customHeight="1" x14ac:dyDescent="0.25">
      <c r="B186" s="79" t="s">
        <v>129</v>
      </c>
      <c r="C186" s="137" t="s">
        <v>441</v>
      </c>
      <c r="D186" s="97">
        <v>22664.89133481904</v>
      </c>
      <c r="E186" s="97">
        <f t="shared" si="6"/>
        <v>23835.19963699552</v>
      </c>
      <c r="F186" s="97">
        <v>22664.89133481904</v>
      </c>
      <c r="G186" s="97">
        <f t="shared" si="7"/>
        <v>23835.19963699552</v>
      </c>
      <c r="H186" s="137" t="s">
        <v>344</v>
      </c>
      <c r="I186" s="137" t="s">
        <v>286</v>
      </c>
      <c r="J186" s="137" t="s">
        <v>283</v>
      </c>
      <c r="K186" s="137" t="s">
        <v>289</v>
      </c>
      <c r="L186" s="137" t="s">
        <v>291</v>
      </c>
      <c r="M186" s="137" t="s">
        <v>391</v>
      </c>
      <c r="N186" s="137">
        <v>16040</v>
      </c>
      <c r="O186" s="137" t="s">
        <v>341</v>
      </c>
      <c r="P186" s="137" t="s">
        <v>341</v>
      </c>
      <c r="Q186" s="137"/>
    </row>
    <row r="187" spans="2:17" s="109" customFormat="1" ht="23.1" customHeight="1" x14ac:dyDescent="0.25">
      <c r="B187" s="79" t="s">
        <v>129</v>
      </c>
      <c r="C187" s="137" t="s">
        <v>442</v>
      </c>
      <c r="D187" s="97">
        <v>4623.72972867308</v>
      </c>
      <c r="E187" s="97">
        <f t="shared" si="6"/>
        <v>4862.477367413062</v>
      </c>
      <c r="F187" s="97">
        <v>4623.72972867308</v>
      </c>
      <c r="G187" s="97">
        <f t="shared" si="7"/>
        <v>4862.477367413062</v>
      </c>
      <c r="H187" s="137" t="s">
        <v>344</v>
      </c>
      <c r="I187" s="137" t="s">
        <v>286</v>
      </c>
      <c r="J187" s="137" t="s">
        <v>283</v>
      </c>
      <c r="K187" s="137" t="s">
        <v>289</v>
      </c>
      <c r="L187" s="137" t="s">
        <v>291</v>
      </c>
      <c r="M187" s="137" t="s">
        <v>507</v>
      </c>
      <c r="N187" s="137">
        <v>43040</v>
      </c>
      <c r="O187" s="137" t="s">
        <v>341</v>
      </c>
      <c r="P187" s="137" t="s">
        <v>340</v>
      </c>
      <c r="Q187" s="137"/>
    </row>
    <row r="188" spans="2:17" s="109" customFormat="1" ht="23.1" customHeight="1" x14ac:dyDescent="0.25">
      <c r="B188" s="79" t="s">
        <v>117</v>
      </c>
      <c r="C188" s="137" t="s">
        <v>430</v>
      </c>
      <c r="D188" s="97">
        <v>1201908.8033111386</v>
      </c>
      <c r="E188" s="97">
        <f t="shared" si="6"/>
        <v>1263969.7163856754</v>
      </c>
      <c r="F188" s="97">
        <v>1201908.8033111386</v>
      </c>
      <c r="G188" s="97">
        <f t="shared" si="7"/>
        <v>1263969.7163856754</v>
      </c>
      <c r="H188" s="137" t="s">
        <v>344</v>
      </c>
      <c r="I188" s="137" t="s">
        <v>285</v>
      </c>
      <c r="J188" s="137" t="s">
        <v>283</v>
      </c>
      <c r="K188" s="137" t="s">
        <v>289</v>
      </c>
      <c r="L188" s="137" t="s">
        <v>291</v>
      </c>
      <c r="M188" s="137" t="s">
        <v>511</v>
      </c>
      <c r="N188" s="81">
        <v>52010</v>
      </c>
      <c r="O188" s="137" t="s">
        <v>340</v>
      </c>
      <c r="P188" s="137" t="s">
        <v>340</v>
      </c>
      <c r="Q188" s="137"/>
    </row>
    <row r="189" spans="2:17" s="109" customFormat="1" ht="23.1" customHeight="1" x14ac:dyDescent="0.25">
      <c r="B189" s="79" t="s">
        <v>117</v>
      </c>
      <c r="C189" s="137" t="s">
        <v>583</v>
      </c>
      <c r="D189" s="97">
        <v>1423737.4249192341</v>
      </c>
      <c r="E189" s="97">
        <f t="shared" si="6"/>
        <v>1497252.5238397666</v>
      </c>
      <c r="F189" s="97">
        <v>1423737.4249192341</v>
      </c>
      <c r="G189" s="97">
        <f t="shared" si="7"/>
        <v>1497252.5238397666</v>
      </c>
      <c r="H189" s="137" t="s">
        <v>344</v>
      </c>
      <c r="I189" s="137" t="s">
        <v>285</v>
      </c>
      <c r="J189" s="137" t="s">
        <v>283</v>
      </c>
      <c r="K189" s="137" t="s">
        <v>289</v>
      </c>
      <c r="L189" s="137" t="s">
        <v>292</v>
      </c>
      <c r="M189" s="137" t="s">
        <v>512</v>
      </c>
      <c r="N189" s="81">
        <v>14010</v>
      </c>
      <c r="O189" s="137" t="s">
        <v>341</v>
      </c>
      <c r="P189" s="137" t="s">
        <v>341</v>
      </c>
      <c r="Q189" s="137"/>
    </row>
    <row r="190" spans="2:17" s="109" customFormat="1" ht="23.1" customHeight="1" x14ac:dyDescent="0.25">
      <c r="B190" s="79" t="s">
        <v>117</v>
      </c>
      <c r="C190" s="137" t="s">
        <v>586</v>
      </c>
      <c r="D190" s="97">
        <v>323568.99983819341</v>
      </c>
      <c r="E190" s="97">
        <f t="shared" si="6"/>
        <v>340276.57991186605</v>
      </c>
      <c r="F190" s="97">
        <v>323568.99983819341</v>
      </c>
      <c r="G190" s="97">
        <f t="shared" si="7"/>
        <v>340276.57991186605</v>
      </c>
      <c r="H190" s="137" t="s">
        <v>344</v>
      </c>
      <c r="I190" s="137" t="s">
        <v>285</v>
      </c>
      <c r="J190" s="137" t="s">
        <v>283</v>
      </c>
      <c r="K190" s="137" t="s">
        <v>289</v>
      </c>
      <c r="L190" s="137" t="s">
        <v>292</v>
      </c>
      <c r="M190" s="137" t="s">
        <v>333</v>
      </c>
      <c r="N190" s="81">
        <v>23110</v>
      </c>
      <c r="O190" s="137" t="s">
        <v>341</v>
      </c>
      <c r="P190" s="137" t="s">
        <v>341</v>
      </c>
      <c r="Q190" s="137"/>
    </row>
    <row r="191" spans="2:17" s="109" customFormat="1" ht="23.1" customHeight="1" x14ac:dyDescent="0.25">
      <c r="B191" s="79" t="s">
        <v>117</v>
      </c>
      <c r="C191" s="137" t="s">
        <v>585</v>
      </c>
      <c r="D191" s="97">
        <v>367319.98385781434</v>
      </c>
      <c r="E191" s="97">
        <f t="shared" si="6"/>
        <v>386286.6588051471</v>
      </c>
      <c r="F191" s="97">
        <v>367319.98385781434</v>
      </c>
      <c r="G191" s="97">
        <f t="shared" si="7"/>
        <v>386286.6588051471</v>
      </c>
      <c r="H191" s="137" t="s">
        <v>344</v>
      </c>
      <c r="I191" s="137" t="s">
        <v>285</v>
      </c>
      <c r="J191" s="137" t="s">
        <v>283</v>
      </c>
      <c r="K191" s="137" t="s">
        <v>289</v>
      </c>
      <c r="L191" s="137" t="s">
        <v>292</v>
      </c>
      <c r="M191" s="137" t="s">
        <v>512</v>
      </c>
      <c r="N191" s="137">
        <v>14021</v>
      </c>
      <c r="O191" s="137" t="s">
        <v>341</v>
      </c>
      <c r="P191" s="137" t="s">
        <v>341</v>
      </c>
      <c r="Q191" s="137"/>
    </row>
    <row r="192" spans="2:17" s="109" customFormat="1" ht="48" x14ac:dyDescent="0.25">
      <c r="B192" s="79" t="s">
        <v>117</v>
      </c>
      <c r="C192" s="137" t="s">
        <v>601</v>
      </c>
      <c r="D192" s="97">
        <v>73713.86496204877</v>
      </c>
      <c r="E192" s="97">
        <f t="shared" si="6"/>
        <v>77520.101968712566</v>
      </c>
      <c r="F192" s="97">
        <v>73713.86496204877</v>
      </c>
      <c r="G192" s="97">
        <f t="shared" si="7"/>
        <v>77520.101968712566</v>
      </c>
      <c r="H192" s="137" t="s">
        <v>344</v>
      </c>
      <c r="I192" s="137" t="s">
        <v>285</v>
      </c>
      <c r="J192" s="137" t="s">
        <v>283</v>
      </c>
      <c r="K192" s="137" t="s">
        <v>289</v>
      </c>
      <c r="L192" s="137" t="s">
        <v>293</v>
      </c>
      <c r="M192" s="137" t="s">
        <v>333</v>
      </c>
      <c r="N192" s="81">
        <v>23110</v>
      </c>
      <c r="O192" s="137" t="s">
        <v>341</v>
      </c>
      <c r="P192" s="137" t="s">
        <v>341</v>
      </c>
      <c r="Q192" s="137"/>
    </row>
    <row r="193" spans="2:17" s="109" customFormat="1" ht="23.1" customHeight="1" x14ac:dyDescent="0.25">
      <c r="B193" s="79" t="s">
        <v>131</v>
      </c>
      <c r="C193" s="137" t="s">
        <v>444</v>
      </c>
      <c r="D193" s="97">
        <v>144.56627284270175</v>
      </c>
      <c r="E193" s="97">
        <f t="shared" si="6"/>
        <v>152.03099468156668</v>
      </c>
      <c r="F193" s="97">
        <v>144.56627284270175</v>
      </c>
      <c r="G193" s="97">
        <f t="shared" si="7"/>
        <v>152.03099468156668</v>
      </c>
      <c r="H193" s="137" t="s">
        <v>344</v>
      </c>
      <c r="I193" s="137" t="s">
        <v>286</v>
      </c>
      <c r="J193" s="137" t="s">
        <v>283</v>
      </c>
      <c r="K193" s="137" t="s">
        <v>289</v>
      </c>
      <c r="L193" s="137" t="s">
        <v>291</v>
      </c>
      <c r="M193" s="137" t="s">
        <v>295</v>
      </c>
      <c r="N193" s="81">
        <v>31120</v>
      </c>
      <c r="O193" s="137" t="s">
        <v>341</v>
      </c>
      <c r="P193" s="137" t="s">
        <v>340</v>
      </c>
      <c r="Q193" s="137"/>
    </row>
    <row r="194" spans="2:17" s="109" customFormat="1" ht="23.1" customHeight="1" x14ac:dyDescent="0.25">
      <c r="B194" s="79" t="s">
        <v>131</v>
      </c>
      <c r="C194" s="137" t="s">
        <v>445</v>
      </c>
      <c r="D194" s="97">
        <v>144.56627284270175</v>
      </c>
      <c r="E194" s="97">
        <f t="shared" si="6"/>
        <v>152.03099468156668</v>
      </c>
      <c r="F194" s="97">
        <v>144.56627284270175</v>
      </c>
      <c r="G194" s="97">
        <f t="shared" si="7"/>
        <v>152.03099468156668</v>
      </c>
      <c r="H194" s="137" t="s">
        <v>344</v>
      </c>
      <c r="I194" s="137" t="s">
        <v>286</v>
      </c>
      <c r="J194" s="137" t="s">
        <v>283</v>
      </c>
      <c r="K194" s="137" t="s">
        <v>289</v>
      </c>
      <c r="L194" s="137" t="s">
        <v>291</v>
      </c>
      <c r="M194" s="137" t="s">
        <v>295</v>
      </c>
      <c r="N194" s="137">
        <v>31181</v>
      </c>
      <c r="O194" s="137" t="s">
        <v>341</v>
      </c>
      <c r="P194" s="137" t="s">
        <v>340</v>
      </c>
      <c r="Q194" s="137"/>
    </row>
    <row r="195" spans="2:17" s="109" customFormat="1" ht="23.1" customHeight="1" x14ac:dyDescent="0.25">
      <c r="B195" s="79" t="s">
        <v>131</v>
      </c>
      <c r="C195" s="137" t="s">
        <v>446</v>
      </c>
      <c r="D195" s="97">
        <v>85.66644376900706</v>
      </c>
      <c r="E195" s="97">
        <f t="shared" si="6"/>
        <v>90.089855683044547</v>
      </c>
      <c r="F195" s="97">
        <v>85.66644376900706</v>
      </c>
      <c r="G195" s="97">
        <f t="shared" si="7"/>
        <v>90.089855683044547</v>
      </c>
      <c r="H195" s="137" t="s">
        <v>344</v>
      </c>
      <c r="I195" s="137" t="s">
        <v>286</v>
      </c>
      <c r="J195" s="137" t="s">
        <v>283</v>
      </c>
      <c r="K195" s="137" t="s">
        <v>289</v>
      </c>
      <c r="L195" s="137" t="s">
        <v>291</v>
      </c>
      <c r="M195" s="137" t="s">
        <v>507</v>
      </c>
      <c r="N195" s="137">
        <v>43040</v>
      </c>
      <c r="O195" s="137" t="s">
        <v>341</v>
      </c>
      <c r="P195" s="137" t="s">
        <v>340</v>
      </c>
      <c r="Q195" s="137"/>
    </row>
    <row r="196" spans="2:17" s="109" customFormat="1" ht="23.1" customHeight="1" x14ac:dyDescent="0.25">
      <c r="B196" s="79" t="s">
        <v>131</v>
      </c>
      <c r="C196" s="137" t="s">
        <v>447</v>
      </c>
      <c r="D196" s="97">
        <v>144.56627284270175</v>
      </c>
      <c r="E196" s="97">
        <f t="shared" si="6"/>
        <v>152.03099468156668</v>
      </c>
      <c r="F196" s="97">
        <v>144.56627284270175</v>
      </c>
      <c r="G196" s="97">
        <f t="shared" si="7"/>
        <v>152.03099468156668</v>
      </c>
      <c r="H196" s="137" t="s">
        <v>344</v>
      </c>
      <c r="I196" s="137" t="s">
        <v>286</v>
      </c>
      <c r="J196" s="137" t="s">
        <v>283</v>
      </c>
      <c r="K196" s="137" t="s">
        <v>289</v>
      </c>
      <c r="L196" s="137" t="s">
        <v>291</v>
      </c>
      <c r="M196" s="137" t="s">
        <v>507</v>
      </c>
      <c r="N196" s="81">
        <v>43072</v>
      </c>
      <c r="O196" s="137" t="s">
        <v>341</v>
      </c>
      <c r="P196" s="137" t="s">
        <v>340</v>
      </c>
      <c r="Q196" s="137"/>
    </row>
    <row r="197" spans="2:17" s="109" customFormat="1" ht="23.1" customHeight="1" x14ac:dyDescent="0.25">
      <c r="B197" s="79" t="s">
        <v>405</v>
      </c>
      <c r="C197" s="137" t="s">
        <v>607</v>
      </c>
      <c r="D197" s="97">
        <v>76929.289897694893</v>
      </c>
      <c r="E197" s="97">
        <f t="shared" si="6"/>
        <v>80901.5563126458</v>
      </c>
      <c r="F197" s="97">
        <v>76929.289897694893</v>
      </c>
      <c r="G197" s="97">
        <f t="shared" si="7"/>
        <v>80901.5563126458</v>
      </c>
      <c r="H197" s="137" t="s">
        <v>344</v>
      </c>
      <c r="I197" s="137" t="s">
        <v>287</v>
      </c>
      <c r="J197" s="137" t="s">
        <v>283</v>
      </c>
      <c r="K197" s="137" t="s">
        <v>289</v>
      </c>
      <c r="L197" s="137" t="s">
        <v>292</v>
      </c>
      <c r="M197" s="137" t="s">
        <v>298</v>
      </c>
      <c r="N197" s="137">
        <v>31220</v>
      </c>
      <c r="O197" s="137" t="s">
        <v>341</v>
      </c>
      <c r="P197" s="137" t="s">
        <v>340</v>
      </c>
      <c r="Q197" s="137"/>
    </row>
    <row r="198" spans="2:17" s="109" customFormat="1" ht="23.1" customHeight="1" x14ac:dyDescent="0.25">
      <c r="B198" s="79" t="s">
        <v>137</v>
      </c>
      <c r="C198" s="137" t="s">
        <v>448</v>
      </c>
      <c r="D198" s="97">
        <v>1842.5840876398315</v>
      </c>
      <c r="E198" s="97">
        <f t="shared" si="6"/>
        <v>1937.7264566619324</v>
      </c>
      <c r="F198" s="97">
        <v>1842.5840876398315</v>
      </c>
      <c r="G198" s="97">
        <f t="shared" si="7"/>
        <v>1937.7264566619324</v>
      </c>
      <c r="H198" s="137" t="s">
        <v>344</v>
      </c>
      <c r="I198" s="137" t="s">
        <v>286</v>
      </c>
      <c r="J198" s="137" t="s">
        <v>283</v>
      </c>
      <c r="K198" s="137" t="s">
        <v>289</v>
      </c>
      <c r="L198" s="137" t="s">
        <v>291</v>
      </c>
      <c r="M198" s="137" t="s">
        <v>510</v>
      </c>
      <c r="N198" s="137">
        <v>11230</v>
      </c>
      <c r="O198" s="137" t="s">
        <v>341</v>
      </c>
      <c r="P198" s="137" t="s">
        <v>340</v>
      </c>
      <c r="Q198" s="137"/>
    </row>
    <row r="199" spans="2:17" s="109" customFormat="1" ht="23.1" customHeight="1" x14ac:dyDescent="0.25">
      <c r="B199" s="79" t="s">
        <v>137</v>
      </c>
      <c r="C199" s="137" t="s">
        <v>444</v>
      </c>
      <c r="D199" s="97">
        <v>570.05425277081338</v>
      </c>
      <c r="E199" s="97">
        <f t="shared" si="6"/>
        <v>599.48917107036846</v>
      </c>
      <c r="F199" s="97">
        <v>570.05425277081338</v>
      </c>
      <c r="G199" s="97">
        <f t="shared" si="7"/>
        <v>599.48917107036846</v>
      </c>
      <c r="H199" s="137" t="s">
        <v>344</v>
      </c>
      <c r="I199" s="137" t="s">
        <v>286</v>
      </c>
      <c r="J199" s="137" t="s">
        <v>283</v>
      </c>
      <c r="K199" s="137" t="s">
        <v>289</v>
      </c>
      <c r="L199" s="137" t="s">
        <v>291</v>
      </c>
      <c r="M199" s="137" t="s">
        <v>295</v>
      </c>
      <c r="N199" s="81">
        <v>31120</v>
      </c>
      <c r="O199" s="137" t="s">
        <v>341</v>
      </c>
      <c r="P199" s="137" t="s">
        <v>340</v>
      </c>
      <c r="Q199" s="137"/>
    </row>
    <row r="200" spans="2:17" s="109" customFormat="1" ht="23.1" customHeight="1" x14ac:dyDescent="0.25">
      <c r="B200" s="79" t="s">
        <v>137</v>
      </c>
      <c r="C200" s="137" t="s">
        <v>446</v>
      </c>
      <c r="D200" s="97">
        <v>87.246727243974689</v>
      </c>
      <c r="E200" s="97">
        <f t="shared" si="6"/>
        <v>91.751737558076243</v>
      </c>
      <c r="F200" s="97">
        <v>87.246727243974689</v>
      </c>
      <c r="G200" s="97">
        <f t="shared" si="7"/>
        <v>91.751737558076243</v>
      </c>
      <c r="H200" s="137" t="s">
        <v>344</v>
      </c>
      <c r="I200" s="137" t="s">
        <v>286</v>
      </c>
      <c r="J200" s="137" t="s">
        <v>283</v>
      </c>
      <c r="K200" s="137" t="s">
        <v>289</v>
      </c>
      <c r="L200" s="137" t="s">
        <v>291</v>
      </c>
      <c r="M200" s="137" t="s">
        <v>507</v>
      </c>
      <c r="N200" s="81">
        <v>43040</v>
      </c>
      <c r="O200" s="137" t="s">
        <v>341</v>
      </c>
      <c r="P200" s="137" t="s">
        <v>340</v>
      </c>
      <c r="Q200" s="137"/>
    </row>
    <row r="201" spans="2:17" s="109" customFormat="1" ht="23.1" customHeight="1" x14ac:dyDescent="0.25">
      <c r="B201" s="79" t="s">
        <v>137</v>
      </c>
      <c r="C201" s="137" t="s">
        <v>447</v>
      </c>
      <c r="D201" s="97">
        <v>594.1349060880915</v>
      </c>
      <c r="E201" s="97">
        <f t="shared" si="6"/>
        <v>624.81323597443634</v>
      </c>
      <c r="F201" s="97">
        <v>594.1349060880915</v>
      </c>
      <c r="G201" s="97">
        <f t="shared" si="7"/>
        <v>624.81323597443634</v>
      </c>
      <c r="H201" s="137" t="s">
        <v>344</v>
      </c>
      <c r="I201" s="137" t="s">
        <v>286</v>
      </c>
      <c r="J201" s="137" t="s">
        <v>283</v>
      </c>
      <c r="K201" s="137" t="s">
        <v>289</v>
      </c>
      <c r="L201" s="137" t="s">
        <v>291</v>
      </c>
      <c r="M201" s="137" t="s">
        <v>507</v>
      </c>
      <c r="N201" s="137">
        <v>43072</v>
      </c>
      <c r="O201" s="137" t="s">
        <v>341</v>
      </c>
      <c r="P201" s="137" t="s">
        <v>340</v>
      </c>
      <c r="Q201" s="137"/>
    </row>
    <row r="202" spans="2:17" s="109" customFormat="1" ht="23.1" customHeight="1" x14ac:dyDescent="0.25">
      <c r="B202" s="79" t="s">
        <v>126</v>
      </c>
      <c r="C202" s="137" t="s">
        <v>449</v>
      </c>
      <c r="D202" s="97">
        <v>42623.456522369466</v>
      </c>
      <c r="E202" s="97">
        <f t="shared" si="6"/>
        <v>44824.331183478251</v>
      </c>
      <c r="F202" s="97">
        <v>42623.456522369466</v>
      </c>
      <c r="G202" s="97">
        <f t="shared" si="7"/>
        <v>44824.331183478251</v>
      </c>
      <c r="H202" s="137" t="s">
        <v>344</v>
      </c>
      <c r="I202" s="137" t="s">
        <v>286</v>
      </c>
      <c r="J202" s="137" t="s">
        <v>283</v>
      </c>
      <c r="K202" s="137" t="s">
        <v>289</v>
      </c>
      <c r="L202" s="137" t="s">
        <v>291</v>
      </c>
      <c r="M202" s="137" t="s">
        <v>391</v>
      </c>
      <c r="N202" s="137">
        <v>16040</v>
      </c>
      <c r="O202" s="137" t="s">
        <v>341</v>
      </c>
      <c r="P202" s="137" t="s">
        <v>340</v>
      </c>
      <c r="Q202" s="137"/>
    </row>
    <row r="203" spans="2:17" s="109" customFormat="1" ht="23.1" customHeight="1" x14ac:dyDescent="0.25">
      <c r="B203" s="79" t="s">
        <v>126</v>
      </c>
      <c r="C203" s="137" t="s">
        <v>450</v>
      </c>
      <c r="D203" s="97">
        <v>8054.7042283737974</v>
      </c>
      <c r="E203" s="97">
        <f t="shared" si="6"/>
        <v>8470.6112402711096</v>
      </c>
      <c r="F203" s="97">
        <v>8054.7042283737974</v>
      </c>
      <c r="G203" s="97">
        <f t="shared" si="7"/>
        <v>8470.6112402711096</v>
      </c>
      <c r="H203" s="137" t="s">
        <v>344</v>
      </c>
      <c r="I203" s="137" t="s">
        <v>286</v>
      </c>
      <c r="J203" s="137" t="s">
        <v>283</v>
      </c>
      <c r="K203" s="137" t="s">
        <v>289</v>
      </c>
      <c r="L203" s="137" t="s">
        <v>291</v>
      </c>
      <c r="M203" s="137" t="s">
        <v>295</v>
      </c>
      <c r="N203" s="137">
        <v>31120</v>
      </c>
      <c r="O203" s="137" t="s">
        <v>341</v>
      </c>
      <c r="P203" s="137" t="s">
        <v>340</v>
      </c>
      <c r="Q203" s="137"/>
    </row>
    <row r="204" spans="2:17" s="109" customFormat="1" ht="23.1" customHeight="1" x14ac:dyDescent="0.25">
      <c r="B204" s="79" t="s">
        <v>126</v>
      </c>
      <c r="C204" s="137" t="s">
        <v>451</v>
      </c>
      <c r="D204" s="97">
        <v>11146.842315686752</v>
      </c>
      <c r="E204" s="97">
        <f t="shared" si="6"/>
        <v>11722.412783349198</v>
      </c>
      <c r="F204" s="97">
        <v>11146.842315686752</v>
      </c>
      <c r="G204" s="97">
        <f t="shared" si="7"/>
        <v>11722.412783349198</v>
      </c>
      <c r="H204" s="137" t="s">
        <v>344</v>
      </c>
      <c r="I204" s="137" t="s">
        <v>286</v>
      </c>
      <c r="J204" s="137" t="s">
        <v>283</v>
      </c>
      <c r="K204" s="137" t="s">
        <v>289</v>
      </c>
      <c r="L204" s="137" t="s">
        <v>291</v>
      </c>
      <c r="M204" s="137" t="s">
        <v>507</v>
      </c>
      <c r="N204" s="81">
        <v>43040</v>
      </c>
      <c r="O204" s="137" t="s">
        <v>341</v>
      </c>
      <c r="P204" s="137" t="s">
        <v>340</v>
      </c>
      <c r="Q204" s="137"/>
    </row>
    <row r="205" spans="2:17" s="109" customFormat="1" ht="23.1" customHeight="1" x14ac:dyDescent="0.25">
      <c r="B205" s="79" t="s">
        <v>132</v>
      </c>
      <c r="C205" s="137" t="s">
        <v>448</v>
      </c>
      <c r="D205" s="97">
        <v>1394.6516178394668</v>
      </c>
      <c r="E205" s="97">
        <f t="shared" si="6"/>
        <v>1466.6648625927719</v>
      </c>
      <c r="F205" s="97">
        <v>1394.6516178394668</v>
      </c>
      <c r="G205" s="97">
        <f t="shared" si="7"/>
        <v>1466.6648625927719</v>
      </c>
      <c r="H205" s="137" t="s">
        <v>344</v>
      </c>
      <c r="I205" s="137" t="s">
        <v>286</v>
      </c>
      <c r="J205" s="137" t="s">
        <v>283</v>
      </c>
      <c r="K205" s="137" t="s">
        <v>289</v>
      </c>
      <c r="L205" s="137" t="s">
        <v>291</v>
      </c>
      <c r="M205" s="137" t="s">
        <v>510</v>
      </c>
      <c r="N205" s="137">
        <v>11230</v>
      </c>
      <c r="O205" s="137" t="s">
        <v>341</v>
      </c>
      <c r="P205" s="137" t="s">
        <v>340</v>
      </c>
      <c r="Q205" s="137"/>
    </row>
    <row r="206" spans="2:17" s="109" customFormat="1" ht="23.1" customHeight="1" x14ac:dyDescent="0.25">
      <c r="B206" s="79" t="s">
        <v>132</v>
      </c>
      <c r="C206" s="137" t="s">
        <v>444</v>
      </c>
      <c r="D206" s="97">
        <v>371.50067429977184</v>
      </c>
      <c r="E206" s="97">
        <f t="shared" si="6"/>
        <v>390.68322042251748</v>
      </c>
      <c r="F206" s="97">
        <v>371.50067429977184</v>
      </c>
      <c r="G206" s="97">
        <f t="shared" si="7"/>
        <v>390.68322042251748</v>
      </c>
      <c r="H206" s="137" t="s">
        <v>344</v>
      </c>
      <c r="I206" s="137" t="s">
        <v>286</v>
      </c>
      <c r="J206" s="137" t="s">
        <v>283</v>
      </c>
      <c r="K206" s="137" t="s">
        <v>289</v>
      </c>
      <c r="L206" s="137" t="s">
        <v>291</v>
      </c>
      <c r="M206" s="137" t="s">
        <v>295</v>
      </c>
      <c r="N206" s="81">
        <v>31120</v>
      </c>
      <c r="O206" s="137" t="s">
        <v>341</v>
      </c>
      <c r="P206" s="137" t="s">
        <v>340</v>
      </c>
      <c r="Q206" s="137"/>
    </row>
    <row r="207" spans="2:17" s="109" customFormat="1" ht="23.1" customHeight="1" x14ac:dyDescent="0.25">
      <c r="B207" s="79" t="s">
        <v>132</v>
      </c>
      <c r="C207" s="137" t="s">
        <v>445</v>
      </c>
      <c r="D207" s="97">
        <v>138.95922701349951</v>
      </c>
      <c r="E207" s="97">
        <f t="shared" si="6"/>
        <v>146.13442739877959</v>
      </c>
      <c r="F207" s="97">
        <v>138.95922701349951</v>
      </c>
      <c r="G207" s="97">
        <f t="shared" si="7"/>
        <v>146.13442739877959</v>
      </c>
      <c r="H207" s="137" t="s">
        <v>344</v>
      </c>
      <c r="I207" s="137" t="s">
        <v>286</v>
      </c>
      <c r="J207" s="137" t="s">
        <v>283</v>
      </c>
      <c r="K207" s="137" t="s">
        <v>289</v>
      </c>
      <c r="L207" s="137" t="s">
        <v>291</v>
      </c>
      <c r="M207" s="137" t="s">
        <v>295</v>
      </c>
      <c r="N207" s="81">
        <v>31181</v>
      </c>
      <c r="O207" s="137" t="s">
        <v>341</v>
      </c>
      <c r="P207" s="137" t="s">
        <v>340</v>
      </c>
      <c r="Q207" s="137"/>
    </row>
    <row r="208" spans="2:17" s="109" customFormat="1" ht="23.1" customHeight="1" x14ac:dyDescent="0.25">
      <c r="B208" s="79" t="s">
        <v>132</v>
      </c>
      <c r="C208" s="137" t="s">
        <v>446</v>
      </c>
      <c r="D208" s="97">
        <v>138.95922701349951</v>
      </c>
      <c r="E208" s="97">
        <f t="shared" si="6"/>
        <v>146.13442739877959</v>
      </c>
      <c r="F208" s="97">
        <v>138.95922701349951</v>
      </c>
      <c r="G208" s="97">
        <f t="shared" si="7"/>
        <v>146.13442739877959</v>
      </c>
      <c r="H208" s="137" t="s">
        <v>344</v>
      </c>
      <c r="I208" s="137" t="s">
        <v>286</v>
      </c>
      <c r="J208" s="137" t="s">
        <v>283</v>
      </c>
      <c r="K208" s="137" t="s">
        <v>289</v>
      </c>
      <c r="L208" s="137" t="s">
        <v>291</v>
      </c>
      <c r="M208" s="137" t="s">
        <v>507</v>
      </c>
      <c r="N208" s="137">
        <v>43040</v>
      </c>
      <c r="O208" s="137" t="s">
        <v>341</v>
      </c>
      <c r="P208" s="137" t="s">
        <v>340</v>
      </c>
      <c r="Q208" s="137"/>
    </row>
    <row r="209" spans="2:17" s="109" customFormat="1" ht="23.1" customHeight="1" x14ac:dyDescent="0.25">
      <c r="B209" s="79" t="s">
        <v>132</v>
      </c>
      <c r="C209" s="137" t="s">
        <v>447</v>
      </c>
      <c r="D209" s="97">
        <v>138.95922701349951</v>
      </c>
      <c r="E209" s="97">
        <f t="shared" si="6"/>
        <v>146.13442739877959</v>
      </c>
      <c r="F209" s="97">
        <v>138.95922701349951</v>
      </c>
      <c r="G209" s="97">
        <f t="shared" si="7"/>
        <v>146.13442739877959</v>
      </c>
      <c r="H209" s="137" t="s">
        <v>344</v>
      </c>
      <c r="I209" s="137" t="s">
        <v>286</v>
      </c>
      <c r="J209" s="137" t="s">
        <v>283</v>
      </c>
      <c r="K209" s="137" t="s">
        <v>289</v>
      </c>
      <c r="L209" s="137" t="s">
        <v>291</v>
      </c>
      <c r="M209" s="137" t="s">
        <v>507</v>
      </c>
      <c r="N209" s="137">
        <v>43072</v>
      </c>
      <c r="O209" s="137" t="s">
        <v>341</v>
      </c>
      <c r="P209" s="137" t="s">
        <v>340</v>
      </c>
      <c r="Q209" s="137"/>
    </row>
    <row r="210" spans="2:17" s="109" customFormat="1" ht="23.1" customHeight="1" x14ac:dyDescent="0.25">
      <c r="B210" s="79" t="s">
        <v>140</v>
      </c>
      <c r="C210" s="137" t="s">
        <v>453</v>
      </c>
      <c r="D210" s="97">
        <v>75837.167908849558</v>
      </c>
      <c r="E210" s="97">
        <f t="shared" si="6"/>
        <v>79753.042285045289</v>
      </c>
      <c r="F210" s="97">
        <v>75837.167908849558</v>
      </c>
      <c r="G210" s="97">
        <f t="shared" si="7"/>
        <v>79753.042285045289</v>
      </c>
      <c r="H210" s="137" t="s">
        <v>344</v>
      </c>
      <c r="I210" s="137" t="s">
        <v>286</v>
      </c>
      <c r="J210" s="137" t="s">
        <v>283</v>
      </c>
      <c r="K210" s="137" t="s">
        <v>289</v>
      </c>
      <c r="L210" s="137" t="s">
        <v>291</v>
      </c>
      <c r="M210" s="137" t="s">
        <v>295</v>
      </c>
      <c r="N210" s="81">
        <v>31181</v>
      </c>
      <c r="O210" s="137" t="s">
        <v>341</v>
      </c>
      <c r="P210" s="137" t="s">
        <v>340</v>
      </c>
      <c r="Q210" s="137"/>
    </row>
    <row r="211" spans="2:17" s="109" customFormat="1" ht="23.1" customHeight="1" x14ac:dyDescent="0.25">
      <c r="B211" s="79" t="s">
        <v>140</v>
      </c>
      <c r="C211" s="137" t="s">
        <v>425</v>
      </c>
      <c r="D211" s="97">
        <v>10591.394208252712</v>
      </c>
      <c r="E211" s="97">
        <f t="shared" si="6"/>
        <v>11138.28395020792</v>
      </c>
      <c r="F211" s="97">
        <v>10591.394208252712</v>
      </c>
      <c r="G211" s="97">
        <f t="shared" si="7"/>
        <v>11138.28395020792</v>
      </c>
      <c r="H211" s="137" t="s">
        <v>344</v>
      </c>
      <c r="I211" s="137" t="s">
        <v>286</v>
      </c>
      <c r="J211" s="137" t="s">
        <v>283</v>
      </c>
      <c r="K211" s="137" t="s">
        <v>289</v>
      </c>
      <c r="L211" s="137" t="s">
        <v>292</v>
      </c>
      <c r="M211" s="137" t="s">
        <v>295</v>
      </c>
      <c r="N211" s="137">
        <v>31194</v>
      </c>
      <c r="O211" s="137" t="s">
        <v>341</v>
      </c>
      <c r="P211" s="137" t="s">
        <v>340</v>
      </c>
      <c r="Q211" s="137"/>
    </row>
    <row r="212" spans="2:17" s="109" customFormat="1" ht="23.1" customHeight="1" x14ac:dyDescent="0.25">
      <c r="B212" s="79" t="s">
        <v>140</v>
      </c>
      <c r="C212" s="137" t="s">
        <v>426</v>
      </c>
      <c r="D212" s="97">
        <v>10591.394208252712</v>
      </c>
      <c r="E212" s="97">
        <f t="shared" si="6"/>
        <v>11138.28395020792</v>
      </c>
      <c r="F212" s="97">
        <v>10591.394208252712</v>
      </c>
      <c r="G212" s="97">
        <f t="shared" si="7"/>
        <v>11138.28395020792</v>
      </c>
      <c r="H212" s="137" t="s">
        <v>344</v>
      </c>
      <c r="I212" s="137" t="s">
        <v>286</v>
      </c>
      <c r="J212" s="137" t="s">
        <v>283</v>
      </c>
      <c r="K212" s="137" t="s">
        <v>289</v>
      </c>
      <c r="L212" s="137" t="s">
        <v>292</v>
      </c>
      <c r="M212" s="137" t="s">
        <v>295</v>
      </c>
      <c r="N212" s="137">
        <v>31194</v>
      </c>
      <c r="O212" s="137" t="s">
        <v>341</v>
      </c>
      <c r="P212" s="137" t="s">
        <v>340</v>
      </c>
      <c r="Q212" s="137"/>
    </row>
    <row r="213" spans="2:17" s="109" customFormat="1" ht="23.1" customHeight="1" x14ac:dyDescent="0.25">
      <c r="B213" s="79" t="s">
        <v>140</v>
      </c>
      <c r="C213" s="137" t="s">
        <v>427</v>
      </c>
      <c r="D213" s="97">
        <v>21182.788416505424</v>
      </c>
      <c r="E213" s="97">
        <f t="shared" si="6"/>
        <v>22276.567900415841</v>
      </c>
      <c r="F213" s="97">
        <v>21182.788416505424</v>
      </c>
      <c r="G213" s="97">
        <f t="shared" si="7"/>
        <v>22276.567900415841</v>
      </c>
      <c r="H213" s="137" t="s">
        <v>344</v>
      </c>
      <c r="I213" s="137" t="s">
        <v>286</v>
      </c>
      <c r="J213" s="137" t="s">
        <v>283</v>
      </c>
      <c r="K213" s="137" t="s">
        <v>289</v>
      </c>
      <c r="L213" s="137" t="s">
        <v>292</v>
      </c>
      <c r="M213" s="137" t="s">
        <v>295</v>
      </c>
      <c r="N213" s="81">
        <v>31194</v>
      </c>
      <c r="O213" s="137" t="s">
        <v>341</v>
      </c>
      <c r="P213" s="137" t="s">
        <v>340</v>
      </c>
      <c r="Q213" s="137"/>
    </row>
    <row r="214" spans="2:17" s="109" customFormat="1" ht="23.1" customHeight="1" x14ac:dyDescent="0.25">
      <c r="B214" s="79" t="s">
        <v>151</v>
      </c>
      <c r="C214" s="137" t="s">
        <v>454</v>
      </c>
      <c r="D214" s="97">
        <v>308501.08063986094</v>
      </c>
      <c r="E214" s="97">
        <f t="shared" si="6"/>
        <v>324430.62429262901</v>
      </c>
      <c r="F214" s="97">
        <v>308501.08063986094</v>
      </c>
      <c r="G214" s="97">
        <f t="shared" si="7"/>
        <v>324430.62429262901</v>
      </c>
      <c r="H214" s="137" t="s">
        <v>344</v>
      </c>
      <c r="I214" s="137" t="s">
        <v>285</v>
      </c>
      <c r="J214" s="137" t="s">
        <v>283</v>
      </c>
      <c r="K214" s="137" t="s">
        <v>289</v>
      </c>
      <c r="L214" s="137" t="s">
        <v>292</v>
      </c>
      <c r="M214" s="137" t="s">
        <v>391</v>
      </c>
      <c r="N214" s="81">
        <v>24040</v>
      </c>
      <c r="O214" s="137" t="s">
        <v>341</v>
      </c>
      <c r="P214" s="137" t="s">
        <v>340</v>
      </c>
      <c r="Q214" s="137"/>
    </row>
    <row r="215" spans="2:17" s="109" customFormat="1" ht="23.1" customHeight="1" x14ac:dyDescent="0.25">
      <c r="B215" s="79" t="s">
        <v>151</v>
      </c>
      <c r="C215" s="137" t="s">
        <v>455</v>
      </c>
      <c r="D215" s="97">
        <v>53795.880000000005</v>
      </c>
      <c r="E215" s="97">
        <f t="shared" si="6"/>
        <v>56573.646019560423</v>
      </c>
      <c r="F215" s="97">
        <v>53795.880000000005</v>
      </c>
      <c r="G215" s="97">
        <f t="shared" si="7"/>
        <v>56573.646019560423</v>
      </c>
      <c r="H215" s="137" t="s">
        <v>344</v>
      </c>
      <c r="I215" s="137" t="s">
        <v>286</v>
      </c>
      <c r="J215" s="137" t="s">
        <v>283</v>
      </c>
      <c r="K215" s="137" t="s">
        <v>289</v>
      </c>
      <c r="L215" s="137" t="s">
        <v>292</v>
      </c>
      <c r="M215" s="137" t="s">
        <v>521</v>
      </c>
      <c r="N215" s="137">
        <v>72010</v>
      </c>
      <c r="O215" s="137" t="s">
        <v>340</v>
      </c>
      <c r="P215" s="137" t="s">
        <v>340</v>
      </c>
      <c r="Q215" s="137"/>
    </row>
    <row r="216" spans="2:17" s="109" customFormat="1" ht="23.1" customHeight="1" x14ac:dyDescent="0.25">
      <c r="B216" s="79" t="s">
        <v>148</v>
      </c>
      <c r="C216" s="137" t="s">
        <v>425</v>
      </c>
      <c r="D216" s="97">
        <v>14091.159250979694</v>
      </c>
      <c r="E216" s="97">
        <f t="shared" si="6"/>
        <v>14818.760385928799</v>
      </c>
      <c r="F216" s="97">
        <v>14091.159250979694</v>
      </c>
      <c r="G216" s="97">
        <f t="shared" si="7"/>
        <v>14818.760385928799</v>
      </c>
      <c r="H216" s="137" t="s">
        <v>344</v>
      </c>
      <c r="I216" s="137" t="s">
        <v>286</v>
      </c>
      <c r="J216" s="137" t="s">
        <v>283</v>
      </c>
      <c r="K216" s="137" t="s">
        <v>289</v>
      </c>
      <c r="L216" s="137" t="s">
        <v>292</v>
      </c>
      <c r="M216" s="137" t="s">
        <v>295</v>
      </c>
      <c r="N216" s="81">
        <v>31194</v>
      </c>
      <c r="O216" s="137" t="s">
        <v>341</v>
      </c>
      <c r="P216" s="137" t="s">
        <v>340</v>
      </c>
      <c r="Q216" s="137"/>
    </row>
    <row r="217" spans="2:17" s="109" customFormat="1" ht="23.1" customHeight="1" x14ac:dyDescent="0.25">
      <c r="B217" s="79" t="s">
        <v>148</v>
      </c>
      <c r="C217" s="137" t="s">
        <v>426</v>
      </c>
      <c r="D217" s="97">
        <v>14091.159250979694</v>
      </c>
      <c r="E217" s="97">
        <f t="shared" ref="E217:E280" si="8">D217*(1/$C$4)</f>
        <v>14818.760385928799</v>
      </c>
      <c r="F217" s="97">
        <v>14091.159250979694</v>
      </c>
      <c r="G217" s="97">
        <f t="shared" ref="G217:G280" si="9">F217*(1/$C$4)</f>
        <v>14818.760385928799</v>
      </c>
      <c r="H217" s="137" t="s">
        <v>344</v>
      </c>
      <c r="I217" s="137" t="s">
        <v>286</v>
      </c>
      <c r="J217" s="137" t="s">
        <v>283</v>
      </c>
      <c r="K217" s="137" t="s">
        <v>289</v>
      </c>
      <c r="L217" s="137" t="s">
        <v>292</v>
      </c>
      <c r="M217" s="137" t="s">
        <v>295</v>
      </c>
      <c r="N217" s="81">
        <v>31194</v>
      </c>
      <c r="O217" s="137" t="s">
        <v>341</v>
      </c>
      <c r="P217" s="137" t="s">
        <v>340</v>
      </c>
      <c r="Q217" s="137"/>
    </row>
    <row r="218" spans="2:17" s="109" customFormat="1" ht="23.1" customHeight="1" x14ac:dyDescent="0.25">
      <c r="B218" s="79" t="s">
        <v>148</v>
      </c>
      <c r="C218" s="137" t="s">
        <v>427</v>
      </c>
      <c r="D218" s="97">
        <v>19796.697261425394</v>
      </c>
      <c r="E218" s="97">
        <f t="shared" si="8"/>
        <v>20818.905522584282</v>
      </c>
      <c r="F218" s="97">
        <v>19796.697261425394</v>
      </c>
      <c r="G218" s="97">
        <f t="shared" si="9"/>
        <v>20818.905522584282</v>
      </c>
      <c r="H218" s="137" t="s">
        <v>344</v>
      </c>
      <c r="I218" s="137" t="s">
        <v>286</v>
      </c>
      <c r="J218" s="137" t="s">
        <v>283</v>
      </c>
      <c r="K218" s="137" t="s">
        <v>289</v>
      </c>
      <c r="L218" s="137" t="s">
        <v>292</v>
      </c>
      <c r="M218" s="137" t="s">
        <v>295</v>
      </c>
      <c r="N218" s="137">
        <v>31194</v>
      </c>
      <c r="O218" s="137" t="s">
        <v>341</v>
      </c>
      <c r="P218" s="137" t="s">
        <v>340</v>
      </c>
      <c r="Q218" s="137"/>
    </row>
    <row r="219" spans="2:17" s="109" customFormat="1" ht="23.1" customHeight="1" x14ac:dyDescent="0.25">
      <c r="B219" s="79" t="s">
        <v>148</v>
      </c>
      <c r="C219" s="137" t="s">
        <v>457</v>
      </c>
      <c r="D219" s="97">
        <v>4766.1273937137203</v>
      </c>
      <c r="E219" s="97">
        <f t="shared" si="8"/>
        <v>5012.2277775935645</v>
      </c>
      <c r="F219" s="97">
        <v>4766.1273937137203</v>
      </c>
      <c r="G219" s="97">
        <f t="shared" si="9"/>
        <v>5012.2277775935645</v>
      </c>
      <c r="H219" s="137" t="s">
        <v>344</v>
      </c>
      <c r="I219" s="137" t="s">
        <v>286</v>
      </c>
      <c r="J219" s="137" t="s">
        <v>283</v>
      </c>
      <c r="K219" s="137" t="s">
        <v>289</v>
      </c>
      <c r="L219" s="137" t="s">
        <v>292</v>
      </c>
      <c r="M219" s="137" t="s">
        <v>295</v>
      </c>
      <c r="N219" s="137">
        <v>31194</v>
      </c>
      <c r="O219" s="137" t="s">
        <v>341</v>
      </c>
      <c r="P219" s="137" t="s">
        <v>340</v>
      </c>
      <c r="Q219" s="137"/>
    </row>
    <row r="220" spans="2:17" s="109" customFormat="1" ht="23.1" customHeight="1" x14ac:dyDescent="0.25">
      <c r="B220" s="79" t="s">
        <v>150</v>
      </c>
      <c r="C220" s="137" t="s">
        <v>458</v>
      </c>
      <c r="D220" s="97">
        <v>70354.411999999997</v>
      </c>
      <c r="E220" s="97">
        <f t="shared" si="8"/>
        <v>73987.18266905038</v>
      </c>
      <c r="F220" s="97">
        <v>70354.411999999997</v>
      </c>
      <c r="G220" s="97">
        <f t="shared" si="9"/>
        <v>73987.18266905038</v>
      </c>
      <c r="H220" s="137" t="s">
        <v>344</v>
      </c>
      <c r="I220" s="137" t="s">
        <v>287</v>
      </c>
      <c r="J220" s="137" t="s">
        <v>283</v>
      </c>
      <c r="K220" s="137" t="s">
        <v>289</v>
      </c>
      <c r="L220" s="137" t="s">
        <v>291</v>
      </c>
      <c r="M220" s="137" t="s">
        <v>513</v>
      </c>
      <c r="N220" s="81">
        <v>15160</v>
      </c>
      <c r="O220" s="137" t="s">
        <v>340</v>
      </c>
      <c r="P220" s="137" t="s">
        <v>340</v>
      </c>
      <c r="Q220" s="137"/>
    </row>
    <row r="221" spans="2:17" s="109" customFormat="1" ht="23.1" customHeight="1" x14ac:dyDescent="0.25">
      <c r="B221" s="79" t="s">
        <v>146</v>
      </c>
      <c r="C221" s="137" t="s">
        <v>459</v>
      </c>
      <c r="D221" s="97">
        <v>1462.413857306143</v>
      </c>
      <c r="E221" s="97">
        <f t="shared" si="8"/>
        <v>1537.9260251405437</v>
      </c>
      <c r="F221" s="97">
        <v>1462.413857306143</v>
      </c>
      <c r="G221" s="97">
        <f t="shared" si="9"/>
        <v>1537.9260251405437</v>
      </c>
      <c r="H221" s="137" t="s">
        <v>344</v>
      </c>
      <c r="I221" s="137" t="s">
        <v>286</v>
      </c>
      <c r="J221" s="137" t="s">
        <v>283</v>
      </c>
      <c r="K221" s="137" t="s">
        <v>289</v>
      </c>
      <c r="L221" s="137" t="s">
        <v>291</v>
      </c>
      <c r="M221" s="137" t="s">
        <v>513</v>
      </c>
      <c r="N221" s="137">
        <v>15160</v>
      </c>
      <c r="O221" s="137" t="s">
        <v>341</v>
      </c>
      <c r="P221" s="137" t="s">
        <v>340</v>
      </c>
      <c r="Q221" s="137"/>
    </row>
    <row r="222" spans="2:17" s="109" customFormat="1" ht="23.1" customHeight="1" x14ac:dyDescent="0.25">
      <c r="B222" s="79" t="s">
        <v>146</v>
      </c>
      <c r="C222" s="137" t="s">
        <v>460</v>
      </c>
      <c r="D222" s="97">
        <v>1436.6708067726042</v>
      </c>
      <c r="E222" s="97">
        <f t="shared" si="8"/>
        <v>1510.85372465307</v>
      </c>
      <c r="F222" s="97">
        <v>1436.6708067726042</v>
      </c>
      <c r="G222" s="97">
        <f t="shared" si="9"/>
        <v>1510.85372465307</v>
      </c>
      <c r="H222" s="137" t="s">
        <v>344</v>
      </c>
      <c r="I222" s="137" t="s">
        <v>286</v>
      </c>
      <c r="J222" s="137" t="s">
        <v>283</v>
      </c>
      <c r="K222" s="137" t="s">
        <v>289</v>
      </c>
      <c r="L222" s="137" t="s">
        <v>291</v>
      </c>
      <c r="M222" s="137" t="s">
        <v>513</v>
      </c>
      <c r="N222" s="81">
        <v>15160</v>
      </c>
      <c r="O222" s="137" t="s">
        <v>341</v>
      </c>
      <c r="P222" s="137" t="s">
        <v>340</v>
      </c>
      <c r="Q222" s="137"/>
    </row>
    <row r="223" spans="2:17" s="109" customFormat="1" ht="23.1" customHeight="1" x14ac:dyDescent="0.25">
      <c r="B223" s="79" t="s">
        <v>146</v>
      </c>
      <c r="C223" s="137" t="s">
        <v>461</v>
      </c>
      <c r="D223" s="97">
        <v>58237.225530003343</v>
      </c>
      <c r="E223" s="97">
        <f t="shared" si="8"/>
        <v>61244.321726788672</v>
      </c>
      <c r="F223" s="97">
        <v>58237.225530003343</v>
      </c>
      <c r="G223" s="97">
        <f t="shared" si="9"/>
        <v>61244.321726788672</v>
      </c>
      <c r="H223" s="137" t="s">
        <v>344</v>
      </c>
      <c r="I223" s="137" t="s">
        <v>286</v>
      </c>
      <c r="J223" s="137" t="s">
        <v>283</v>
      </c>
      <c r="K223" s="137" t="s">
        <v>289</v>
      </c>
      <c r="L223" s="137" t="s">
        <v>291</v>
      </c>
      <c r="M223" s="137" t="s">
        <v>295</v>
      </c>
      <c r="N223" s="81">
        <v>31181</v>
      </c>
      <c r="O223" s="137" t="s">
        <v>341</v>
      </c>
      <c r="P223" s="137" t="s">
        <v>340</v>
      </c>
      <c r="Q223" s="137"/>
    </row>
    <row r="224" spans="2:17" s="109" customFormat="1" ht="23.1" customHeight="1" x14ac:dyDescent="0.25">
      <c r="B224" s="79" t="s">
        <v>146</v>
      </c>
      <c r="C224" s="137" t="s">
        <v>462</v>
      </c>
      <c r="D224" s="97">
        <v>1071.0645588117115</v>
      </c>
      <c r="E224" s="97">
        <f t="shared" si="8"/>
        <v>1126.3692909998019</v>
      </c>
      <c r="F224" s="97">
        <v>1071.0645588117115</v>
      </c>
      <c r="G224" s="97">
        <f t="shared" si="9"/>
        <v>1126.3692909998019</v>
      </c>
      <c r="H224" s="137" t="s">
        <v>344</v>
      </c>
      <c r="I224" s="137" t="s">
        <v>286</v>
      </c>
      <c r="J224" s="137" t="s">
        <v>283</v>
      </c>
      <c r="K224" s="137" t="s">
        <v>289</v>
      </c>
      <c r="L224" s="137" t="s">
        <v>293</v>
      </c>
      <c r="M224" s="137" t="s">
        <v>513</v>
      </c>
      <c r="N224" s="137">
        <v>15160</v>
      </c>
      <c r="O224" s="137" t="s">
        <v>341</v>
      </c>
      <c r="P224" s="137" t="s">
        <v>340</v>
      </c>
      <c r="Q224" s="137"/>
    </row>
    <row r="225" spans="2:17" s="109" customFormat="1" ht="23.1" customHeight="1" x14ac:dyDescent="0.25">
      <c r="B225" s="79" t="s">
        <v>409</v>
      </c>
      <c r="C225" s="137" t="s">
        <v>463</v>
      </c>
      <c r="D225" s="97">
        <v>63237.792000000009</v>
      </c>
      <c r="E225" s="97">
        <f t="shared" si="8"/>
        <v>66503.093911031669</v>
      </c>
      <c r="F225" s="97">
        <v>63237.792000000009</v>
      </c>
      <c r="G225" s="97">
        <f t="shared" si="9"/>
        <v>66503.093911031669</v>
      </c>
      <c r="H225" s="137" t="s">
        <v>344</v>
      </c>
      <c r="I225" s="137" t="s">
        <v>286</v>
      </c>
      <c r="J225" s="137" t="s">
        <v>283</v>
      </c>
      <c r="K225" s="137" t="s">
        <v>289</v>
      </c>
      <c r="L225" s="137" t="s">
        <v>292</v>
      </c>
      <c r="M225" s="137" t="s">
        <v>295</v>
      </c>
      <c r="N225" s="137">
        <v>31120</v>
      </c>
      <c r="O225" s="137" t="s">
        <v>340</v>
      </c>
      <c r="P225" s="137" t="s">
        <v>340</v>
      </c>
      <c r="Q225" s="137"/>
    </row>
    <row r="226" spans="2:17" s="109" customFormat="1" ht="23.1" customHeight="1" x14ac:dyDescent="0.25">
      <c r="B226" s="79" t="s">
        <v>142</v>
      </c>
      <c r="C226" s="137" t="s">
        <v>464</v>
      </c>
      <c r="D226" s="97">
        <v>12071.718278925415</v>
      </c>
      <c r="E226" s="97">
        <f t="shared" si="8"/>
        <v>12695.044987827758</v>
      </c>
      <c r="F226" s="97">
        <v>12071.718278925415</v>
      </c>
      <c r="G226" s="97">
        <f t="shared" si="9"/>
        <v>12695.044987827758</v>
      </c>
      <c r="H226" s="137" t="s">
        <v>344</v>
      </c>
      <c r="I226" s="137" t="s">
        <v>286</v>
      </c>
      <c r="J226" s="137" t="s">
        <v>283</v>
      </c>
      <c r="K226" s="137" t="s">
        <v>289</v>
      </c>
      <c r="L226" s="137" t="s">
        <v>291</v>
      </c>
      <c r="M226" s="137" t="s">
        <v>524</v>
      </c>
      <c r="N226" s="81">
        <v>12230</v>
      </c>
      <c r="O226" s="137" t="s">
        <v>341</v>
      </c>
      <c r="P226" s="137" t="s">
        <v>340</v>
      </c>
      <c r="Q226" s="137"/>
    </row>
    <row r="227" spans="2:17" s="109" customFormat="1" ht="23.1" customHeight="1" x14ac:dyDescent="0.25">
      <c r="B227" s="79" t="s">
        <v>142</v>
      </c>
      <c r="C227" s="137" t="s">
        <v>218</v>
      </c>
      <c r="D227" s="97">
        <v>45071.964949436981</v>
      </c>
      <c r="E227" s="97">
        <f t="shared" si="8"/>
        <v>47399.269060297593</v>
      </c>
      <c r="F227" s="97">
        <v>45071.964949436981</v>
      </c>
      <c r="G227" s="97">
        <f t="shared" si="9"/>
        <v>47399.269060297593</v>
      </c>
      <c r="H227" s="137" t="s">
        <v>344</v>
      </c>
      <c r="I227" s="137" t="s">
        <v>286</v>
      </c>
      <c r="J227" s="137" t="s">
        <v>283</v>
      </c>
      <c r="K227" s="137" t="s">
        <v>289</v>
      </c>
      <c r="L227" s="137" t="s">
        <v>292</v>
      </c>
      <c r="M227" s="137" t="s">
        <v>295</v>
      </c>
      <c r="N227" s="81">
        <v>31120</v>
      </c>
      <c r="O227" s="137" t="s">
        <v>341</v>
      </c>
      <c r="P227" s="137" t="s">
        <v>340</v>
      </c>
      <c r="Q227" s="137"/>
    </row>
    <row r="228" spans="2:17" s="109" customFormat="1" ht="23.1" customHeight="1" x14ac:dyDescent="0.25">
      <c r="B228" s="79" t="s">
        <v>147</v>
      </c>
      <c r="C228" s="137" t="s">
        <v>466</v>
      </c>
      <c r="D228" s="97">
        <v>35990.671156741984</v>
      </c>
      <c r="E228" s="97">
        <f t="shared" si="8"/>
        <v>37849.060002883569</v>
      </c>
      <c r="F228" s="97">
        <v>35990.671156741984</v>
      </c>
      <c r="G228" s="97">
        <f t="shared" si="9"/>
        <v>37849.060002883569</v>
      </c>
      <c r="H228" s="137" t="s">
        <v>344</v>
      </c>
      <c r="I228" s="137" t="s">
        <v>286</v>
      </c>
      <c r="J228" s="137" t="s">
        <v>283</v>
      </c>
      <c r="K228" s="137" t="s">
        <v>289</v>
      </c>
      <c r="L228" s="137" t="s">
        <v>291</v>
      </c>
      <c r="M228" s="137" t="s">
        <v>295</v>
      </c>
      <c r="N228" s="137">
        <v>31166</v>
      </c>
      <c r="O228" s="137" t="s">
        <v>341</v>
      </c>
      <c r="P228" s="137" t="s">
        <v>340</v>
      </c>
      <c r="Q228" s="137"/>
    </row>
    <row r="229" spans="2:17" s="109" customFormat="1" ht="23.1" customHeight="1" x14ac:dyDescent="0.25">
      <c r="B229" s="79" t="s">
        <v>144</v>
      </c>
      <c r="C229" s="137" t="s">
        <v>430</v>
      </c>
      <c r="D229" s="97">
        <v>249920.24524829455</v>
      </c>
      <c r="E229" s="97">
        <f t="shared" si="8"/>
        <v>262824.95030843891</v>
      </c>
      <c r="F229" s="97">
        <v>249920.24524829455</v>
      </c>
      <c r="G229" s="97">
        <f t="shared" si="9"/>
        <v>262824.95030843891</v>
      </c>
      <c r="H229" s="137" t="s">
        <v>344</v>
      </c>
      <c r="I229" s="137" t="s">
        <v>285</v>
      </c>
      <c r="J229" s="137" t="s">
        <v>283</v>
      </c>
      <c r="K229" s="137" t="s">
        <v>289</v>
      </c>
      <c r="L229" s="137" t="s">
        <v>291</v>
      </c>
      <c r="M229" s="137" t="s">
        <v>524</v>
      </c>
      <c r="N229" s="81">
        <v>12240</v>
      </c>
      <c r="O229" s="137" t="s">
        <v>340</v>
      </c>
      <c r="P229" s="137" t="s">
        <v>340</v>
      </c>
      <c r="Q229" s="137"/>
    </row>
    <row r="230" spans="2:17" s="109" customFormat="1" ht="23.1" customHeight="1" x14ac:dyDescent="0.25">
      <c r="B230" s="79" t="s">
        <v>144</v>
      </c>
      <c r="C230" s="137" t="s">
        <v>467</v>
      </c>
      <c r="D230" s="97">
        <v>24144.813287490433</v>
      </c>
      <c r="E230" s="97">
        <f t="shared" si="8"/>
        <v>25391.537793133277</v>
      </c>
      <c r="F230" s="97">
        <v>24144.813287490433</v>
      </c>
      <c r="G230" s="97">
        <f t="shared" si="9"/>
        <v>25391.537793133277</v>
      </c>
      <c r="H230" s="137" t="s">
        <v>344</v>
      </c>
      <c r="I230" s="137" t="s">
        <v>286</v>
      </c>
      <c r="J230" s="137" t="s">
        <v>283</v>
      </c>
      <c r="K230" s="137" t="s">
        <v>289</v>
      </c>
      <c r="L230" s="137" t="s">
        <v>291</v>
      </c>
      <c r="M230" s="137" t="s">
        <v>295</v>
      </c>
      <c r="N230" s="81">
        <v>31194</v>
      </c>
      <c r="O230" s="137" t="s">
        <v>341</v>
      </c>
      <c r="P230" s="137" t="s">
        <v>340</v>
      </c>
      <c r="Q230" s="137"/>
    </row>
    <row r="231" spans="2:17" s="109" customFormat="1" ht="23.1" customHeight="1" x14ac:dyDescent="0.25">
      <c r="B231" s="79" t="s">
        <v>144</v>
      </c>
      <c r="C231" s="137" t="s">
        <v>468</v>
      </c>
      <c r="D231" s="97">
        <v>133773.96071375656</v>
      </c>
      <c r="E231" s="97">
        <f t="shared" si="8"/>
        <v>140681.41835498641</v>
      </c>
      <c r="F231" s="97">
        <v>133773.96071375656</v>
      </c>
      <c r="G231" s="97">
        <f t="shared" si="9"/>
        <v>140681.41835498641</v>
      </c>
      <c r="H231" s="137" t="s">
        <v>344</v>
      </c>
      <c r="I231" s="137" t="s">
        <v>286</v>
      </c>
      <c r="J231" s="137" t="s">
        <v>283</v>
      </c>
      <c r="K231" s="137" t="s">
        <v>289</v>
      </c>
      <c r="L231" s="137" t="s">
        <v>292</v>
      </c>
      <c r="M231" s="137" t="s">
        <v>295</v>
      </c>
      <c r="N231" s="137">
        <v>31161</v>
      </c>
      <c r="O231" s="137" t="s">
        <v>341</v>
      </c>
      <c r="P231" s="137" t="s">
        <v>340</v>
      </c>
      <c r="Q231" s="137"/>
    </row>
    <row r="232" spans="2:17" s="109" customFormat="1" ht="23.1" customHeight="1" x14ac:dyDescent="0.25">
      <c r="B232" s="79" t="s">
        <v>127</v>
      </c>
      <c r="C232" s="137" t="s">
        <v>469</v>
      </c>
      <c r="D232" s="97">
        <v>2631.9728337876663</v>
      </c>
      <c r="E232" s="97">
        <f t="shared" si="8"/>
        <v>2767.8755219136256</v>
      </c>
      <c r="F232" s="97">
        <v>2631.9728337876663</v>
      </c>
      <c r="G232" s="97">
        <f t="shared" si="9"/>
        <v>2767.8755219136256</v>
      </c>
      <c r="H232" s="137" t="s">
        <v>344</v>
      </c>
      <c r="I232" s="137" t="s">
        <v>286</v>
      </c>
      <c r="J232" s="137" t="s">
        <v>283</v>
      </c>
      <c r="K232" s="137" t="s">
        <v>289</v>
      </c>
      <c r="L232" s="137" t="s">
        <v>291</v>
      </c>
      <c r="M232" s="137" t="s">
        <v>512</v>
      </c>
      <c r="N232" s="137">
        <v>14031</v>
      </c>
      <c r="O232" s="137" t="s">
        <v>341</v>
      </c>
      <c r="P232" s="137" t="s">
        <v>341</v>
      </c>
      <c r="Q232" s="137"/>
    </row>
    <row r="233" spans="2:17" s="109" customFormat="1" ht="23.1" customHeight="1" x14ac:dyDescent="0.25">
      <c r="B233" s="79" t="s">
        <v>127</v>
      </c>
      <c r="C233" s="137" t="s">
        <v>470</v>
      </c>
      <c r="D233" s="97">
        <v>28906.536800494261</v>
      </c>
      <c r="E233" s="97">
        <f t="shared" si="8"/>
        <v>30399.134294346684</v>
      </c>
      <c r="F233" s="97">
        <v>28906.536800494261</v>
      </c>
      <c r="G233" s="97">
        <f t="shared" si="9"/>
        <v>30399.134294346684</v>
      </c>
      <c r="H233" s="137" t="s">
        <v>344</v>
      </c>
      <c r="I233" s="137" t="s">
        <v>286</v>
      </c>
      <c r="J233" s="137" t="s">
        <v>283</v>
      </c>
      <c r="K233" s="137" t="s">
        <v>289</v>
      </c>
      <c r="L233" s="137" t="s">
        <v>291</v>
      </c>
      <c r="M233" s="137" t="s">
        <v>391</v>
      </c>
      <c r="N233" s="137">
        <v>16040</v>
      </c>
      <c r="O233" s="137" t="s">
        <v>341</v>
      </c>
      <c r="P233" s="137" t="s">
        <v>341</v>
      </c>
      <c r="Q233" s="137"/>
    </row>
    <row r="234" spans="2:17" s="109" customFormat="1" ht="23.1" customHeight="1" x14ac:dyDescent="0.25">
      <c r="B234" s="79" t="s">
        <v>127</v>
      </c>
      <c r="C234" s="137" t="s">
        <v>471</v>
      </c>
      <c r="D234" s="97">
        <v>29317.341035172183</v>
      </c>
      <c r="E234" s="97">
        <f t="shared" si="8"/>
        <v>30831.150525998721</v>
      </c>
      <c r="F234" s="97">
        <v>29317.341035172183</v>
      </c>
      <c r="G234" s="97">
        <f t="shared" si="9"/>
        <v>30831.150525998721</v>
      </c>
      <c r="H234" s="137" t="s">
        <v>344</v>
      </c>
      <c r="I234" s="137" t="s">
        <v>286</v>
      </c>
      <c r="J234" s="137" t="s">
        <v>283</v>
      </c>
      <c r="K234" s="137" t="s">
        <v>289</v>
      </c>
      <c r="L234" s="137" t="s">
        <v>291</v>
      </c>
      <c r="M234" s="137" t="s">
        <v>507</v>
      </c>
      <c r="N234" s="81">
        <v>43040</v>
      </c>
      <c r="O234" s="137" t="s">
        <v>341</v>
      </c>
      <c r="P234" s="137" t="s">
        <v>340</v>
      </c>
      <c r="Q234" s="137"/>
    </row>
    <row r="235" spans="2:17" s="109" customFormat="1" ht="23.1" customHeight="1" x14ac:dyDescent="0.25">
      <c r="B235" s="79" t="s">
        <v>134</v>
      </c>
      <c r="C235" s="137" t="s">
        <v>448</v>
      </c>
      <c r="D235" s="97">
        <v>1549.7029281451491</v>
      </c>
      <c r="E235" s="97">
        <f t="shared" si="8"/>
        <v>1629.7222927175826</v>
      </c>
      <c r="F235" s="97">
        <v>1549.7029281451491</v>
      </c>
      <c r="G235" s="97">
        <f t="shared" si="9"/>
        <v>1629.7222927175826</v>
      </c>
      <c r="H235" s="137" t="s">
        <v>344</v>
      </c>
      <c r="I235" s="137" t="s">
        <v>286</v>
      </c>
      <c r="J235" s="137" t="s">
        <v>283</v>
      </c>
      <c r="K235" s="137" t="s">
        <v>289</v>
      </c>
      <c r="L235" s="137" t="s">
        <v>291</v>
      </c>
      <c r="M235" s="137" t="s">
        <v>510</v>
      </c>
      <c r="N235" s="137">
        <v>11230</v>
      </c>
      <c r="O235" s="137" t="s">
        <v>341</v>
      </c>
      <c r="P235" s="137" t="s">
        <v>340</v>
      </c>
      <c r="Q235" s="137"/>
    </row>
    <row r="236" spans="2:17" s="109" customFormat="1" ht="23.1" customHeight="1" x14ac:dyDescent="0.25">
      <c r="B236" s="79" t="s">
        <v>134</v>
      </c>
      <c r="C236" s="137" t="s">
        <v>444</v>
      </c>
      <c r="D236" s="97">
        <v>449.81856470153645</v>
      </c>
      <c r="E236" s="97">
        <f t="shared" si="8"/>
        <v>473.04507803295451</v>
      </c>
      <c r="F236" s="97">
        <v>449.81856470153645</v>
      </c>
      <c r="G236" s="97">
        <f t="shared" si="9"/>
        <v>473.04507803295451</v>
      </c>
      <c r="H236" s="137" t="s">
        <v>344</v>
      </c>
      <c r="I236" s="137" t="s">
        <v>286</v>
      </c>
      <c r="J236" s="137" t="s">
        <v>283</v>
      </c>
      <c r="K236" s="137" t="s">
        <v>289</v>
      </c>
      <c r="L236" s="137" t="s">
        <v>291</v>
      </c>
      <c r="M236" s="137" t="s">
        <v>295</v>
      </c>
      <c r="N236" s="137">
        <v>31120</v>
      </c>
      <c r="O236" s="137" t="s">
        <v>341</v>
      </c>
      <c r="P236" s="137" t="s">
        <v>340</v>
      </c>
      <c r="Q236" s="137"/>
    </row>
    <row r="237" spans="2:17" s="109" customFormat="1" ht="23.1" customHeight="1" x14ac:dyDescent="0.25">
      <c r="B237" s="79" t="s">
        <v>134</v>
      </c>
      <c r="C237" s="137" t="s">
        <v>473</v>
      </c>
      <c r="D237" s="97">
        <v>94.691509838504714</v>
      </c>
      <c r="E237" s="97">
        <f t="shared" si="8"/>
        <v>99.58093368230594</v>
      </c>
      <c r="F237" s="97">
        <v>94.691509838504714</v>
      </c>
      <c r="G237" s="97">
        <f t="shared" si="9"/>
        <v>99.58093368230594</v>
      </c>
      <c r="H237" s="137" t="s">
        <v>344</v>
      </c>
      <c r="I237" s="137" t="s">
        <v>286</v>
      </c>
      <c r="J237" s="137" t="s">
        <v>283</v>
      </c>
      <c r="K237" s="137" t="s">
        <v>289</v>
      </c>
      <c r="L237" s="137" t="s">
        <v>291</v>
      </c>
      <c r="M237" s="137" t="s">
        <v>507</v>
      </c>
      <c r="N237" s="81">
        <v>43040</v>
      </c>
      <c r="O237" s="137" t="s">
        <v>341</v>
      </c>
      <c r="P237" s="137" t="s">
        <v>340</v>
      </c>
      <c r="Q237" s="137"/>
    </row>
    <row r="238" spans="2:17" s="109" customFormat="1" ht="23.1" customHeight="1" x14ac:dyDescent="0.25">
      <c r="B238" s="79" t="s">
        <v>134</v>
      </c>
      <c r="C238" s="137" t="s">
        <v>447</v>
      </c>
      <c r="D238" s="97">
        <v>449.81856470153645</v>
      </c>
      <c r="E238" s="97">
        <f t="shared" si="8"/>
        <v>473.04507803295451</v>
      </c>
      <c r="F238" s="97">
        <v>449.81856470153645</v>
      </c>
      <c r="G238" s="97">
        <f t="shared" si="9"/>
        <v>473.04507803295451</v>
      </c>
      <c r="H238" s="137" t="s">
        <v>344</v>
      </c>
      <c r="I238" s="137" t="s">
        <v>286</v>
      </c>
      <c r="J238" s="137" t="s">
        <v>283</v>
      </c>
      <c r="K238" s="137" t="s">
        <v>289</v>
      </c>
      <c r="L238" s="137" t="s">
        <v>291</v>
      </c>
      <c r="M238" s="137" t="s">
        <v>507</v>
      </c>
      <c r="N238" s="81">
        <v>43072</v>
      </c>
      <c r="O238" s="137" t="s">
        <v>341</v>
      </c>
      <c r="P238" s="137" t="s">
        <v>340</v>
      </c>
      <c r="Q238" s="137"/>
    </row>
    <row r="239" spans="2:17" s="109" customFormat="1" ht="23.1" customHeight="1" x14ac:dyDescent="0.25">
      <c r="B239" s="79" t="s">
        <v>118</v>
      </c>
      <c r="C239" s="137" t="s">
        <v>609</v>
      </c>
      <c r="D239" s="97">
        <v>193059.55585314252</v>
      </c>
      <c r="E239" s="97">
        <f t="shared" si="8"/>
        <v>203028.24256298511</v>
      </c>
      <c r="F239" s="97">
        <v>193059.55585314252</v>
      </c>
      <c r="G239" s="97">
        <f t="shared" si="9"/>
        <v>203028.24256298511</v>
      </c>
      <c r="H239" s="137" t="s">
        <v>344</v>
      </c>
      <c r="I239" s="137" t="s">
        <v>285</v>
      </c>
      <c r="J239" s="137" t="s">
        <v>283</v>
      </c>
      <c r="K239" s="137" t="s">
        <v>289</v>
      </c>
      <c r="L239" s="137" t="s">
        <v>291</v>
      </c>
      <c r="M239" s="137" t="s">
        <v>295</v>
      </c>
      <c r="N239" s="137">
        <v>31120</v>
      </c>
      <c r="O239" s="137" t="s">
        <v>341</v>
      </c>
      <c r="P239" s="137" t="s">
        <v>340</v>
      </c>
      <c r="Q239" s="137"/>
    </row>
    <row r="240" spans="2:17" s="109" customFormat="1" ht="23.1" customHeight="1" x14ac:dyDescent="0.25">
      <c r="B240" s="79" t="s">
        <v>118</v>
      </c>
      <c r="C240" s="137" t="s">
        <v>430</v>
      </c>
      <c r="D240" s="97">
        <v>1325660.7770751456</v>
      </c>
      <c r="E240" s="97">
        <f t="shared" si="8"/>
        <v>1394111.6595595181</v>
      </c>
      <c r="F240" s="97">
        <v>1325660.7770751456</v>
      </c>
      <c r="G240" s="97">
        <f t="shared" si="9"/>
        <v>1394111.6595595181</v>
      </c>
      <c r="H240" s="137" t="s">
        <v>344</v>
      </c>
      <c r="I240" s="137" t="s">
        <v>285</v>
      </c>
      <c r="J240" s="137" t="s">
        <v>283</v>
      </c>
      <c r="K240" s="137" t="s">
        <v>289</v>
      </c>
      <c r="L240" s="137" t="s">
        <v>291</v>
      </c>
      <c r="M240" s="137" t="s">
        <v>511</v>
      </c>
      <c r="N240" s="137">
        <v>52010</v>
      </c>
      <c r="O240" s="137" t="s">
        <v>340</v>
      </c>
      <c r="P240" s="137" t="s">
        <v>340</v>
      </c>
      <c r="Q240" s="137"/>
    </row>
    <row r="241" spans="2:17" s="109" customFormat="1" ht="23.1" customHeight="1" x14ac:dyDescent="0.25">
      <c r="B241" s="79" t="s">
        <v>118</v>
      </c>
      <c r="C241" s="137" t="s">
        <v>474</v>
      </c>
      <c r="D241" s="97">
        <v>66866.856286915994</v>
      </c>
      <c r="E241" s="97">
        <f t="shared" si="8"/>
        <v>70319.545995284469</v>
      </c>
      <c r="F241" s="97">
        <v>66866.856286915994</v>
      </c>
      <c r="G241" s="97">
        <f t="shared" si="9"/>
        <v>70319.545995284469</v>
      </c>
      <c r="H241" s="137" t="s">
        <v>344</v>
      </c>
      <c r="I241" s="137" t="s">
        <v>286</v>
      </c>
      <c r="J241" s="137" t="s">
        <v>283</v>
      </c>
      <c r="K241" s="137" t="s">
        <v>289</v>
      </c>
      <c r="L241" s="137" t="s">
        <v>291</v>
      </c>
      <c r="M241" s="137" t="s">
        <v>507</v>
      </c>
      <c r="N241" s="81">
        <v>43040</v>
      </c>
      <c r="O241" s="137" t="s">
        <v>341</v>
      </c>
      <c r="P241" s="137" t="s">
        <v>340</v>
      </c>
      <c r="Q241" s="137"/>
    </row>
    <row r="242" spans="2:17" s="109" customFormat="1" ht="23.1" customHeight="1" x14ac:dyDescent="0.25">
      <c r="B242" s="79" t="s">
        <v>118</v>
      </c>
      <c r="C242" s="137" t="s">
        <v>593</v>
      </c>
      <c r="D242" s="97">
        <v>722775.88553484494</v>
      </c>
      <c r="E242" s="97">
        <f t="shared" si="8"/>
        <v>760096.63007134816</v>
      </c>
      <c r="F242" s="97">
        <v>722775.88553484494</v>
      </c>
      <c r="G242" s="97">
        <f t="shared" si="9"/>
        <v>760096.63007134816</v>
      </c>
      <c r="H242" s="137" t="s">
        <v>344</v>
      </c>
      <c r="I242" s="137" t="s">
        <v>285</v>
      </c>
      <c r="J242" s="137" t="s">
        <v>283</v>
      </c>
      <c r="K242" s="137" t="s">
        <v>289</v>
      </c>
      <c r="L242" s="137" t="s">
        <v>292</v>
      </c>
      <c r="M242" s="137" t="s">
        <v>295</v>
      </c>
      <c r="N242" s="137">
        <v>31163</v>
      </c>
      <c r="O242" s="137" t="s">
        <v>341</v>
      </c>
      <c r="P242" s="137" t="s">
        <v>341</v>
      </c>
      <c r="Q242" s="137"/>
    </row>
    <row r="243" spans="2:17" s="109" customFormat="1" ht="23.1" customHeight="1" x14ac:dyDescent="0.25">
      <c r="B243" s="79" t="s">
        <v>118</v>
      </c>
      <c r="C243" s="137" t="s">
        <v>476</v>
      </c>
      <c r="D243" s="97">
        <v>662000</v>
      </c>
      <c r="E243" s="97">
        <f t="shared" si="8"/>
        <v>696182.56388684409</v>
      </c>
      <c r="F243" s="97">
        <v>662000</v>
      </c>
      <c r="G243" s="97">
        <f t="shared" si="9"/>
        <v>696182.56388684409</v>
      </c>
      <c r="H243" s="137" t="s">
        <v>344</v>
      </c>
      <c r="I243" s="137" t="s">
        <v>285</v>
      </c>
      <c r="J243" s="137" t="s">
        <v>283</v>
      </c>
      <c r="K243" s="137" t="s">
        <v>289</v>
      </c>
      <c r="L243" s="137" t="s">
        <v>292</v>
      </c>
      <c r="M243" s="137" t="s">
        <v>507</v>
      </c>
      <c r="N243" s="137">
        <v>43010</v>
      </c>
      <c r="O243" s="137" t="s">
        <v>340</v>
      </c>
      <c r="P243" s="137" t="s">
        <v>340</v>
      </c>
      <c r="Q243" s="137"/>
    </row>
    <row r="244" spans="2:17" s="109" customFormat="1" ht="23.1" customHeight="1" x14ac:dyDescent="0.25">
      <c r="B244" s="79" t="s">
        <v>118</v>
      </c>
      <c r="C244" s="137" t="s">
        <v>477</v>
      </c>
      <c r="D244" s="97">
        <v>697999.66</v>
      </c>
      <c r="E244" s="97">
        <f t="shared" si="8"/>
        <v>734041.07687453995</v>
      </c>
      <c r="F244" s="97">
        <v>697999.66</v>
      </c>
      <c r="G244" s="97">
        <f t="shared" si="9"/>
        <v>734041.07687453995</v>
      </c>
      <c r="H244" s="137" t="s">
        <v>344</v>
      </c>
      <c r="I244" s="137" t="s">
        <v>285</v>
      </c>
      <c r="J244" s="137" t="s">
        <v>283</v>
      </c>
      <c r="K244" s="137" t="s">
        <v>289</v>
      </c>
      <c r="L244" s="137" t="s">
        <v>292</v>
      </c>
      <c r="M244" s="137" t="s">
        <v>507</v>
      </c>
      <c r="N244" s="81">
        <v>43010</v>
      </c>
      <c r="O244" s="137" t="s">
        <v>340</v>
      </c>
      <c r="P244" s="137" t="s">
        <v>340</v>
      </c>
      <c r="Q244" s="137"/>
    </row>
    <row r="245" spans="2:17" s="109" customFormat="1" ht="23.1" customHeight="1" x14ac:dyDescent="0.25">
      <c r="B245" s="79" t="s">
        <v>118</v>
      </c>
      <c r="C245" s="137" t="s">
        <v>478</v>
      </c>
      <c r="D245" s="97">
        <v>33311.665585734612</v>
      </c>
      <c r="E245" s="97">
        <f t="shared" si="8"/>
        <v>35031.723194588929</v>
      </c>
      <c r="F245" s="97">
        <v>33311.665585734612</v>
      </c>
      <c r="G245" s="97">
        <f t="shared" si="9"/>
        <v>35031.723194588929</v>
      </c>
      <c r="H245" s="137" t="s">
        <v>344</v>
      </c>
      <c r="I245" s="137" t="s">
        <v>286</v>
      </c>
      <c r="J245" s="137" t="s">
        <v>283</v>
      </c>
      <c r="K245" s="137" t="s">
        <v>289</v>
      </c>
      <c r="L245" s="137" t="s">
        <v>292</v>
      </c>
      <c r="M245" s="137" t="s">
        <v>295</v>
      </c>
      <c r="N245" s="81">
        <v>31193</v>
      </c>
      <c r="O245" s="137" t="s">
        <v>341</v>
      </c>
      <c r="P245" s="137" t="s">
        <v>340</v>
      </c>
      <c r="Q245" s="137"/>
    </row>
    <row r="246" spans="2:17" s="109" customFormat="1" ht="23.1" customHeight="1" x14ac:dyDescent="0.25">
      <c r="B246" s="79" t="s">
        <v>118</v>
      </c>
      <c r="C246" s="137" t="s">
        <v>479</v>
      </c>
      <c r="D246" s="97">
        <v>16578.685067469414</v>
      </c>
      <c r="E246" s="97">
        <f t="shared" si="8"/>
        <v>17434.730326500594</v>
      </c>
      <c r="F246" s="97">
        <v>16578.685067469414</v>
      </c>
      <c r="G246" s="97">
        <f t="shared" si="9"/>
        <v>17434.730326500594</v>
      </c>
      <c r="H246" s="137" t="s">
        <v>344</v>
      </c>
      <c r="I246" s="137" t="s">
        <v>286</v>
      </c>
      <c r="J246" s="137" t="s">
        <v>283</v>
      </c>
      <c r="K246" s="137" t="s">
        <v>289</v>
      </c>
      <c r="L246" s="137" t="s">
        <v>292</v>
      </c>
      <c r="M246" s="137" t="s">
        <v>507</v>
      </c>
      <c r="N246" s="137">
        <v>43030</v>
      </c>
      <c r="O246" s="137" t="s">
        <v>341</v>
      </c>
      <c r="P246" s="137" t="s">
        <v>340</v>
      </c>
      <c r="Q246" s="137"/>
    </row>
    <row r="247" spans="2:17" s="109" customFormat="1" ht="23.1" customHeight="1" x14ac:dyDescent="0.25">
      <c r="B247" s="79" t="s">
        <v>118</v>
      </c>
      <c r="C247" s="137" t="s">
        <v>480</v>
      </c>
      <c r="D247" s="97">
        <v>42402.706967355087</v>
      </c>
      <c r="E247" s="97">
        <f t="shared" si="8"/>
        <v>44592.183160537475</v>
      </c>
      <c r="F247" s="97">
        <v>42402.706967355087</v>
      </c>
      <c r="G247" s="97">
        <f t="shared" si="9"/>
        <v>44592.183160537475</v>
      </c>
      <c r="H247" s="137" t="s">
        <v>344</v>
      </c>
      <c r="I247" s="137" t="s">
        <v>286</v>
      </c>
      <c r="J247" s="137" t="s">
        <v>283</v>
      </c>
      <c r="K247" s="137" t="s">
        <v>289</v>
      </c>
      <c r="L247" s="137" t="s">
        <v>292</v>
      </c>
      <c r="M247" s="137" t="s">
        <v>391</v>
      </c>
      <c r="N247" s="137">
        <v>16040</v>
      </c>
      <c r="O247" s="137" t="s">
        <v>341</v>
      </c>
      <c r="P247" s="137" t="s">
        <v>340</v>
      </c>
      <c r="Q247" s="137"/>
    </row>
    <row r="248" spans="2:17" s="109" customFormat="1" ht="23.1" customHeight="1" x14ac:dyDescent="0.25">
      <c r="B248" s="79" t="s">
        <v>119</v>
      </c>
      <c r="C248" s="137" t="s">
        <v>577</v>
      </c>
      <c r="D248" s="97">
        <v>65416.432374015407</v>
      </c>
      <c r="E248" s="97">
        <f t="shared" si="8"/>
        <v>68794.229018840473</v>
      </c>
      <c r="F248" s="97">
        <v>65416.432374015407</v>
      </c>
      <c r="G248" s="97">
        <f t="shared" si="9"/>
        <v>68794.229018840473</v>
      </c>
      <c r="H248" s="137" t="s">
        <v>344</v>
      </c>
      <c r="I248" s="137" t="s">
        <v>285</v>
      </c>
      <c r="J248" s="137" t="s">
        <v>283</v>
      </c>
      <c r="K248" s="137" t="s">
        <v>289</v>
      </c>
      <c r="L248" s="137" t="s">
        <v>291</v>
      </c>
      <c r="M248" s="137" t="s">
        <v>507</v>
      </c>
      <c r="N248" s="137">
        <v>43040</v>
      </c>
      <c r="O248" s="137" t="s">
        <v>341</v>
      </c>
      <c r="P248" s="137" t="s">
        <v>340</v>
      </c>
      <c r="Q248" s="137"/>
    </row>
    <row r="249" spans="2:17" s="109" customFormat="1" ht="23.1" customHeight="1" x14ac:dyDescent="0.25">
      <c r="B249" s="79" t="s">
        <v>119</v>
      </c>
      <c r="C249" s="137" t="s">
        <v>482</v>
      </c>
      <c r="D249" s="97">
        <v>15785.380157903579</v>
      </c>
      <c r="E249" s="97">
        <f t="shared" si="8"/>
        <v>16600.462885585846</v>
      </c>
      <c r="F249" s="97">
        <v>15785.380157903579</v>
      </c>
      <c r="G249" s="97">
        <f t="shared" si="9"/>
        <v>16600.462885585846</v>
      </c>
      <c r="H249" s="137" t="s">
        <v>344</v>
      </c>
      <c r="I249" s="137" t="s">
        <v>286</v>
      </c>
      <c r="J249" s="137" t="s">
        <v>283</v>
      </c>
      <c r="K249" s="137" t="s">
        <v>289</v>
      </c>
      <c r="L249" s="137" t="s">
        <v>292</v>
      </c>
      <c r="M249" s="137" t="s">
        <v>512</v>
      </c>
      <c r="N249" s="137">
        <v>14030</v>
      </c>
      <c r="O249" s="137" t="s">
        <v>341</v>
      </c>
      <c r="P249" s="137" t="s">
        <v>340</v>
      </c>
      <c r="Q249" s="137"/>
    </row>
    <row r="250" spans="2:17" s="109" customFormat="1" ht="23.1" customHeight="1" x14ac:dyDescent="0.25">
      <c r="B250" s="79" t="s">
        <v>119</v>
      </c>
      <c r="C250" s="137" t="s">
        <v>483</v>
      </c>
      <c r="D250" s="97">
        <v>51168.942460493345</v>
      </c>
      <c r="E250" s="97">
        <f t="shared" si="8"/>
        <v>53811.065790822744</v>
      </c>
      <c r="F250" s="97">
        <v>51168.942460493345</v>
      </c>
      <c r="G250" s="97">
        <f t="shared" si="9"/>
        <v>53811.065790822744</v>
      </c>
      <c r="H250" s="137" t="s">
        <v>344</v>
      </c>
      <c r="I250" s="137" t="s">
        <v>286</v>
      </c>
      <c r="J250" s="137" t="s">
        <v>283</v>
      </c>
      <c r="K250" s="137" t="s">
        <v>289</v>
      </c>
      <c r="L250" s="137" t="s">
        <v>292</v>
      </c>
      <c r="M250" s="137" t="s">
        <v>295</v>
      </c>
      <c r="N250" s="81">
        <v>31120</v>
      </c>
      <c r="O250" s="137" t="s">
        <v>341</v>
      </c>
      <c r="P250" s="137" t="s">
        <v>340</v>
      </c>
      <c r="Q250" s="137"/>
    </row>
    <row r="251" spans="2:17" s="109" customFormat="1" ht="23.1" customHeight="1" x14ac:dyDescent="0.25">
      <c r="B251" s="79" t="s">
        <v>124</v>
      </c>
      <c r="C251" s="137" t="s">
        <v>484</v>
      </c>
      <c r="D251" s="97">
        <v>8806.0107975608134</v>
      </c>
      <c r="E251" s="97">
        <f t="shared" si="8"/>
        <v>9260.7117442010876</v>
      </c>
      <c r="F251" s="97">
        <v>8806.0107975608134</v>
      </c>
      <c r="G251" s="97">
        <f t="shared" si="9"/>
        <v>9260.7117442010876</v>
      </c>
      <c r="H251" s="137" t="s">
        <v>344</v>
      </c>
      <c r="I251" s="137" t="s">
        <v>286</v>
      </c>
      <c r="J251" s="137" t="s">
        <v>283</v>
      </c>
      <c r="K251" s="137" t="s">
        <v>289</v>
      </c>
      <c r="L251" s="137" t="s">
        <v>291</v>
      </c>
      <c r="M251" s="137" t="s">
        <v>510</v>
      </c>
      <c r="N251" s="81">
        <v>11230</v>
      </c>
      <c r="O251" s="137" t="s">
        <v>341</v>
      </c>
      <c r="P251" s="137" t="s">
        <v>340</v>
      </c>
      <c r="Q251" s="137"/>
    </row>
    <row r="252" spans="2:17" s="109" customFormat="1" ht="23.1" customHeight="1" x14ac:dyDescent="0.25">
      <c r="B252" s="79" t="s">
        <v>124</v>
      </c>
      <c r="C252" s="137" t="s">
        <v>485</v>
      </c>
      <c r="D252" s="97">
        <v>20852.673157398924</v>
      </c>
      <c r="E252" s="97">
        <f t="shared" si="8"/>
        <v>21929.407043221079</v>
      </c>
      <c r="F252" s="97">
        <v>20852.673157398924</v>
      </c>
      <c r="G252" s="97">
        <f t="shared" si="9"/>
        <v>21929.407043221079</v>
      </c>
      <c r="H252" s="137" t="s">
        <v>344</v>
      </c>
      <c r="I252" s="137" t="s">
        <v>286</v>
      </c>
      <c r="J252" s="137" t="s">
        <v>283</v>
      </c>
      <c r="K252" s="137" t="s">
        <v>289</v>
      </c>
      <c r="L252" s="137" t="s">
        <v>291</v>
      </c>
      <c r="M252" s="137" t="s">
        <v>295</v>
      </c>
      <c r="N252" s="137">
        <v>31181</v>
      </c>
      <c r="O252" s="137" t="s">
        <v>341</v>
      </c>
      <c r="P252" s="137" t="s">
        <v>340</v>
      </c>
      <c r="Q252" s="137"/>
    </row>
    <row r="253" spans="2:17" s="109" customFormat="1" ht="23.1" customHeight="1" x14ac:dyDescent="0.25">
      <c r="B253" s="79" t="s">
        <v>124</v>
      </c>
      <c r="C253" s="137" t="s">
        <v>486</v>
      </c>
      <c r="D253" s="97">
        <v>10900.728905350343</v>
      </c>
      <c r="E253" s="97">
        <f t="shared" si="8"/>
        <v>11463.591234988267</v>
      </c>
      <c r="F253" s="97">
        <v>10900.728905350343</v>
      </c>
      <c r="G253" s="97">
        <f t="shared" si="9"/>
        <v>11463.591234988267</v>
      </c>
      <c r="H253" s="137" t="s">
        <v>344</v>
      </c>
      <c r="I253" s="137" t="s">
        <v>286</v>
      </c>
      <c r="J253" s="137" t="s">
        <v>283</v>
      </c>
      <c r="K253" s="137" t="s">
        <v>289</v>
      </c>
      <c r="L253" s="137" t="s">
        <v>291</v>
      </c>
      <c r="M253" s="137" t="s">
        <v>295</v>
      </c>
      <c r="N253" s="137">
        <v>31181</v>
      </c>
      <c r="O253" s="137" t="s">
        <v>341</v>
      </c>
      <c r="P253" s="137" t="s">
        <v>340</v>
      </c>
      <c r="Q253" s="137"/>
    </row>
    <row r="254" spans="2:17" s="109" customFormat="1" ht="23.1" customHeight="1" x14ac:dyDescent="0.25">
      <c r="B254" s="79" t="s">
        <v>124</v>
      </c>
      <c r="C254" s="137" t="s">
        <v>218</v>
      </c>
      <c r="D254" s="97">
        <v>39370.646853103099</v>
      </c>
      <c r="E254" s="97">
        <f t="shared" si="8"/>
        <v>41403.561734255025</v>
      </c>
      <c r="F254" s="97">
        <v>39370.646853103099</v>
      </c>
      <c r="G254" s="97">
        <f t="shared" si="9"/>
        <v>41403.561734255025</v>
      </c>
      <c r="H254" s="137" t="s">
        <v>344</v>
      </c>
      <c r="I254" s="137" t="s">
        <v>286</v>
      </c>
      <c r="J254" s="137" t="s">
        <v>283</v>
      </c>
      <c r="K254" s="137" t="s">
        <v>289</v>
      </c>
      <c r="L254" s="137" t="s">
        <v>292</v>
      </c>
      <c r="M254" s="137" t="s">
        <v>295</v>
      </c>
      <c r="N254" s="81">
        <v>31120</v>
      </c>
      <c r="O254" s="137" t="s">
        <v>341</v>
      </c>
      <c r="P254" s="137" t="s">
        <v>340</v>
      </c>
      <c r="Q254" s="137"/>
    </row>
    <row r="255" spans="2:17" s="109" customFormat="1" ht="23.1" customHeight="1" x14ac:dyDescent="0.25">
      <c r="B255" s="79" t="s">
        <v>121</v>
      </c>
      <c r="C255" s="137" t="s">
        <v>611</v>
      </c>
      <c r="D255" s="97">
        <v>93600.601053607752</v>
      </c>
      <c r="E255" s="97">
        <f t="shared" si="8"/>
        <v>98433.695502794988</v>
      </c>
      <c r="F255" s="97">
        <v>93600.601053607752</v>
      </c>
      <c r="G255" s="97">
        <f t="shared" si="9"/>
        <v>98433.695502794988</v>
      </c>
      <c r="H255" s="137" t="s">
        <v>344</v>
      </c>
      <c r="I255" s="137" t="s">
        <v>285</v>
      </c>
      <c r="J255" s="137" t="s">
        <v>283</v>
      </c>
      <c r="K255" s="137" t="s">
        <v>289</v>
      </c>
      <c r="L255" s="137" t="s">
        <v>291</v>
      </c>
      <c r="M255" s="137" t="s">
        <v>295</v>
      </c>
      <c r="N255" s="81">
        <v>31110</v>
      </c>
      <c r="O255" s="137" t="s">
        <v>341</v>
      </c>
      <c r="P255" s="137" t="s">
        <v>340</v>
      </c>
      <c r="Q255" s="137"/>
    </row>
    <row r="256" spans="2:17" s="109" customFormat="1" ht="23.1" customHeight="1" x14ac:dyDescent="0.25">
      <c r="B256" s="79" t="s">
        <v>121</v>
      </c>
      <c r="C256" s="137" t="s">
        <v>430</v>
      </c>
      <c r="D256" s="97">
        <v>1136319.0830628814</v>
      </c>
      <c r="E256" s="97">
        <f t="shared" si="8"/>
        <v>1194993.2517224539</v>
      </c>
      <c r="F256" s="97">
        <v>1136319.0830628814</v>
      </c>
      <c r="G256" s="97">
        <f t="shared" si="9"/>
        <v>1194993.2517224539</v>
      </c>
      <c r="H256" s="137" t="s">
        <v>344</v>
      </c>
      <c r="I256" s="137" t="s">
        <v>285</v>
      </c>
      <c r="J256" s="137" t="s">
        <v>283</v>
      </c>
      <c r="K256" s="137" t="s">
        <v>289</v>
      </c>
      <c r="L256" s="137" t="s">
        <v>291</v>
      </c>
      <c r="M256" s="137" t="s">
        <v>511</v>
      </c>
      <c r="N256" s="81">
        <v>52010</v>
      </c>
      <c r="O256" s="137" t="s">
        <v>340</v>
      </c>
      <c r="P256" s="137" t="s">
        <v>340</v>
      </c>
      <c r="Q256" s="137"/>
    </row>
    <row r="257" spans="2:17" s="109" customFormat="1" ht="23.1" customHeight="1" x14ac:dyDescent="0.25">
      <c r="B257" s="79" t="s">
        <v>121</v>
      </c>
      <c r="C257" s="137" t="s">
        <v>488</v>
      </c>
      <c r="D257" s="97">
        <v>5111.1987570189776</v>
      </c>
      <c r="E257" s="97">
        <f t="shared" si="8"/>
        <v>5375.1170018077382</v>
      </c>
      <c r="F257" s="97">
        <v>5111.1987570189776</v>
      </c>
      <c r="G257" s="97">
        <f t="shared" si="9"/>
        <v>5375.1170018077382</v>
      </c>
      <c r="H257" s="137" t="s">
        <v>344</v>
      </c>
      <c r="I257" s="137" t="s">
        <v>286</v>
      </c>
      <c r="J257" s="137" t="s">
        <v>283</v>
      </c>
      <c r="K257" s="137" t="s">
        <v>289</v>
      </c>
      <c r="L257" s="137" t="s">
        <v>291</v>
      </c>
      <c r="M257" s="137" t="s">
        <v>295</v>
      </c>
      <c r="N257" s="137">
        <v>31161</v>
      </c>
      <c r="O257" s="137" t="s">
        <v>341</v>
      </c>
      <c r="P257" s="137" t="s">
        <v>340</v>
      </c>
      <c r="Q257" s="137"/>
    </row>
    <row r="258" spans="2:17" s="109" customFormat="1" ht="23.1" customHeight="1" x14ac:dyDescent="0.25">
      <c r="B258" s="79" t="s">
        <v>121</v>
      </c>
      <c r="C258" s="137" t="s">
        <v>489</v>
      </c>
      <c r="D258" s="97">
        <v>69874.735814881569</v>
      </c>
      <c r="E258" s="97">
        <f t="shared" si="8"/>
        <v>73482.738263625593</v>
      </c>
      <c r="F258" s="97">
        <v>69874.735814881569</v>
      </c>
      <c r="G258" s="97">
        <f t="shared" si="9"/>
        <v>73482.738263625593</v>
      </c>
      <c r="H258" s="137" t="s">
        <v>344</v>
      </c>
      <c r="I258" s="137" t="s">
        <v>286</v>
      </c>
      <c r="J258" s="137" t="s">
        <v>283</v>
      </c>
      <c r="K258" s="137" t="s">
        <v>289</v>
      </c>
      <c r="L258" s="137" t="s">
        <v>291</v>
      </c>
      <c r="M258" s="137" t="s">
        <v>391</v>
      </c>
      <c r="N258" s="137">
        <v>16040</v>
      </c>
      <c r="O258" s="137" t="s">
        <v>341</v>
      </c>
      <c r="P258" s="137" t="s">
        <v>340</v>
      </c>
      <c r="Q258" s="137"/>
    </row>
    <row r="259" spans="2:17" s="109" customFormat="1" ht="23.1" customHeight="1" x14ac:dyDescent="0.25">
      <c r="B259" s="79" t="s">
        <v>121</v>
      </c>
      <c r="C259" s="137" t="s">
        <v>490</v>
      </c>
      <c r="D259" s="97">
        <v>175226.70770921605</v>
      </c>
      <c r="E259" s="97">
        <f t="shared" si="8"/>
        <v>184274.59008225476</v>
      </c>
      <c r="F259" s="97">
        <v>175226.70770921605</v>
      </c>
      <c r="G259" s="97">
        <f t="shared" si="9"/>
        <v>184274.59008225476</v>
      </c>
      <c r="H259" s="137" t="s">
        <v>344</v>
      </c>
      <c r="I259" s="137" t="s">
        <v>286</v>
      </c>
      <c r="J259" s="137" t="s">
        <v>283</v>
      </c>
      <c r="K259" s="137" t="s">
        <v>289</v>
      </c>
      <c r="L259" s="137" t="s">
        <v>291</v>
      </c>
      <c r="M259" s="137" t="s">
        <v>295</v>
      </c>
      <c r="N259" s="81">
        <v>31120</v>
      </c>
      <c r="O259" s="137" t="s">
        <v>341</v>
      </c>
      <c r="P259" s="137" t="s">
        <v>340</v>
      </c>
      <c r="Q259" s="137"/>
    </row>
    <row r="260" spans="2:17" s="109" customFormat="1" ht="23.1" customHeight="1" x14ac:dyDescent="0.25">
      <c r="B260" s="79" t="s">
        <v>121</v>
      </c>
      <c r="C260" s="137" t="s">
        <v>451</v>
      </c>
      <c r="D260" s="97">
        <v>28137.773802156971</v>
      </c>
      <c r="E260" s="97">
        <f t="shared" si="8"/>
        <v>29590.675993434612</v>
      </c>
      <c r="F260" s="97">
        <v>28137.773802156971</v>
      </c>
      <c r="G260" s="97">
        <f t="shared" si="9"/>
        <v>29590.675993434612</v>
      </c>
      <c r="H260" s="137" t="s">
        <v>344</v>
      </c>
      <c r="I260" s="137" t="s">
        <v>286</v>
      </c>
      <c r="J260" s="137" t="s">
        <v>283</v>
      </c>
      <c r="K260" s="137" t="s">
        <v>289</v>
      </c>
      <c r="L260" s="137" t="s">
        <v>291</v>
      </c>
      <c r="M260" s="137" t="s">
        <v>507</v>
      </c>
      <c r="N260" s="81">
        <v>43040</v>
      </c>
      <c r="O260" s="137" t="s">
        <v>341</v>
      </c>
      <c r="P260" s="137" t="s">
        <v>340</v>
      </c>
      <c r="Q260" s="137"/>
    </row>
    <row r="261" spans="2:17" s="109" customFormat="1" ht="23.1" customHeight="1" x14ac:dyDescent="0.25">
      <c r="B261" s="79" t="s">
        <v>121</v>
      </c>
      <c r="C261" s="133" t="s">
        <v>613</v>
      </c>
      <c r="D261" s="97">
        <v>3137027.7530929553</v>
      </c>
      <c r="E261" s="97">
        <f t="shared" si="8"/>
        <v>3299009.0998979444</v>
      </c>
      <c r="F261" s="97">
        <v>3137027.7530929553</v>
      </c>
      <c r="G261" s="97">
        <f t="shared" si="9"/>
        <v>3299009.0998979444</v>
      </c>
      <c r="H261" s="137" t="s">
        <v>344</v>
      </c>
      <c r="I261" s="137" t="s">
        <v>285</v>
      </c>
      <c r="J261" s="137" t="s">
        <v>283</v>
      </c>
      <c r="K261" s="137" t="s">
        <v>289</v>
      </c>
      <c r="L261" s="137" t="s">
        <v>292</v>
      </c>
      <c r="M261" s="137" t="s">
        <v>512</v>
      </c>
      <c r="N261" s="81">
        <v>14030</v>
      </c>
      <c r="O261" s="137" t="s">
        <v>341</v>
      </c>
      <c r="P261" s="137" t="s">
        <v>340</v>
      </c>
      <c r="Q261" s="137"/>
    </row>
    <row r="262" spans="2:17" s="109" customFormat="1" ht="23.1" customHeight="1" x14ac:dyDescent="0.25">
      <c r="B262" s="79" t="s">
        <v>121</v>
      </c>
      <c r="C262" s="137" t="s">
        <v>425</v>
      </c>
      <c r="D262" s="97">
        <v>8476.5046127488094</v>
      </c>
      <c r="E262" s="97">
        <f t="shared" si="8"/>
        <v>8914.1914110304024</v>
      </c>
      <c r="F262" s="97">
        <v>8476.5046127488094</v>
      </c>
      <c r="G262" s="97">
        <f t="shared" si="9"/>
        <v>8914.1914110304024</v>
      </c>
      <c r="H262" s="137" t="s">
        <v>344</v>
      </c>
      <c r="I262" s="137" t="s">
        <v>286</v>
      </c>
      <c r="J262" s="137" t="s">
        <v>283</v>
      </c>
      <c r="K262" s="137" t="s">
        <v>289</v>
      </c>
      <c r="L262" s="137" t="s">
        <v>292</v>
      </c>
      <c r="M262" s="137" t="s">
        <v>295</v>
      </c>
      <c r="N262" s="81">
        <v>31194</v>
      </c>
      <c r="O262" s="137" t="s">
        <v>341</v>
      </c>
      <c r="P262" s="137" t="s">
        <v>340</v>
      </c>
      <c r="Q262" s="137"/>
    </row>
    <row r="263" spans="2:17" s="109" customFormat="1" ht="23.1" customHeight="1" x14ac:dyDescent="0.25">
      <c r="B263" s="79" t="s">
        <v>121</v>
      </c>
      <c r="C263" s="137" t="s">
        <v>426</v>
      </c>
      <c r="D263" s="97">
        <v>5087.2584661079427</v>
      </c>
      <c r="E263" s="97">
        <f t="shared" si="8"/>
        <v>5349.9405469638687</v>
      </c>
      <c r="F263" s="97">
        <v>5087.2584661079427</v>
      </c>
      <c r="G263" s="97">
        <f t="shared" si="9"/>
        <v>5349.9405469638687</v>
      </c>
      <c r="H263" s="137" t="s">
        <v>344</v>
      </c>
      <c r="I263" s="137" t="s">
        <v>286</v>
      </c>
      <c r="J263" s="137" t="s">
        <v>283</v>
      </c>
      <c r="K263" s="137" t="s">
        <v>289</v>
      </c>
      <c r="L263" s="137" t="s">
        <v>292</v>
      </c>
      <c r="M263" s="137" t="s">
        <v>295</v>
      </c>
      <c r="N263" s="137">
        <v>31194</v>
      </c>
      <c r="O263" s="137" t="s">
        <v>341</v>
      </c>
      <c r="P263" s="137" t="s">
        <v>340</v>
      </c>
      <c r="Q263" s="137"/>
    </row>
    <row r="264" spans="2:17" s="109" customFormat="1" ht="23.1" customHeight="1" x14ac:dyDescent="0.25">
      <c r="B264" s="79" t="s">
        <v>121</v>
      </c>
      <c r="C264" s="79" t="s">
        <v>427</v>
      </c>
      <c r="D264" s="97">
        <v>8476.5046127488094</v>
      </c>
      <c r="E264" s="97">
        <f t="shared" si="8"/>
        <v>8914.1914110304024</v>
      </c>
      <c r="F264" s="97">
        <v>8476.5046127488094</v>
      </c>
      <c r="G264" s="97">
        <f t="shared" si="9"/>
        <v>8914.1914110304024</v>
      </c>
      <c r="H264" s="79" t="s">
        <v>344</v>
      </c>
      <c r="I264" s="79" t="s">
        <v>286</v>
      </c>
      <c r="J264" s="79" t="s">
        <v>283</v>
      </c>
      <c r="K264" s="79" t="s">
        <v>289</v>
      </c>
      <c r="L264" s="79" t="s">
        <v>292</v>
      </c>
      <c r="M264" s="79" t="s">
        <v>295</v>
      </c>
      <c r="N264" s="79">
        <v>31194</v>
      </c>
      <c r="O264" s="79" t="s">
        <v>341</v>
      </c>
      <c r="P264" s="79" t="s">
        <v>340</v>
      </c>
      <c r="Q264" s="79"/>
    </row>
    <row r="265" spans="2:17" s="109" customFormat="1" ht="23.1" customHeight="1" x14ac:dyDescent="0.25">
      <c r="B265" s="79" t="s">
        <v>121</v>
      </c>
      <c r="C265" s="79" t="s">
        <v>428</v>
      </c>
      <c r="D265" s="97">
        <v>5087.2584661079427</v>
      </c>
      <c r="E265" s="97">
        <f t="shared" si="8"/>
        <v>5349.9405469638687</v>
      </c>
      <c r="F265" s="97">
        <v>5087.2584661079427</v>
      </c>
      <c r="G265" s="97">
        <f t="shared" si="9"/>
        <v>5349.9405469638687</v>
      </c>
      <c r="H265" s="79" t="s">
        <v>344</v>
      </c>
      <c r="I265" s="79" t="s">
        <v>286</v>
      </c>
      <c r="J265" s="79" t="s">
        <v>283</v>
      </c>
      <c r="K265" s="79" t="s">
        <v>289</v>
      </c>
      <c r="L265" s="79" t="s">
        <v>292</v>
      </c>
      <c r="M265" s="79" t="s">
        <v>295</v>
      </c>
      <c r="N265" s="81">
        <v>31194</v>
      </c>
      <c r="O265" s="79" t="s">
        <v>341</v>
      </c>
      <c r="P265" s="79" t="s">
        <v>340</v>
      </c>
      <c r="Q265" s="79"/>
    </row>
    <row r="266" spans="2:17" s="109" customFormat="1" ht="23.1" customHeight="1" x14ac:dyDescent="0.25">
      <c r="B266" s="79" t="s">
        <v>411</v>
      </c>
      <c r="C266" s="79" t="s">
        <v>491</v>
      </c>
      <c r="D266" s="97">
        <v>11672.728208221386</v>
      </c>
      <c r="E266" s="97">
        <f t="shared" si="8"/>
        <v>12275.452947966543</v>
      </c>
      <c r="F266" s="97">
        <v>11672.728208221386</v>
      </c>
      <c r="G266" s="97">
        <f t="shared" si="9"/>
        <v>12275.452947966543</v>
      </c>
      <c r="H266" s="79" t="s">
        <v>344</v>
      </c>
      <c r="I266" s="79" t="s">
        <v>286</v>
      </c>
      <c r="J266" s="79" t="s">
        <v>283</v>
      </c>
      <c r="K266" s="79" t="s">
        <v>289</v>
      </c>
      <c r="L266" s="79" t="s">
        <v>291</v>
      </c>
      <c r="M266" s="79" t="s">
        <v>391</v>
      </c>
      <c r="N266" s="81">
        <v>16050</v>
      </c>
      <c r="O266" s="79" t="s">
        <v>341</v>
      </c>
      <c r="P266" s="79" t="s">
        <v>340</v>
      </c>
      <c r="Q266" s="79"/>
    </row>
    <row r="267" spans="2:17" s="109" customFormat="1" ht="23.1" customHeight="1" x14ac:dyDescent="0.25">
      <c r="B267" s="79" t="s">
        <v>411</v>
      </c>
      <c r="C267" s="79" t="s">
        <v>492</v>
      </c>
      <c r="D267" s="97">
        <v>29975.38</v>
      </c>
      <c r="E267" s="97">
        <f t="shared" si="8"/>
        <v>31523.167525502158</v>
      </c>
      <c r="F267" s="97">
        <v>29975.38</v>
      </c>
      <c r="G267" s="97">
        <f t="shared" si="9"/>
        <v>31523.167525502158</v>
      </c>
      <c r="H267" s="79" t="s">
        <v>344</v>
      </c>
      <c r="I267" s="79" t="s">
        <v>286</v>
      </c>
      <c r="J267" s="79" t="s">
        <v>283</v>
      </c>
      <c r="K267" s="79" t="s">
        <v>289</v>
      </c>
      <c r="L267" s="79" t="s">
        <v>291</v>
      </c>
      <c r="M267" s="79" t="s">
        <v>295</v>
      </c>
      <c r="N267" s="79">
        <v>31120</v>
      </c>
      <c r="O267" s="79" t="s">
        <v>340</v>
      </c>
      <c r="P267" s="79" t="s">
        <v>340</v>
      </c>
      <c r="Q267" s="79"/>
    </row>
    <row r="268" spans="2:17" s="109" customFormat="1" ht="23.1" customHeight="1" x14ac:dyDescent="0.25">
      <c r="B268" s="79" t="s">
        <v>411</v>
      </c>
      <c r="C268" s="79" t="s">
        <v>493</v>
      </c>
      <c r="D268" s="97">
        <v>41975.972000000002</v>
      </c>
      <c r="E268" s="97">
        <f t="shared" si="8"/>
        <v>44143.413608160692</v>
      </c>
      <c r="F268" s="97">
        <v>41975.972000000002</v>
      </c>
      <c r="G268" s="97">
        <f t="shared" si="9"/>
        <v>44143.413608160692</v>
      </c>
      <c r="H268" s="79" t="s">
        <v>344</v>
      </c>
      <c r="I268" s="79" t="s">
        <v>286</v>
      </c>
      <c r="J268" s="79" t="s">
        <v>283</v>
      </c>
      <c r="K268" s="79" t="s">
        <v>289</v>
      </c>
      <c r="L268" s="79" t="s">
        <v>292</v>
      </c>
      <c r="M268" s="79" t="s">
        <v>507</v>
      </c>
      <c r="N268" s="79">
        <v>43040</v>
      </c>
      <c r="O268" s="79" t="s">
        <v>340</v>
      </c>
      <c r="P268" s="79" t="s">
        <v>340</v>
      </c>
      <c r="Q268" s="79"/>
    </row>
    <row r="269" spans="2:17" s="109" customFormat="1" ht="23.1" customHeight="1" x14ac:dyDescent="0.25">
      <c r="B269" s="79" t="s">
        <v>159</v>
      </c>
      <c r="C269" s="79" t="s">
        <v>494</v>
      </c>
      <c r="D269" s="97">
        <v>2083175.2691887454</v>
      </c>
      <c r="E269" s="97">
        <f t="shared" si="8"/>
        <v>2190740.6343345731</v>
      </c>
      <c r="F269" s="97">
        <v>2083175.2691887454</v>
      </c>
      <c r="G269" s="97">
        <f t="shared" si="9"/>
        <v>2190740.6343345731</v>
      </c>
      <c r="H269" s="79" t="s">
        <v>344</v>
      </c>
      <c r="I269" s="79" t="s">
        <v>285</v>
      </c>
      <c r="J269" s="79" t="s">
        <v>283</v>
      </c>
      <c r="K269" s="79" t="s">
        <v>289</v>
      </c>
      <c r="L269" s="79" t="s">
        <v>291</v>
      </c>
      <c r="M269" s="79" t="s">
        <v>295</v>
      </c>
      <c r="N269" s="79">
        <v>31120</v>
      </c>
      <c r="O269" s="79" t="s">
        <v>341</v>
      </c>
      <c r="P269" s="79" t="s">
        <v>340</v>
      </c>
      <c r="Q269" s="79"/>
    </row>
    <row r="270" spans="2:17" s="109" customFormat="1" ht="23.1" customHeight="1" x14ac:dyDescent="0.25">
      <c r="B270" s="79" t="s">
        <v>125</v>
      </c>
      <c r="C270" s="79" t="s">
        <v>430</v>
      </c>
      <c r="D270" s="97">
        <v>1515078.2229153805</v>
      </c>
      <c r="E270" s="97">
        <f t="shared" si="8"/>
        <v>1593309.7306923761</v>
      </c>
      <c r="F270" s="97">
        <v>1515078.2229153805</v>
      </c>
      <c r="G270" s="97">
        <f t="shared" si="9"/>
        <v>1593309.7306923761</v>
      </c>
      <c r="H270" s="79" t="s">
        <v>344</v>
      </c>
      <c r="I270" s="79" t="s">
        <v>285</v>
      </c>
      <c r="J270" s="79" t="s">
        <v>283</v>
      </c>
      <c r="K270" s="79" t="s">
        <v>289</v>
      </c>
      <c r="L270" s="79" t="s">
        <v>291</v>
      </c>
      <c r="M270" s="79" t="s">
        <v>295</v>
      </c>
      <c r="N270" s="81">
        <v>31120</v>
      </c>
      <c r="O270" s="79" t="s">
        <v>340</v>
      </c>
      <c r="P270" s="79" t="s">
        <v>340</v>
      </c>
      <c r="Q270" s="79"/>
    </row>
    <row r="271" spans="2:17" s="109" customFormat="1" ht="23.1" customHeight="1" x14ac:dyDescent="0.25">
      <c r="B271" s="79" t="s">
        <v>125</v>
      </c>
      <c r="C271" s="79" t="s">
        <v>495</v>
      </c>
      <c r="D271" s="97">
        <v>6405.7863392208192</v>
      </c>
      <c r="E271" s="97">
        <f t="shared" si="8"/>
        <v>6736.5509929759382</v>
      </c>
      <c r="F271" s="97">
        <v>6405.7863392208192</v>
      </c>
      <c r="G271" s="97">
        <f t="shared" si="9"/>
        <v>6736.5509929759382</v>
      </c>
      <c r="H271" s="79" t="s">
        <v>344</v>
      </c>
      <c r="I271" s="79" t="s">
        <v>286</v>
      </c>
      <c r="J271" s="79" t="s">
        <v>283</v>
      </c>
      <c r="K271" s="79" t="s">
        <v>289</v>
      </c>
      <c r="L271" s="79" t="s">
        <v>291</v>
      </c>
      <c r="M271" s="79" t="s">
        <v>391</v>
      </c>
      <c r="N271" s="81">
        <v>16050</v>
      </c>
      <c r="O271" s="79" t="s">
        <v>341</v>
      </c>
      <c r="P271" s="79" t="s">
        <v>340</v>
      </c>
      <c r="Q271" s="79"/>
    </row>
    <row r="272" spans="2:17" s="109" customFormat="1" ht="23.1" customHeight="1" x14ac:dyDescent="0.25">
      <c r="B272" s="79" t="s">
        <v>125</v>
      </c>
      <c r="C272" s="79" t="s">
        <v>496</v>
      </c>
      <c r="D272" s="97">
        <v>769.50788164915741</v>
      </c>
      <c r="E272" s="97">
        <f t="shared" si="8"/>
        <v>809.24164649191027</v>
      </c>
      <c r="F272" s="97">
        <v>769.50788164915741</v>
      </c>
      <c r="G272" s="97">
        <f t="shared" si="9"/>
        <v>809.24164649191027</v>
      </c>
      <c r="H272" s="79" t="s">
        <v>344</v>
      </c>
      <c r="I272" s="79" t="s">
        <v>286</v>
      </c>
      <c r="J272" s="79" t="s">
        <v>283</v>
      </c>
      <c r="K272" s="79" t="s">
        <v>289</v>
      </c>
      <c r="L272" s="79" t="s">
        <v>291</v>
      </c>
      <c r="M272" s="79" t="s">
        <v>295</v>
      </c>
      <c r="N272" s="79">
        <v>31120</v>
      </c>
      <c r="O272" s="79" t="s">
        <v>341</v>
      </c>
      <c r="P272" s="79" t="s">
        <v>340</v>
      </c>
      <c r="Q272" s="79"/>
    </row>
    <row r="273" spans="2:17" s="109" customFormat="1" ht="23.1" customHeight="1" x14ac:dyDescent="0.25">
      <c r="B273" s="79" t="s">
        <v>125</v>
      </c>
      <c r="C273" s="79" t="s">
        <v>497</v>
      </c>
      <c r="D273" s="97">
        <v>34.112942321568951</v>
      </c>
      <c r="E273" s="97">
        <f t="shared" si="8"/>
        <v>35.874374089356351</v>
      </c>
      <c r="F273" s="97">
        <v>34.112942321568951</v>
      </c>
      <c r="G273" s="97">
        <f t="shared" si="9"/>
        <v>35.874374089356351</v>
      </c>
      <c r="H273" s="79" t="s">
        <v>344</v>
      </c>
      <c r="I273" s="79" t="s">
        <v>286</v>
      </c>
      <c r="J273" s="79" t="s">
        <v>283</v>
      </c>
      <c r="K273" s="79" t="s">
        <v>289</v>
      </c>
      <c r="L273" s="79" t="s">
        <v>292</v>
      </c>
      <c r="M273" s="79" t="s">
        <v>510</v>
      </c>
      <c r="N273" s="81">
        <v>11220</v>
      </c>
      <c r="O273" s="79" t="s">
        <v>341</v>
      </c>
      <c r="P273" s="79" t="s">
        <v>340</v>
      </c>
      <c r="Q273" s="79"/>
    </row>
    <row r="274" spans="2:17" s="109" customFormat="1" ht="23.1" customHeight="1" x14ac:dyDescent="0.25">
      <c r="B274" s="79" t="s">
        <v>125</v>
      </c>
      <c r="C274" s="79" t="s">
        <v>498</v>
      </c>
      <c r="D274" s="97">
        <v>10961.452100840736</v>
      </c>
      <c r="E274" s="97">
        <f t="shared" si="8"/>
        <v>11527.449890462442</v>
      </c>
      <c r="F274" s="97">
        <v>10961.452100840736</v>
      </c>
      <c r="G274" s="97">
        <f t="shared" si="9"/>
        <v>11527.449890462442</v>
      </c>
      <c r="H274" s="79" t="s">
        <v>344</v>
      </c>
      <c r="I274" s="79" t="s">
        <v>286</v>
      </c>
      <c r="J274" s="79" t="s">
        <v>283</v>
      </c>
      <c r="K274" s="79" t="s">
        <v>289</v>
      </c>
      <c r="L274" s="79" t="s">
        <v>292</v>
      </c>
      <c r="M274" s="79" t="s">
        <v>510</v>
      </c>
      <c r="N274" s="81">
        <v>11330</v>
      </c>
      <c r="O274" s="79" t="s">
        <v>341</v>
      </c>
      <c r="P274" s="79" t="s">
        <v>340</v>
      </c>
      <c r="Q274" s="79"/>
    </row>
    <row r="275" spans="2:17" s="109" customFormat="1" ht="23.1" customHeight="1" x14ac:dyDescent="0.25">
      <c r="B275" s="79" t="s">
        <v>125</v>
      </c>
      <c r="C275" s="79" t="s">
        <v>499</v>
      </c>
      <c r="D275" s="97">
        <v>741.58724028615029</v>
      </c>
      <c r="E275" s="97">
        <f t="shared" si="8"/>
        <v>779.87931463471477</v>
      </c>
      <c r="F275" s="97">
        <v>741.58724028615029</v>
      </c>
      <c r="G275" s="97">
        <f t="shared" si="9"/>
        <v>779.87931463471477</v>
      </c>
      <c r="H275" s="79" t="s">
        <v>344</v>
      </c>
      <c r="I275" s="79" t="s">
        <v>286</v>
      </c>
      <c r="J275" s="79" t="s">
        <v>283</v>
      </c>
      <c r="K275" s="79" t="s">
        <v>289</v>
      </c>
      <c r="L275" s="79" t="s">
        <v>292</v>
      </c>
      <c r="M275" s="79" t="s">
        <v>510</v>
      </c>
      <c r="N275" s="79">
        <v>11330</v>
      </c>
      <c r="O275" s="79" t="s">
        <v>341</v>
      </c>
      <c r="P275" s="79" t="s">
        <v>340</v>
      </c>
      <c r="Q275" s="79"/>
    </row>
    <row r="276" spans="2:17" s="109" customFormat="1" ht="23.1" customHeight="1" x14ac:dyDescent="0.25">
      <c r="B276" s="79" t="s">
        <v>125</v>
      </c>
      <c r="C276" s="79" t="s">
        <v>500</v>
      </c>
      <c r="D276" s="97">
        <v>3071.0196703965312</v>
      </c>
      <c r="E276" s="97">
        <f t="shared" si="8"/>
        <v>3229.592670519015</v>
      </c>
      <c r="F276" s="97">
        <v>3071.0196703965312</v>
      </c>
      <c r="G276" s="97">
        <f t="shared" si="9"/>
        <v>3229.592670519015</v>
      </c>
      <c r="H276" s="79" t="s">
        <v>344</v>
      </c>
      <c r="I276" s="79" t="s">
        <v>286</v>
      </c>
      <c r="J276" s="79" t="s">
        <v>283</v>
      </c>
      <c r="K276" s="79" t="s">
        <v>289</v>
      </c>
      <c r="L276" s="79" t="s">
        <v>292</v>
      </c>
      <c r="M276" s="79" t="s">
        <v>510</v>
      </c>
      <c r="N276" s="79">
        <v>11330</v>
      </c>
      <c r="O276" s="79" t="s">
        <v>341</v>
      </c>
      <c r="P276" s="79" t="s">
        <v>340</v>
      </c>
      <c r="Q276" s="79"/>
    </row>
    <row r="277" spans="2:17" s="109" customFormat="1" ht="23.1" customHeight="1" x14ac:dyDescent="0.25">
      <c r="B277" s="79" t="s">
        <v>125</v>
      </c>
      <c r="C277" s="79" t="s">
        <v>425</v>
      </c>
      <c r="D277" s="97">
        <v>8473.1153666021692</v>
      </c>
      <c r="E277" s="97">
        <f t="shared" si="8"/>
        <v>8910.6271601663375</v>
      </c>
      <c r="F277" s="97">
        <v>8473.1153666021692</v>
      </c>
      <c r="G277" s="97">
        <f t="shared" si="9"/>
        <v>8910.6271601663375</v>
      </c>
      <c r="H277" s="79" t="s">
        <v>344</v>
      </c>
      <c r="I277" s="79" t="s">
        <v>286</v>
      </c>
      <c r="J277" s="79" t="s">
        <v>283</v>
      </c>
      <c r="K277" s="79" t="s">
        <v>289</v>
      </c>
      <c r="L277" s="79" t="s">
        <v>292</v>
      </c>
      <c r="M277" s="79" t="s">
        <v>295</v>
      </c>
      <c r="N277" s="81">
        <v>31194</v>
      </c>
      <c r="O277" s="79" t="s">
        <v>341</v>
      </c>
      <c r="P277" s="79" t="s">
        <v>340</v>
      </c>
      <c r="Q277" s="79"/>
    </row>
    <row r="278" spans="2:17" s="109" customFormat="1" ht="23.1" customHeight="1" x14ac:dyDescent="0.25">
      <c r="B278" s="79" t="s">
        <v>125</v>
      </c>
      <c r="C278" s="79" t="s">
        <v>426</v>
      </c>
      <c r="D278" s="97">
        <v>7837.6317141070067</v>
      </c>
      <c r="E278" s="97">
        <f t="shared" si="8"/>
        <v>8242.3301231538626</v>
      </c>
      <c r="F278" s="97">
        <v>7837.6317141070067</v>
      </c>
      <c r="G278" s="97">
        <f t="shared" si="9"/>
        <v>8242.3301231538626</v>
      </c>
      <c r="H278" s="79" t="s">
        <v>344</v>
      </c>
      <c r="I278" s="79" t="s">
        <v>286</v>
      </c>
      <c r="J278" s="79" t="s">
        <v>283</v>
      </c>
      <c r="K278" s="79" t="s">
        <v>289</v>
      </c>
      <c r="L278" s="79" t="s">
        <v>292</v>
      </c>
      <c r="M278" s="79" t="s">
        <v>295</v>
      </c>
      <c r="N278" s="81">
        <v>31194</v>
      </c>
      <c r="O278" s="79" t="s">
        <v>341</v>
      </c>
      <c r="P278" s="79" t="s">
        <v>340</v>
      </c>
      <c r="Q278" s="79"/>
    </row>
    <row r="279" spans="2:17" s="109" customFormat="1" ht="23.1" customHeight="1" x14ac:dyDescent="0.25">
      <c r="B279" s="79" t="s">
        <v>125</v>
      </c>
      <c r="C279" s="79" t="s">
        <v>427</v>
      </c>
      <c r="D279" s="97">
        <v>8473.1153666021692</v>
      </c>
      <c r="E279" s="97">
        <f t="shared" si="8"/>
        <v>8910.6271601663375</v>
      </c>
      <c r="F279" s="97">
        <v>8473.1153666021692</v>
      </c>
      <c r="G279" s="97">
        <f t="shared" si="9"/>
        <v>8910.6271601663375</v>
      </c>
      <c r="H279" s="79" t="s">
        <v>344</v>
      </c>
      <c r="I279" s="79" t="s">
        <v>286</v>
      </c>
      <c r="J279" s="79" t="s">
        <v>283</v>
      </c>
      <c r="K279" s="79" t="s">
        <v>289</v>
      </c>
      <c r="L279" s="79" t="s">
        <v>292</v>
      </c>
      <c r="M279" s="79" t="s">
        <v>295</v>
      </c>
      <c r="N279" s="79">
        <v>31194</v>
      </c>
      <c r="O279" s="79" t="s">
        <v>341</v>
      </c>
      <c r="P279" s="79" t="s">
        <v>340</v>
      </c>
      <c r="Q279" s="79"/>
    </row>
    <row r="280" spans="2:17" s="109" customFormat="1" ht="23.1" customHeight="1" x14ac:dyDescent="0.25">
      <c r="B280" s="79" t="s">
        <v>125</v>
      </c>
      <c r="C280" s="79" t="s">
        <v>428</v>
      </c>
      <c r="D280" s="97">
        <v>7837.6317141070067</v>
      </c>
      <c r="E280" s="97">
        <f t="shared" si="8"/>
        <v>8242.3301231538626</v>
      </c>
      <c r="F280" s="97">
        <v>7837.6317141070067</v>
      </c>
      <c r="G280" s="97">
        <f t="shared" si="9"/>
        <v>8242.3301231538626</v>
      </c>
      <c r="H280" s="79" t="s">
        <v>344</v>
      </c>
      <c r="I280" s="79" t="s">
        <v>286</v>
      </c>
      <c r="J280" s="79" t="s">
        <v>283</v>
      </c>
      <c r="K280" s="79" t="s">
        <v>289</v>
      </c>
      <c r="L280" s="79" t="s">
        <v>292</v>
      </c>
      <c r="M280" s="79" t="s">
        <v>295</v>
      </c>
      <c r="N280" s="79">
        <v>31194</v>
      </c>
      <c r="O280" s="79" t="s">
        <v>341</v>
      </c>
      <c r="P280" s="79" t="s">
        <v>340</v>
      </c>
      <c r="Q280" s="79"/>
    </row>
    <row r="281" spans="2:17" s="109" customFormat="1" ht="23.1" customHeight="1" x14ac:dyDescent="0.25">
      <c r="B281" s="79" t="s">
        <v>125</v>
      </c>
      <c r="C281" s="79" t="s">
        <v>501</v>
      </c>
      <c r="D281" s="97">
        <v>305.78032859842244</v>
      </c>
      <c r="E281" s="97">
        <f t="shared" ref="E281:E293" si="10">D281*(1/$C$4)</f>
        <v>321.56938542267585</v>
      </c>
      <c r="F281" s="97">
        <v>305.78032859842244</v>
      </c>
      <c r="G281" s="97">
        <f t="shared" ref="G281:G293" si="11">F281*(1/$C$4)</f>
        <v>321.56938542267585</v>
      </c>
      <c r="H281" s="79" t="s">
        <v>344</v>
      </c>
      <c r="I281" s="79" t="s">
        <v>286</v>
      </c>
      <c r="J281" s="79" t="s">
        <v>283</v>
      </c>
      <c r="K281" s="79" t="s">
        <v>289</v>
      </c>
      <c r="L281" s="79" t="s">
        <v>292</v>
      </c>
      <c r="M281" s="79" t="s">
        <v>526</v>
      </c>
      <c r="N281" s="81">
        <v>41081</v>
      </c>
      <c r="O281" s="79" t="s">
        <v>341</v>
      </c>
      <c r="P281" s="79" t="s">
        <v>340</v>
      </c>
      <c r="Q281" s="79"/>
    </row>
    <row r="282" spans="2:17" s="109" customFormat="1" ht="23.1" customHeight="1" x14ac:dyDescent="0.25">
      <c r="B282" s="79" t="s">
        <v>125</v>
      </c>
      <c r="C282" s="79" t="s">
        <v>462</v>
      </c>
      <c r="D282" s="97">
        <v>4.7507359692804778</v>
      </c>
      <c r="E282" s="97">
        <f t="shared" si="10"/>
        <v>4.9960416124518643</v>
      </c>
      <c r="F282" s="97">
        <v>4.7507359692804778</v>
      </c>
      <c r="G282" s="97">
        <f t="shared" si="11"/>
        <v>4.9960416124518643</v>
      </c>
      <c r="H282" s="79" t="s">
        <v>344</v>
      </c>
      <c r="I282" s="79" t="s">
        <v>286</v>
      </c>
      <c r="J282" s="79" t="s">
        <v>283</v>
      </c>
      <c r="K282" s="79" t="s">
        <v>289</v>
      </c>
      <c r="L282" s="79" t="s">
        <v>293</v>
      </c>
      <c r="M282" s="79" t="s">
        <v>295</v>
      </c>
      <c r="N282" s="81">
        <v>31181</v>
      </c>
      <c r="O282" s="79" t="s">
        <v>341</v>
      </c>
      <c r="P282" s="79" t="s">
        <v>340</v>
      </c>
      <c r="Q282" s="79"/>
    </row>
    <row r="283" spans="2:17" s="109" customFormat="1" ht="23.1" customHeight="1" x14ac:dyDescent="0.25">
      <c r="B283" s="79" t="s">
        <v>139</v>
      </c>
      <c r="C283" s="79" t="s">
        <v>502</v>
      </c>
      <c r="D283" s="97">
        <v>311578.12324375496</v>
      </c>
      <c r="E283" s="97">
        <f t="shared" si="10"/>
        <v>327666.55089258071</v>
      </c>
      <c r="F283" s="97">
        <v>311578.12324375496</v>
      </c>
      <c r="G283" s="97">
        <f t="shared" si="11"/>
        <v>327666.55089258071</v>
      </c>
      <c r="H283" s="79" t="s">
        <v>344</v>
      </c>
      <c r="I283" s="79" t="s">
        <v>286</v>
      </c>
      <c r="J283" s="79" t="s">
        <v>283</v>
      </c>
      <c r="K283" s="79" t="s">
        <v>289</v>
      </c>
      <c r="L283" s="79" t="s">
        <v>291</v>
      </c>
      <c r="M283" s="79" t="s">
        <v>295</v>
      </c>
      <c r="N283" s="79">
        <v>31161</v>
      </c>
      <c r="O283" s="79" t="s">
        <v>341</v>
      </c>
      <c r="P283" s="79" t="s">
        <v>341</v>
      </c>
      <c r="Q283" s="79"/>
    </row>
    <row r="284" spans="2:17" s="109" customFormat="1" ht="23.1" customHeight="1" x14ac:dyDescent="0.25">
      <c r="B284" s="79" t="s">
        <v>135</v>
      </c>
      <c r="C284" s="79" t="s">
        <v>448</v>
      </c>
      <c r="D284" s="97">
        <v>1280.6335994331732</v>
      </c>
      <c r="E284" s="97">
        <f t="shared" si="10"/>
        <v>1346.7594904124232</v>
      </c>
      <c r="F284" s="97">
        <v>1280.6335994331732</v>
      </c>
      <c r="G284" s="97">
        <f t="shared" si="11"/>
        <v>1346.7594904124232</v>
      </c>
      <c r="H284" s="79" t="s">
        <v>344</v>
      </c>
      <c r="I284" s="79" t="s">
        <v>286</v>
      </c>
      <c r="J284" s="79" t="s">
        <v>283</v>
      </c>
      <c r="K284" s="79" t="s">
        <v>289</v>
      </c>
      <c r="L284" s="79" t="s">
        <v>291</v>
      </c>
      <c r="M284" s="79" t="s">
        <v>510</v>
      </c>
      <c r="N284" s="81">
        <v>11230</v>
      </c>
      <c r="O284" s="79" t="s">
        <v>341</v>
      </c>
      <c r="P284" s="79" t="s">
        <v>340</v>
      </c>
      <c r="Q284" s="79"/>
    </row>
    <row r="285" spans="2:17" s="109" customFormat="1" ht="23.1" customHeight="1" x14ac:dyDescent="0.25">
      <c r="B285" s="79" t="s">
        <v>135</v>
      </c>
      <c r="C285" s="79" t="s">
        <v>444</v>
      </c>
      <c r="D285" s="97">
        <v>2381.3299823959069</v>
      </c>
      <c r="E285" s="97">
        <f t="shared" si="10"/>
        <v>2504.2906534818667</v>
      </c>
      <c r="F285" s="97">
        <v>2381.3299823959069</v>
      </c>
      <c r="G285" s="97">
        <f t="shared" si="11"/>
        <v>2504.2906534818667</v>
      </c>
      <c r="H285" s="79" t="s">
        <v>344</v>
      </c>
      <c r="I285" s="79" t="s">
        <v>286</v>
      </c>
      <c r="J285" s="79" t="s">
        <v>283</v>
      </c>
      <c r="K285" s="79" t="s">
        <v>289</v>
      </c>
      <c r="L285" s="79" t="s">
        <v>291</v>
      </c>
      <c r="M285" s="79" t="s">
        <v>295</v>
      </c>
      <c r="N285" s="81">
        <v>31120</v>
      </c>
      <c r="O285" s="79" t="s">
        <v>341</v>
      </c>
      <c r="P285" s="79" t="s">
        <v>340</v>
      </c>
      <c r="Q285" s="79"/>
    </row>
    <row r="286" spans="2:17" s="109" customFormat="1" ht="23.1" customHeight="1" x14ac:dyDescent="0.25">
      <c r="B286" s="79" t="s">
        <v>135</v>
      </c>
      <c r="C286" s="79" t="s">
        <v>445</v>
      </c>
      <c r="D286" s="97">
        <v>1406.6075196036393</v>
      </c>
      <c r="E286" s="97">
        <f t="shared" si="10"/>
        <v>1479.2381108461871</v>
      </c>
      <c r="F286" s="97">
        <v>1406.6075196036393</v>
      </c>
      <c r="G286" s="97">
        <f t="shared" si="11"/>
        <v>1479.2381108461871</v>
      </c>
      <c r="H286" s="79" t="s">
        <v>344</v>
      </c>
      <c r="I286" s="79" t="s">
        <v>286</v>
      </c>
      <c r="J286" s="79" t="s">
        <v>283</v>
      </c>
      <c r="K286" s="79" t="s">
        <v>289</v>
      </c>
      <c r="L286" s="79" t="s">
        <v>291</v>
      </c>
      <c r="M286" s="79" t="s">
        <v>295</v>
      </c>
      <c r="N286" s="79">
        <v>31181</v>
      </c>
      <c r="O286" s="79" t="s">
        <v>341</v>
      </c>
      <c r="P286" s="79" t="s">
        <v>340</v>
      </c>
      <c r="Q286" s="79"/>
    </row>
    <row r="287" spans="2:17" s="109" customFormat="1" ht="23.1" customHeight="1" x14ac:dyDescent="0.25">
      <c r="B287" s="79" t="s">
        <v>135</v>
      </c>
      <c r="C287" s="79" t="s">
        <v>473</v>
      </c>
      <c r="D287" s="97">
        <v>47.649709757150362</v>
      </c>
      <c r="E287" s="97">
        <f t="shared" si="10"/>
        <v>50.110116476128262</v>
      </c>
      <c r="F287" s="97">
        <v>47.649709757150362</v>
      </c>
      <c r="G287" s="97">
        <f t="shared" si="11"/>
        <v>50.110116476128262</v>
      </c>
      <c r="H287" s="79" t="s">
        <v>344</v>
      </c>
      <c r="I287" s="79" t="s">
        <v>286</v>
      </c>
      <c r="J287" s="79" t="s">
        <v>283</v>
      </c>
      <c r="K287" s="79" t="s">
        <v>289</v>
      </c>
      <c r="L287" s="79" t="s">
        <v>291</v>
      </c>
      <c r="M287" s="79" t="s">
        <v>507</v>
      </c>
      <c r="N287" s="79">
        <v>43040</v>
      </c>
      <c r="O287" s="79" t="s">
        <v>341</v>
      </c>
      <c r="P287" s="79" t="s">
        <v>340</v>
      </c>
      <c r="Q287" s="79"/>
    </row>
    <row r="288" spans="2:17" s="109" customFormat="1" ht="23.1" customHeight="1" x14ac:dyDescent="0.25">
      <c r="B288" s="79" t="s">
        <v>135</v>
      </c>
      <c r="C288" s="79" t="s">
        <v>447</v>
      </c>
      <c r="D288" s="97">
        <v>1406.6075196036393</v>
      </c>
      <c r="E288" s="97">
        <f t="shared" si="10"/>
        <v>1479.2381108461871</v>
      </c>
      <c r="F288" s="97">
        <v>1406.6075196036393</v>
      </c>
      <c r="G288" s="97">
        <f t="shared" si="11"/>
        <v>1479.2381108461871</v>
      </c>
      <c r="H288" s="79" t="s">
        <v>344</v>
      </c>
      <c r="I288" s="79" t="s">
        <v>286</v>
      </c>
      <c r="J288" s="79" t="s">
        <v>283</v>
      </c>
      <c r="K288" s="79" t="s">
        <v>289</v>
      </c>
      <c r="L288" s="79" t="s">
        <v>291</v>
      </c>
      <c r="M288" s="79" t="s">
        <v>507</v>
      </c>
      <c r="N288" s="81">
        <v>43072</v>
      </c>
      <c r="O288" s="79" t="s">
        <v>341</v>
      </c>
      <c r="P288" s="79" t="s">
        <v>340</v>
      </c>
      <c r="Q288" s="79"/>
    </row>
    <row r="289" spans="2:17" s="109" customFormat="1" ht="23.1" customHeight="1" x14ac:dyDescent="0.25">
      <c r="B289" s="79" t="s">
        <v>136</v>
      </c>
      <c r="C289" s="79" t="s">
        <v>448</v>
      </c>
      <c r="D289" s="97">
        <v>3532.017251681109</v>
      </c>
      <c r="E289" s="97">
        <f t="shared" si="10"/>
        <v>3714.3939969303915</v>
      </c>
      <c r="F289" s="97">
        <v>3532.017251681109</v>
      </c>
      <c r="G289" s="97">
        <f t="shared" si="11"/>
        <v>3714.3939969303915</v>
      </c>
      <c r="H289" s="79" t="s">
        <v>344</v>
      </c>
      <c r="I289" s="79" t="s">
        <v>286</v>
      </c>
      <c r="J289" s="79" t="s">
        <v>283</v>
      </c>
      <c r="K289" s="79" t="s">
        <v>289</v>
      </c>
      <c r="L289" s="79" t="s">
        <v>291</v>
      </c>
      <c r="M289" s="79" t="s">
        <v>510</v>
      </c>
      <c r="N289" s="81">
        <v>11230</v>
      </c>
      <c r="O289" s="79" t="s">
        <v>341</v>
      </c>
      <c r="P289" s="79" t="s">
        <v>340</v>
      </c>
      <c r="Q289" s="79"/>
    </row>
    <row r="290" spans="2:17" s="109" customFormat="1" ht="23.1" customHeight="1" x14ac:dyDescent="0.25">
      <c r="B290" s="79" t="s">
        <v>136</v>
      </c>
      <c r="C290" s="79" t="s">
        <v>444</v>
      </c>
      <c r="D290" s="97">
        <v>410.5845807359604</v>
      </c>
      <c r="E290" s="97">
        <f t="shared" si="10"/>
        <v>431.78523581444989</v>
      </c>
      <c r="F290" s="97">
        <v>410.5845807359604</v>
      </c>
      <c r="G290" s="97">
        <f t="shared" si="11"/>
        <v>431.78523581444989</v>
      </c>
      <c r="H290" s="79" t="s">
        <v>344</v>
      </c>
      <c r="I290" s="79" t="s">
        <v>286</v>
      </c>
      <c r="J290" s="79" t="s">
        <v>283</v>
      </c>
      <c r="K290" s="79" t="s">
        <v>289</v>
      </c>
      <c r="L290" s="79" t="s">
        <v>291</v>
      </c>
      <c r="M290" s="79" t="s">
        <v>295</v>
      </c>
      <c r="N290" s="79">
        <v>31120</v>
      </c>
      <c r="O290" s="79" t="s">
        <v>341</v>
      </c>
      <c r="P290" s="79" t="s">
        <v>340</v>
      </c>
      <c r="Q290" s="79"/>
    </row>
    <row r="291" spans="2:17" s="109" customFormat="1" ht="23.1" customHeight="1" x14ac:dyDescent="0.25">
      <c r="B291" s="79" t="s">
        <v>136</v>
      </c>
      <c r="C291" s="79" t="s">
        <v>445</v>
      </c>
      <c r="D291" s="97">
        <v>78.982367866334926</v>
      </c>
      <c r="E291" s="97">
        <f t="shared" si="10"/>
        <v>83.060645563502916</v>
      </c>
      <c r="F291" s="97">
        <v>78.982367866334926</v>
      </c>
      <c r="G291" s="97">
        <f t="shared" si="11"/>
        <v>83.060645563502916</v>
      </c>
      <c r="H291" s="79" t="s">
        <v>344</v>
      </c>
      <c r="I291" s="79" t="s">
        <v>286</v>
      </c>
      <c r="J291" s="79" t="s">
        <v>283</v>
      </c>
      <c r="K291" s="79" t="s">
        <v>289</v>
      </c>
      <c r="L291" s="79" t="s">
        <v>291</v>
      </c>
      <c r="M291" s="79" t="s">
        <v>295</v>
      </c>
      <c r="N291" s="79">
        <v>31181</v>
      </c>
      <c r="O291" s="79" t="s">
        <v>341</v>
      </c>
      <c r="P291" s="79" t="s">
        <v>340</v>
      </c>
      <c r="Q291" s="79"/>
    </row>
    <row r="292" spans="2:17" s="109" customFormat="1" ht="23.1" customHeight="1" x14ac:dyDescent="0.25">
      <c r="B292" s="79" t="s">
        <v>136</v>
      </c>
      <c r="C292" s="79" t="s">
        <v>473</v>
      </c>
      <c r="D292" s="97">
        <v>157.75851545103453</v>
      </c>
      <c r="E292" s="97">
        <f t="shared" si="10"/>
        <v>165.90442260073038</v>
      </c>
      <c r="F292" s="97">
        <v>157.75851545103453</v>
      </c>
      <c r="G292" s="97">
        <f t="shared" si="11"/>
        <v>165.90442260073038</v>
      </c>
      <c r="H292" s="79" t="s">
        <v>344</v>
      </c>
      <c r="I292" s="79" t="s">
        <v>286</v>
      </c>
      <c r="J292" s="79" t="s">
        <v>283</v>
      </c>
      <c r="K292" s="79" t="s">
        <v>289</v>
      </c>
      <c r="L292" s="79" t="s">
        <v>291</v>
      </c>
      <c r="M292" s="79" t="s">
        <v>507</v>
      </c>
      <c r="N292" s="81">
        <v>43040</v>
      </c>
      <c r="O292" s="79" t="s">
        <v>341</v>
      </c>
      <c r="P292" s="79" t="s">
        <v>340</v>
      </c>
      <c r="Q292" s="79"/>
    </row>
    <row r="293" spans="2:17" s="109" customFormat="1" ht="23.1" customHeight="1" x14ac:dyDescent="0.25">
      <c r="B293" s="79" t="s">
        <v>136</v>
      </c>
      <c r="C293" s="79" t="s">
        <v>503</v>
      </c>
      <c r="D293" s="97">
        <v>26044.064000000002</v>
      </c>
      <c r="E293" s="97">
        <f t="shared" si="10"/>
        <v>27388.856872436641</v>
      </c>
      <c r="F293" s="97">
        <v>26044.064000000002</v>
      </c>
      <c r="G293" s="97">
        <f t="shared" si="11"/>
        <v>27388.856872436641</v>
      </c>
      <c r="H293" s="79" t="s">
        <v>344</v>
      </c>
      <c r="I293" s="79" t="s">
        <v>286</v>
      </c>
      <c r="J293" s="79" t="s">
        <v>283</v>
      </c>
      <c r="K293" s="79" t="s">
        <v>289</v>
      </c>
      <c r="L293" s="79" t="s">
        <v>292</v>
      </c>
      <c r="M293" s="79" t="s">
        <v>526</v>
      </c>
      <c r="N293" s="81">
        <v>41081</v>
      </c>
      <c r="O293" s="79" t="s">
        <v>340</v>
      </c>
      <c r="P293" s="79" t="s">
        <v>340</v>
      </c>
      <c r="Q293" s="79"/>
    </row>
    <row r="294" spans="2:17" s="109" customFormat="1" ht="37.5" customHeight="1" x14ac:dyDescent="0.25">
      <c r="B294" s="79" t="s">
        <v>166</v>
      </c>
      <c r="C294" s="79" t="s">
        <v>278</v>
      </c>
      <c r="D294" s="97">
        <v>3000000</v>
      </c>
      <c r="E294" s="97">
        <f t="shared" si="4"/>
        <v>3154905.8786412873</v>
      </c>
      <c r="F294" s="97">
        <v>3000000</v>
      </c>
      <c r="G294" s="97">
        <f t="shared" si="5"/>
        <v>3154905.8786412873</v>
      </c>
      <c r="H294" s="79" t="s">
        <v>345</v>
      </c>
      <c r="I294" s="79" t="s">
        <v>552</v>
      </c>
      <c r="J294" s="79" t="s">
        <v>284</v>
      </c>
      <c r="K294" s="79" t="s">
        <v>289</v>
      </c>
      <c r="L294" s="79" t="s">
        <v>292</v>
      </c>
      <c r="M294" s="79" t="s">
        <v>506</v>
      </c>
      <c r="N294" s="81">
        <v>41040</v>
      </c>
      <c r="O294" s="79" t="s">
        <v>341</v>
      </c>
      <c r="P294" s="79" t="s">
        <v>341</v>
      </c>
      <c r="Q294" s="79" t="s">
        <v>529</v>
      </c>
    </row>
    <row r="295" spans="2:17" s="109" customFormat="1" ht="35.25" customHeight="1" x14ac:dyDescent="0.25">
      <c r="B295" s="79" t="s">
        <v>166</v>
      </c>
      <c r="C295" s="79" t="s">
        <v>278</v>
      </c>
      <c r="D295" s="97">
        <v>500000</v>
      </c>
      <c r="E295" s="97">
        <f t="shared" si="4"/>
        <v>525817.64644021459</v>
      </c>
      <c r="F295" s="97">
        <v>500000</v>
      </c>
      <c r="G295" s="97">
        <f t="shared" si="5"/>
        <v>525817.64644021459</v>
      </c>
      <c r="H295" s="79" t="s">
        <v>344</v>
      </c>
      <c r="I295" s="79" t="s">
        <v>552</v>
      </c>
      <c r="J295" s="79" t="s">
        <v>284</v>
      </c>
      <c r="K295" s="79" t="s">
        <v>289</v>
      </c>
      <c r="L295" s="79" t="s">
        <v>292</v>
      </c>
      <c r="M295" s="79" t="s">
        <v>506</v>
      </c>
      <c r="N295" s="81">
        <v>41040</v>
      </c>
      <c r="O295" s="79" t="s">
        <v>341</v>
      </c>
      <c r="P295" s="79" t="s">
        <v>341</v>
      </c>
      <c r="Q295" s="79"/>
    </row>
    <row r="296" spans="2:17" s="109" customFormat="1" ht="23.1" customHeight="1" x14ac:dyDescent="0.25">
      <c r="B296" s="79" t="s">
        <v>128</v>
      </c>
      <c r="C296" s="79" t="s">
        <v>422</v>
      </c>
      <c r="D296" s="97">
        <v>99368</v>
      </c>
      <c r="E296" s="97">
        <f t="shared" si="4"/>
        <v>104498.89578294248</v>
      </c>
      <c r="F296" s="97">
        <v>99368</v>
      </c>
      <c r="G296" s="97">
        <f t="shared" si="5"/>
        <v>104498.89578294248</v>
      </c>
      <c r="H296" s="79" t="s">
        <v>344</v>
      </c>
      <c r="I296" s="79" t="s">
        <v>286</v>
      </c>
      <c r="J296" s="79" t="s">
        <v>284</v>
      </c>
      <c r="K296" s="79" t="s">
        <v>289</v>
      </c>
      <c r="L296" s="79" t="s">
        <v>291</v>
      </c>
      <c r="M296" s="79" t="s">
        <v>321</v>
      </c>
      <c r="N296" s="81">
        <v>31181</v>
      </c>
      <c r="O296" s="79" t="s">
        <v>341</v>
      </c>
      <c r="P296" s="79" t="s">
        <v>341</v>
      </c>
      <c r="Q296" s="79"/>
    </row>
    <row r="297" spans="2:17" s="109" customFormat="1" ht="23.1" customHeight="1" x14ac:dyDescent="0.25">
      <c r="B297" s="79" t="s">
        <v>128</v>
      </c>
      <c r="C297" s="79" t="s">
        <v>423</v>
      </c>
      <c r="D297" s="97">
        <v>200000</v>
      </c>
      <c r="E297" s="97">
        <f t="shared" si="4"/>
        <v>210327.05857608584</v>
      </c>
      <c r="F297" s="97">
        <v>200000</v>
      </c>
      <c r="G297" s="97">
        <f t="shared" si="5"/>
        <v>210327.05857608584</v>
      </c>
      <c r="H297" s="79" t="s">
        <v>344</v>
      </c>
      <c r="I297" s="79" t="s">
        <v>286</v>
      </c>
      <c r="J297" s="79" t="s">
        <v>284</v>
      </c>
      <c r="K297" s="79" t="s">
        <v>289</v>
      </c>
      <c r="L297" s="79" t="s">
        <v>291</v>
      </c>
      <c r="M297" s="79" t="s">
        <v>321</v>
      </c>
      <c r="N297" s="79">
        <v>31181</v>
      </c>
      <c r="O297" s="79" t="s">
        <v>341</v>
      </c>
      <c r="P297" s="79" t="s">
        <v>341</v>
      </c>
      <c r="Q297" s="79"/>
    </row>
    <row r="298" spans="2:17" s="109" customFormat="1" ht="23.1" customHeight="1" x14ac:dyDescent="0.25">
      <c r="B298" s="79" t="s">
        <v>128</v>
      </c>
      <c r="C298" s="79" t="s">
        <v>252</v>
      </c>
      <c r="D298" s="97">
        <v>90000</v>
      </c>
      <c r="E298" s="97">
        <f t="shared" si="4"/>
        <v>94647.176359238627</v>
      </c>
      <c r="F298" s="97">
        <v>90000</v>
      </c>
      <c r="G298" s="97">
        <f t="shared" si="5"/>
        <v>94647.176359238627</v>
      </c>
      <c r="H298" s="79" t="s">
        <v>344</v>
      </c>
      <c r="I298" s="79" t="s">
        <v>286</v>
      </c>
      <c r="J298" s="79" t="s">
        <v>284</v>
      </c>
      <c r="K298" s="79" t="s">
        <v>289</v>
      </c>
      <c r="L298" s="79" t="s">
        <v>291</v>
      </c>
      <c r="M298" s="79" t="s">
        <v>311</v>
      </c>
      <c r="N298" s="79">
        <v>43071</v>
      </c>
      <c r="O298" s="79" t="s">
        <v>341</v>
      </c>
      <c r="P298" s="79" t="s">
        <v>346</v>
      </c>
      <c r="Q298" s="79"/>
    </row>
    <row r="299" spans="2:17" s="109" customFormat="1" ht="23.1" customHeight="1" x14ac:dyDescent="0.25">
      <c r="B299" s="79" t="s">
        <v>128</v>
      </c>
      <c r="C299" s="79" t="s">
        <v>270</v>
      </c>
      <c r="D299" s="97">
        <v>85000</v>
      </c>
      <c r="E299" s="97">
        <f t="shared" si="4"/>
        <v>89388.999894836481</v>
      </c>
      <c r="F299" s="97">
        <v>85000</v>
      </c>
      <c r="G299" s="97">
        <f t="shared" si="5"/>
        <v>89388.999894836481</v>
      </c>
      <c r="H299" s="79" t="s">
        <v>344</v>
      </c>
      <c r="I299" s="79" t="s">
        <v>286</v>
      </c>
      <c r="J299" s="79" t="s">
        <v>284</v>
      </c>
      <c r="K299" s="79" t="s">
        <v>289</v>
      </c>
      <c r="L299" s="79" t="s">
        <v>293</v>
      </c>
      <c r="M299" s="79" t="s">
        <v>298</v>
      </c>
      <c r="N299" s="79">
        <v>31220</v>
      </c>
      <c r="O299" s="79" t="s">
        <v>341</v>
      </c>
      <c r="P299" s="79" t="s">
        <v>341</v>
      </c>
      <c r="Q299" s="79"/>
    </row>
    <row r="300" spans="2:17" s="109" customFormat="1" ht="23.1" customHeight="1" x14ac:dyDescent="0.25">
      <c r="B300" s="79" t="s">
        <v>128</v>
      </c>
      <c r="C300" s="79" t="s">
        <v>271</v>
      </c>
      <c r="D300" s="97">
        <v>100000</v>
      </c>
      <c r="E300" s="97">
        <f t="shared" si="4"/>
        <v>105163.52928804292</v>
      </c>
      <c r="F300" s="97">
        <v>100000</v>
      </c>
      <c r="G300" s="97">
        <f t="shared" si="5"/>
        <v>105163.52928804292</v>
      </c>
      <c r="H300" s="79" t="s">
        <v>344</v>
      </c>
      <c r="I300" s="79" t="s">
        <v>286</v>
      </c>
      <c r="J300" s="79" t="s">
        <v>284</v>
      </c>
      <c r="K300" s="79" t="s">
        <v>289</v>
      </c>
      <c r="L300" s="79" t="s">
        <v>293</v>
      </c>
      <c r="M300" s="79" t="s">
        <v>298</v>
      </c>
      <c r="N300" s="81">
        <v>31220</v>
      </c>
      <c r="O300" s="79" t="s">
        <v>341</v>
      </c>
      <c r="P300" s="79" t="s">
        <v>341</v>
      </c>
      <c r="Q300" s="79"/>
    </row>
    <row r="301" spans="2:17" s="109" customFormat="1" ht="23.1" customHeight="1" x14ac:dyDescent="0.25">
      <c r="B301" s="79" t="s">
        <v>138</v>
      </c>
      <c r="C301" s="79" t="s">
        <v>233</v>
      </c>
      <c r="D301" s="97">
        <v>45000</v>
      </c>
      <c r="E301" s="97">
        <f t="shared" si="4"/>
        <v>47323.588179619313</v>
      </c>
      <c r="F301" s="97">
        <v>45000</v>
      </c>
      <c r="G301" s="97">
        <f t="shared" si="5"/>
        <v>47323.588179619313</v>
      </c>
      <c r="H301" s="79" t="s">
        <v>344</v>
      </c>
      <c r="I301" s="79" t="s">
        <v>286</v>
      </c>
      <c r="J301" s="79" t="s">
        <v>284</v>
      </c>
      <c r="K301" s="79" t="s">
        <v>289</v>
      </c>
      <c r="L301" s="79" t="s">
        <v>291</v>
      </c>
      <c r="M301" s="79" t="s">
        <v>295</v>
      </c>
      <c r="N301" s="79">
        <v>31181</v>
      </c>
      <c r="O301" s="79" t="s">
        <v>341</v>
      </c>
      <c r="P301" s="79" t="s">
        <v>341</v>
      </c>
      <c r="Q301" s="79"/>
    </row>
    <row r="302" spans="2:17" s="109" customFormat="1" ht="23.1" customHeight="1" x14ac:dyDescent="0.25">
      <c r="B302" s="79" t="s">
        <v>130</v>
      </c>
      <c r="C302" s="79" t="s">
        <v>237</v>
      </c>
      <c r="D302" s="97">
        <v>99903</v>
      </c>
      <c r="E302" s="97">
        <f t="shared" si="4"/>
        <v>105061.52066463351</v>
      </c>
      <c r="F302" s="97">
        <v>99903</v>
      </c>
      <c r="G302" s="97">
        <f t="shared" si="5"/>
        <v>105061.52066463351</v>
      </c>
      <c r="H302" s="79" t="s">
        <v>344</v>
      </c>
      <c r="I302" s="79" t="s">
        <v>286</v>
      </c>
      <c r="J302" s="79" t="s">
        <v>284</v>
      </c>
      <c r="K302" s="79" t="s">
        <v>289</v>
      </c>
      <c r="L302" s="79" t="s">
        <v>291</v>
      </c>
      <c r="M302" s="79" t="s">
        <v>309</v>
      </c>
      <c r="N302" s="81">
        <v>31181</v>
      </c>
      <c r="O302" s="79" t="s">
        <v>341</v>
      </c>
      <c r="P302" s="79" t="s">
        <v>341</v>
      </c>
      <c r="Q302" s="79"/>
    </row>
    <row r="303" spans="2:17" s="109" customFormat="1" ht="23.1" customHeight="1" x14ac:dyDescent="0.25">
      <c r="B303" s="79" t="s">
        <v>122</v>
      </c>
      <c r="C303" s="79" t="s">
        <v>244</v>
      </c>
      <c r="D303" s="97">
        <v>100000</v>
      </c>
      <c r="E303" s="97">
        <f t="shared" si="4"/>
        <v>105163.52928804292</v>
      </c>
      <c r="F303" s="97">
        <v>100000</v>
      </c>
      <c r="G303" s="97">
        <f t="shared" si="5"/>
        <v>105163.52928804292</v>
      </c>
      <c r="H303" s="79" t="s">
        <v>344</v>
      </c>
      <c r="I303" s="79" t="s">
        <v>286</v>
      </c>
      <c r="J303" s="79" t="s">
        <v>284</v>
      </c>
      <c r="K303" s="79" t="s">
        <v>289</v>
      </c>
      <c r="L303" s="79" t="s">
        <v>291</v>
      </c>
      <c r="M303" s="79" t="s">
        <v>314</v>
      </c>
      <c r="N303" s="81">
        <v>31110</v>
      </c>
      <c r="O303" s="79" t="s">
        <v>341</v>
      </c>
      <c r="P303" s="79" t="s">
        <v>341</v>
      </c>
      <c r="Q303" s="79"/>
    </row>
    <row r="304" spans="2:17" s="109" customFormat="1" ht="23.1" customHeight="1" x14ac:dyDescent="0.25">
      <c r="B304" s="79" t="s">
        <v>122</v>
      </c>
      <c r="C304" s="79" t="s">
        <v>246</v>
      </c>
      <c r="D304" s="97">
        <v>90876.39</v>
      </c>
      <c r="E304" s="97">
        <f t="shared" si="4"/>
        <v>95568.819013566099</v>
      </c>
      <c r="F304" s="97">
        <v>90876.39</v>
      </c>
      <c r="G304" s="97">
        <f t="shared" si="5"/>
        <v>95568.819013566099</v>
      </c>
      <c r="H304" s="79" t="s">
        <v>344</v>
      </c>
      <c r="I304" s="79" t="s">
        <v>286</v>
      </c>
      <c r="J304" s="79" t="s">
        <v>284</v>
      </c>
      <c r="K304" s="79" t="s">
        <v>289</v>
      </c>
      <c r="L304" s="79" t="s">
        <v>291</v>
      </c>
      <c r="M304" s="79" t="s">
        <v>315</v>
      </c>
      <c r="N304" s="81">
        <v>41081</v>
      </c>
      <c r="O304" s="79" t="s">
        <v>341</v>
      </c>
      <c r="P304" s="79" t="s">
        <v>341</v>
      </c>
      <c r="Q304" s="79"/>
    </row>
    <row r="305" spans="2:17" s="109" customFormat="1" ht="23.1" customHeight="1" x14ac:dyDescent="0.25">
      <c r="B305" s="79" t="s">
        <v>122</v>
      </c>
      <c r="C305" s="79" t="s">
        <v>253</v>
      </c>
      <c r="D305" s="97">
        <v>100000</v>
      </c>
      <c r="E305" s="97">
        <f t="shared" si="4"/>
        <v>105163.52928804292</v>
      </c>
      <c r="F305" s="97">
        <v>100000</v>
      </c>
      <c r="G305" s="97">
        <f t="shared" si="5"/>
        <v>105163.52928804292</v>
      </c>
      <c r="H305" s="79" t="s">
        <v>344</v>
      </c>
      <c r="I305" s="79" t="s">
        <v>286</v>
      </c>
      <c r="J305" s="79" t="s">
        <v>284</v>
      </c>
      <c r="K305" s="79" t="s">
        <v>289</v>
      </c>
      <c r="L305" s="79" t="s">
        <v>292</v>
      </c>
      <c r="M305" s="79" t="s">
        <v>320</v>
      </c>
      <c r="N305" s="81">
        <v>31110</v>
      </c>
      <c r="O305" s="79" t="s">
        <v>341</v>
      </c>
      <c r="P305" s="79" t="s">
        <v>341</v>
      </c>
      <c r="Q305" s="79"/>
    </row>
    <row r="306" spans="2:17" s="109" customFormat="1" ht="36" customHeight="1" x14ac:dyDescent="0.25">
      <c r="B306" s="79" t="s">
        <v>122</v>
      </c>
      <c r="C306" s="79" t="s">
        <v>269</v>
      </c>
      <c r="D306" s="97">
        <v>323200</v>
      </c>
      <c r="E306" s="97">
        <f t="shared" si="4"/>
        <v>339888.52665895468</v>
      </c>
      <c r="F306" s="97">
        <v>323200</v>
      </c>
      <c r="G306" s="97">
        <f t="shared" si="5"/>
        <v>339888.52665895468</v>
      </c>
      <c r="H306" s="79" t="s">
        <v>344</v>
      </c>
      <c r="I306" s="79" t="s">
        <v>553</v>
      </c>
      <c r="J306" s="79" t="s">
        <v>284</v>
      </c>
      <c r="K306" s="79" t="s">
        <v>289</v>
      </c>
      <c r="L306" s="79" t="s">
        <v>293</v>
      </c>
      <c r="M306" s="79" t="s">
        <v>515</v>
      </c>
      <c r="N306" s="79">
        <v>23210</v>
      </c>
      <c r="O306" s="79" t="s">
        <v>341</v>
      </c>
      <c r="P306" s="79" t="s">
        <v>341</v>
      </c>
      <c r="Q306" s="79"/>
    </row>
    <row r="307" spans="2:17" s="109" customFormat="1" ht="23.1" customHeight="1" x14ac:dyDescent="0.25">
      <c r="B307" s="79" t="s">
        <v>122</v>
      </c>
      <c r="C307" s="79" t="s">
        <v>274</v>
      </c>
      <c r="D307" s="97">
        <v>50000</v>
      </c>
      <c r="E307" s="97">
        <f t="shared" si="4"/>
        <v>52581.764644021459</v>
      </c>
      <c r="F307" s="97">
        <v>50000</v>
      </c>
      <c r="G307" s="97">
        <f t="shared" si="5"/>
        <v>52581.764644021459</v>
      </c>
      <c r="H307" s="79" t="s">
        <v>344</v>
      </c>
      <c r="I307" s="79" t="s">
        <v>286</v>
      </c>
      <c r="J307" s="79" t="s">
        <v>284</v>
      </c>
      <c r="K307" s="79" t="s">
        <v>289</v>
      </c>
      <c r="L307" s="79" t="s">
        <v>293</v>
      </c>
      <c r="M307" s="79" t="s">
        <v>336</v>
      </c>
      <c r="N307" s="81">
        <v>31181</v>
      </c>
      <c r="O307" s="79" t="s">
        <v>341</v>
      </c>
      <c r="P307" s="79" t="s">
        <v>341</v>
      </c>
      <c r="Q307" s="79"/>
    </row>
    <row r="308" spans="2:17" s="109" customFormat="1" ht="23.1" customHeight="1" x14ac:dyDescent="0.25">
      <c r="B308" s="79" t="s">
        <v>117</v>
      </c>
      <c r="C308" s="79" t="s">
        <v>249</v>
      </c>
      <c r="D308" s="97">
        <v>245000</v>
      </c>
      <c r="E308" s="97">
        <f t="shared" si="4"/>
        <v>257650.64675570512</v>
      </c>
      <c r="F308" s="97">
        <v>245000</v>
      </c>
      <c r="G308" s="97">
        <f t="shared" si="5"/>
        <v>257650.64675570512</v>
      </c>
      <c r="H308" s="79" t="s">
        <v>344</v>
      </c>
      <c r="I308" s="79" t="s">
        <v>285</v>
      </c>
      <c r="J308" s="79" t="s">
        <v>284</v>
      </c>
      <c r="K308" s="79" t="s">
        <v>289</v>
      </c>
      <c r="L308" s="79" t="s">
        <v>291</v>
      </c>
      <c r="M308" s="79" t="s">
        <v>318</v>
      </c>
      <c r="N308" s="79">
        <v>14022</v>
      </c>
      <c r="O308" s="79" t="s">
        <v>341</v>
      </c>
      <c r="P308" s="79" t="s">
        <v>341</v>
      </c>
      <c r="Q308" s="79"/>
    </row>
    <row r="309" spans="2:17" s="109" customFormat="1" ht="23.1" customHeight="1" x14ac:dyDescent="0.25">
      <c r="B309" s="79" t="s">
        <v>117</v>
      </c>
      <c r="C309" s="79" t="s">
        <v>443</v>
      </c>
      <c r="D309" s="97">
        <v>9450000</v>
      </c>
      <c r="E309" s="97">
        <f t="shared" si="4"/>
        <v>9937953.5177200548</v>
      </c>
      <c r="F309" s="97">
        <v>9450000</v>
      </c>
      <c r="G309" s="97">
        <f t="shared" si="5"/>
        <v>9937953.5177200548</v>
      </c>
      <c r="H309" s="79" t="s">
        <v>345</v>
      </c>
      <c r="I309" s="79" t="s">
        <v>285</v>
      </c>
      <c r="J309" s="79" t="s">
        <v>284</v>
      </c>
      <c r="K309" s="79" t="s">
        <v>289</v>
      </c>
      <c r="L309" s="79" t="s">
        <v>292</v>
      </c>
      <c r="M309" s="79" t="s">
        <v>516</v>
      </c>
      <c r="N309" s="79">
        <v>43010</v>
      </c>
      <c r="O309" s="79" t="s">
        <v>341</v>
      </c>
      <c r="P309" s="79" t="s">
        <v>346</v>
      </c>
      <c r="Q309" s="79" t="s">
        <v>530</v>
      </c>
    </row>
    <row r="310" spans="2:17" s="109" customFormat="1" ht="23.1" customHeight="1" x14ac:dyDescent="0.25">
      <c r="B310" s="79" t="s">
        <v>117</v>
      </c>
      <c r="C310" s="79" t="s">
        <v>443</v>
      </c>
      <c r="D310" s="97">
        <v>1000000</v>
      </c>
      <c r="E310" s="97">
        <f t="shared" si="4"/>
        <v>1051635.2928804292</v>
      </c>
      <c r="F310" s="97">
        <v>1000000</v>
      </c>
      <c r="G310" s="97">
        <f t="shared" si="5"/>
        <v>1051635.2928804292</v>
      </c>
      <c r="H310" s="79" t="s">
        <v>344</v>
      </c>
      <c r="I310" s="79" t="s">
        <v>285</v>
      </c>
      <c r="J310" s="79" t="s">
        <v>284</v>
      </c>
      <c r="K310" s="79" t="s">
        <v>289</v>
      </c>
      <c r="L310" s="79" t="s">
        <v>292</v>
      </c>
      <c r="M310" s="79" t="s">
        <v>516</v>
      </c>
      <c r="N310" s="79">
        <v>43010</v>
      </c>
      <c r="O310" s="79" t="s">
        <v>341</v>
      </c>
      <c r="P310" s="79" t="s">
        <v>346</v>
      </c>
      <c r="Q310" s="79"/>
    </row>
    <row r="311" spans="2:17" s="109" customFormat="1" ht="23.1" customHeight="1" x14ac:dyDescent="0.25">
      <c r="B311" s="79" t="s">
        <v>161</v>
      </c>
      <c r="C311" s="79" t="s">
        <v>266</v>
      </c>
      <c r="D311" s="97">
        <v>100000</v>
      </c>
      <c r="E311" s="97">
        <f t="shared" si="4"/>
        <v>105163.52928804292</v>
      </c>
      <c r="F311" s="97">
        <v>100000</v>
      </c>
      <c r="G311" s="97">
        <f t="shared" si="5"/>
        <v>105163.52928804292</v>
      </c>
      <c r="H311" s="79" t="s">
        <v>344</v>
      </c>
      <c r="I311" s="79" t="s">
        <v>286</v>
      </c>
      <c r="J311" s="79" t="s">
        <v>284</v>
      </c>
      <c r="K311" s="79" t="s">
        <v>289</v>
      </c>
      <c r="L311" s="79" t="s">
        <v>292</v>
      </c>
      <c r="M311" s="79" t="s">
        <v>517</v>
      </c>
      <c r="N311" s="81">
        <v>31220</v>
      </c>
      <c r="O311" s="79" t="s">
        <v>341</v>
      </c>
      <c r="P311" s="79" t="s">
        <v>341</v>
      </c>
      <c r="Q311" s="79"/>
    </row>
    <row r="312" spans="2:17" s="109" customFormat="1" ht="81" customHeight="1" x14ac:dyDescent="0.25">
      <c r="B312" s="79" t="s">
        <v>164</v>
      </c>
      <c r="C312" s="79" t="s">
        <v>276</v>
      </c>
      <c r="D312" s="97">
        <v>2373000</v>
      </c>
      <c r="E312" s="97">
        <f t="shared" si="4"/>
        <v>2495530.5500052585</v>
      </c>
      <c r="F312" s="97">
        <v>2373000</v>
      </c>
      <c r="G312" s="97">
        <f t="shared" si="5"/>
        <v>2495530.5500052585</v>
      </c>
      <c r="H312" s="79" t="s">
        <v>344</v>
      </c>
      <c r="I312" s="79" t="s">
        <v>552</v>
      </c>
      <c r="J312" s="79" t="s">
        <v>284</v>
      </c>
      <c r="K312" s="79" t="s">
        <v>289</v>
      </c>
      <c r="L312" s="79" t="s">
        <v>291</v>
      </c>
      <c r="M312" s="79" t="s">
        <v>518</v>
      </c>
      <c r="N312" s="81">
        <v>41030</v>
      </c>
      <c r="O312" s="79" t="s">
        <v>341</v>
      </c>
      <c r="P312" s="79" t="s">
        <v>341</v>
      </c>
      <c r="Q312" s="79"/>
    </row>
    <row r="313" spans="2:17" s="109" customFormat="1" ht="30.75" customHeight="1" x14ac:dyDescent="0.25">
      <c r="B313" s="79" t="s">
        <v>158</v>
      </c>
      <c r="C313" s="79" t="s">
        <v>264</v>
      </c>
      <c r="D313" s="97">
        <v>50000</v>
      </c>
      <c r="E313" s="97">
        <f t="shared" si="4"/>
        <v>52581.764644021459</v>
      </c>
      <c r="F313" s="97">
        <v>50000</v>
      </c>
      <c r="G313" s="97">
        <f t="shared" si="5"/>
        <v>52581.764644021459</v>
      </c>
      <c r="H313" s="79" t="s">
        <v>344</v>
      </c>
      <c r="I313" s="79" t="s">
        <v>553</v>
      </c>
      <c r="J313" s="79" t="s">
        <v>284</v>
      </c>
      <c r="K313" s="79" t="s">
        <v>289</v>
      </c>
      <c r="L313" s="79" t="s">
        <v>292</v>
      </c>
      <c r="M313" s="79" t="s">
        <v>519</v>
      </c>
      <c r="N313" s="81">
        <v>15170</v>
      </c>
      <c r="O313" s="79" t="s">
        <v>341</v>
      </c>
      <c r="P313" s="79" t="s">
        <v>346</v>
      </c>
      <c r="Q313" s="79"/>
    </row>
    <row r="314" spans="2:17" s="109" customFormat="1" ht="36" customHeight="1" x14ac:dyDescent="0.25">
      <c r="B314" s="79" t="s">
        <v>158</v>
      </c>
      <c r="C314" s="79" t="s">
        <v>261</v>
      </c>
      <c r="D314" s="97">
        <v>347000</v>
      </c>
      <c r="E314" s="97">
        <f t="shared" si="4"/>
        <v>364917.44662950892</v>
      </c>
      <c r="F314" s="97">
        <v>347000</v>
      </c>
      <c r="G314" s="97">
        <f t="shared" si="5"/>
        <v>364917.44662950892</v>
      </c>
      <c r="H314" s="79" t="s">
        <v>344</v>
      </c>
      <c r="I314" s="79" t="s">
        <v>553</v>
      </c>
      <c r="J314" s="79" t="s">
        <v>284</v>
      </c>
      <c r="K314" s="79" t="s">
        <v>289</v>
      </c>
      <c r="L314" s="79" t="s">
        <v>292</v>
      </c>
      <c r="M314" s="79" t="s">
        <v>327</v>
      </c>
      <c r="N314" s="79">
        <v>14050</v>
      </c>
      <c r="O314" s="79" t="s">
        <v>341</v>
      </c>
      <c r="P314" s="79" t="s">
        <v>341</v>
      </c>
      <c r="Q314" s="79"/>
    </row>
    <row r="315" spans="2:17" s="109" customFormat="1" ht="23.1" customHeight="1" x14ac:dyDescent="0.25">
      <c r="B315" s="79" t="s">
        <v>407</v>
      </c>
      <c r="C315" s="79" t="s">
        <v>452</v>
      </c>
      <c r="D315" s="97">
        <v>196420</v>
      </c>
      <c r="E315" s="97">
        <f t="shared" si="4"/>
        <v>206562.20422757388</v>
      </c>
      <c r="F315" s="97">
        <v>196420</v>
      </c>
      <c r="G315" s="97">
        <f t="shared" si="5"/>
        <v>206562.20422757388</v>
      </c>
      <c r="H315" s="79" t="s">
        <v>345</v>
      </c>
      <c r="I315" s="79" t="s">
        <v>286</v>
      </c>
      <c r="J315" s="79" t="s">
        <v>284</v>
      </c>
      <c r="K315" s="79" t="s">
        <v>289</v>
      </c>
      <c r="L315" s="79" t="s">
        <v>293</v>
      </c>
      <c r="M315" s="79" t="s">
        <v>520</v>
      </c>
      <c r="N315" s="81">
        <v>31220</v>
      </c>
      <c r="O315" s="79" t="s">
        <v>341</v>
      </c>
      <c r="P315" s="79" t="s">
        <v>346</v>
      </c>
      <c r="Q315" s="79" t="s">
        <v>531</v>
      </c>
    </row>
    <row r="316" spans="2:17" s="109" customFormat="1" ht="23.1" customHeight="1" x14ac:dyDescent="0.25">
      <c r="B316" s="79" t="s">
        <v>407</v>
      </c>
      <c r="C316" s="79" t="s">
        <v>452</v>
      </c>
      <c r="D316" s="97">
        <v>100000</v>
      </c>
      <c r="E316" s="97">
        <f t="shared" si="4"/>
        <v>105163.52928804292</v>
      </c>
      <c r="F316" s="97">
        <v>100000</v>
      </c>
      <c r="G316" s="97">
        <f t="shared" si="5"/>
        <v>105163.52928804292</v>
      </c>
      <c r="H316" s="79" t="s">
        <v>344</v>
      </c>
      <c r="I316" s="79" t="s">
        <v>286</v>
      </c>
      <c r="J316" s="79" t="s">
        <v>284</v>
      </c>
      <c r="K316" s="79" t="s">
        <v>289</v>
      </c>
      <c r="L316" s="79" t="s">
        <v>293</v>
      </c>
      <c r="M316" s="79" t="s">
        <v>520</v>
      </c>
      <c r="N316" s="81">
        <v>31220</v>
      </c>
      <c r="O316" s="79" t="s">
        <v>341</v>
      </c>
      <c r="P316" s="79" t="s">
        <v>346</v>
      </c>
      <c r="Q316" s="79"/>
    </row>
    <row r="317" spans="2:17" s="109" customFormat="1" ht="32.25" customHeight="1" x14ac:dyDescent="0.25">
      <c r="B317" s="79" t="s">
        <v>151</v>
      </c>
      <c r="C317" s="79" t="s">
        <v>403</v>
      </c>
      <c r="D317" s="97">
        <v>1267860</v>
      </c>
      <c r="E317" s="97">
        <f t="shared" si="4"/>
        <v>1333326.3224313809</v>
      </c>
      <c r="F317" s="97">
        <v>1267860</v>
      </c>
      <c r="G317" s="97">
        <f t="shared" si="5"/>
        <v>1333326.3224313809</v>
      </c>
      <c r="H317" s="79" t="s">
        <v>345</v>
      </c>
      <c r="I317" s="79" t="s">
        <v>554</v>
      </c>
      <c r="J317" s="79" t="s">
        <v>284</v>
      </c>
      <c r="K317" s="79" t="s">
        <v>289</v>
      </c>
      <c r="L317" s="79" t="s">
        <v>292</v>
      </c>
      <c r="M317" s="79" t="s">
        <v>395</v>
      </c>
      <c r="N317" s="79" t="s">
        <v>340</v>
      </c>
      <c r="O317" s="79" t="s">
        <v>341</v>
      </c>
      <c r="P317" s="79" t="s">
        <v>346</v>
      </c>
      <c r="Q317" s="79" t="s">
        <v>397</v>
      </c>
    </row>
    <row r="318" spans="2:17" s="109" customFormat="1" ht="34.5" customHeight="1" x14ac:dyDescent="0.25">
      <c r="B318" s="79" t="s">
        <v>151</v>
      </c>
      <c r="C318" s="79" t="s">
        <v>403</v>
      </c>
      <c r="D318" s="97">
        <v>593250</v>
      </c>
      <c r="E318" s="97">
        <f t="shared" si="4"/>
        <v>623882.63750131463</v>
      </c>
      <c r="F318" s="97">
        <v>593250</v>
      </c>
      <c r="G318" s="97">
        <f t="shared" si="5"/>
        <v>623882.63750131463</v>
      </c>
      <c r="H318" s="79" t="s">
        <v>344</v>
      </c>
      <c r="I318" s="79" t="s">
        <v>554</v>
      </c>
      <c r="J318" s="79" t="s">
        <v>284</v>
      </c>
      <c r="K318" s="79" t="s">
        <v>289</v>
      </c>
      <c r="L318" s="79" t="s">
        <v>292</v>
      </c>
      <c r="M318" s="79" t="s">
        <v>395</v>
      </c>
      <c r="N318" s="79" t="s">
        <v>340</v>
      </c>
      <c r="O318" s="79" t="s">
        <v>341</v>
      </c>
      <c r="P318" s="79" t="s">
        <v>346</v>
      </c>
      <c r="Q318" s="79"/>
    </row>
    <row r="319" spans="2:17" s="109" customFormat="1" ht="23.1" customHeight="1" x14ac:dyDescent="0.25">
      <c r="B319" s="79" t="s">
        <v>151</v>
      </c>
      <c r="C319" s="79" t="s">
        <v>412</v>
      </c>
      <c r="D319" s="97">
        <v>95940</v>
      </c>
      <c r="E319" s="97">
        <f t="shared" si="4"/>
        <v>100893.88999894838</v>
      </c>
      <c r="F319" s="97">
        <v>95940</v>
      </c>
      <c r="G319" s="97">
        <f t="shared" si="5"/>
        <v>100893.88999894838</v>
      </c>
      <c r="H319" s="79" t="s">
        <v>345</v>
      </c>
      <c r="I319" s="79" t="s">
        <v>285</v>
      </c>
      <c r="J319" s="79" t="s">
        <v>284</v>
      </c>
      <c r="K319" s="79" t="s">
        <v>289</v>
      </c>
      <c r="L319" s="79" t="s">
        <v>292</v>
      </c>
      <c r="M319" s="79" t="s">
        <v>504</v>
      </c>
      <c r="N319" s="79" t="s">
        <v>340</v>
      </c>
      <c r="O319" s="79" t="s">
        <v>340</v>
      </c>
      <c r="P319" s="79" t="s">
        <v>340</v>
      </c>
      <c r="Q319" s="79" t="s">
        <v>397</v>
      </c>
    </row>
    <row r="320" spans="2:17" s="109" customFormat="1" ht="23.1" customHeight="1" x14ac:dyDescent="0.25">
      <c r="B320" s="79" t="s">
        <v>151</v>
      </c>
      <c r="C320" s="79" t="s">
        <v>412</v>
      </c>
      <c r="D320" s="97">
        <v>52357.5</v>
      </c>
      <c r="E320" s="97">
        <f t="shared" si="4"/>
        <v>55060.994846987065</v>
      </c>
      <c r="F320" s="97">
        <v>52357.5</v>
      </c>
      <c r="G320" s="97">
        <f t="shared" si="5"/>
        <v>55060.994846987065</v>
      </c>
      <c r="H320" s="79" t="s">
        <v>344</v>
      </c>
      <c r="I320" s="79" t="s">
        <v>285</v>
      </c>
      <c r="J320" s="79" t="s">
        <v>284</v>
      </c>
      <c r="K320" s="79" t="s">
        <v>289</v>
      </c>
      <c r="L320" s="79" t="s">
        <v>292</v>
      </c>
      <c r="M320" s="79" t="s">
        <v>504</v>
      </c>
      <c r="N320" s="79" t="s">
        <v>340</v>
      </c>
      <c r="O320" s="79" t="s">
        <v>340</v>
      </c>
      <c r="P320" s="79" t="s">
        <v>340</v>
      </c>
      <c r="Q320" s="79"/>
    </row>
    <row r="321" spans="2:17" s="109" customFormat="1" ht="23.1" customHeight="1" x14ac:dyDescent="0.25">
      <c r="B321" s="79" t="s">
        <v>151</v>
      </c>
      <c r="C321" s="79" t="s">
        <v>268</v>
      </c>
      <c r="D321" s="97">
        <v>183897.59</v>
      </c>
      <c r="E321" s="97">
        <f t="shared" si="4"/>
        <v>193393.19591965506</v>
      </c>
      <c r="F321" s="97">
        <v>183897.59</v>
      </c>
      <c r="G321" s="97">
        <f t="shared" si="5"/>
        <v>193393.19591965506</v>
      </c>
      <c r="H321" s="79" t="s">
        <v>344</v>
      </c>
      <c r="I321" s="79" t="s">
        <v>285</v>
      </c>
      <c r="J321" s="79" t="s">
        <v>284</v>
      </c>
      <c r="K321" s="79" t="s">
        <v>289</v>
      </c>
      <c r="L321" s="79" t="s">
        <v>292</v>
      </c>
      <c r="M321" s="79" t="s">
        <v>330</v>
      </c>
      <c r="N321" s="79">
        <v>15160</v>
      </c>
      <c r="O321" s="79" t="s">
        <v>340</v>
      </c>
      <c r="P321" s="79" t="s">
        <v>340</v>
      </c>
      <c r="Q321" s="79"/>
    </row>
    <row r="322" spans="2:17" s="109" customFormat="1" ht="23.1" customHeight="1" x14ac:dyDescent="0.25">
      <c r="B322" s="79" t="s">
        <v>151</v>
      </c>
      <c r="C322" s="79" t="s">
        <v>413</v>
      </c>
      <c r="D322" s="97">
        <v>10575.49</v>
      </c>
      <c r="E322" s="97">
        <f t="shared" si="4"/>
        <v>11121.558523504049</v>
      </c>
      <c r="F322" s="97">
        <v>10575.49</v>
      </c>
      <c r="G322" s="97">
        <f t="shared" si="5"/>
        <v>11121.558523504049</v>
      </c>
      <c r="H322" s="79" t="s">
        <v>345</v>
      </c>
      <c r="I322" s="79" t="s">
        <v>285</v>
      </c>
      <c r="J322" s="79" t="s">
        <v>284</v>
      </c>
      <c r="K322" s="79" t="s">
        <v>289</v>
      </c>
      <c r="L322" s="79" t="s">
        <v>292</v>
      </c>
      <c r="M322" s="79" t="s">
        <v>505</v>
      </c>
      <c r="N322" s="79" t="s">
        <v>340</v>
      </c>
      <c r="O322" s="79" t="s">
        <v>340</v>
      </c>
      <c r="P322" s="79" t="s">
        <v>340</v>
      </c>
      <c r="Q322" s="79" t="s">
        <v>397</v>
      </c>
    </row>
    <row r="323" spans="2:17" s="109" customFormat="1" ht="23.1" customHeight="1" x14ac:dyDescent="0.25">
      <c r="B323" s="79" t="s">
        <v>151</v>
      </c>
      <c r="C323" s="79" t="s">
        <v>413</v>
      </c>
      <c r="D323" s="97">
        <v>10575.49</v>
      </c>
      <c r="E323" s="97">
        <f t="shared" si="4"/>
        <v>11121.558523504049</v>
      </c>
      <c r="F323" s="97">
        <v>10575.49</v>
      </c>
      <c r="G323" s="97">
        <f t="shared" si="5"/>
        <v>11121.558523504049</v>
      </c>
      <c r="H323" s="79" t="s">
        <v>344</v>
      </c>
      <c r="I323" s="79" t="s">
        <v>285</v>
      </c>
      <c r="J323" s="79" t="s">
        <v>284</v>
      </c>
      <c r="K323" s="79" t="s">
        <v>289</v>
      </c>
      <c r="L323" s="79" t="s">
        <v>292</v>
      </c>
      <c r="M323" s="79" t="s">
        <v>505</v>
      </c>
      <c r="N323" s="79" t="s">
        <v>340</v>
      </c>
      <c r="O323" s="79" t="s">
        <v>340</v>
      </c>
      <c r="P323" s="79" t="s">
        <v>340</v>
      </c>
      <c r="Q323" s="79"/>
    </row>
    <row r="324" spans="2:17" s="109" customFormat="1" ht="23.1" customHeight="1" x14ac:dyDescent="0.25">
      <c r="B324" s="79" t="s">
        <v>408</v>
      </c>
      <c r="C324" s="79" t="s">
        <v>456</v>
      </c>
      <c r="D324" s="97">
        <v>500000</v>
      </c>
      <c r="E324" s="97">
        <f t="shared" si="4"/>
        <v>525817.64644021459</v>
      </c>
      <c r="F324" s="97">
        <v>500000</v>
      </c>
      <c r="G324" s="97">
        <f t="shared" si="5"/>
        <v>525817.64644021459</v>
      </c>
      <c r="H324" s="79" t="s">
        <v>345</v>
      </c>
      <c r="I324" s="79" t="s">
        <v>286</v>
      </c>
      <c r="J324" s="79" t="s">
        <v>284</v>
      </c>
      <c r="K324" s="79" t="s">
        <v>289</v>
      </c>
      <c r="L324" s="79" t="s">
        <v>291</v>
      </c>
      <c r="M324" s="79" t="s">
        <v>522</v>
      </c>
      <c r="N324" s="79">
        <v>41030</v>
      </c>
      <c r="O324" s="79" t="s">
        <v>341</v>
      </c>
      <c r="P324" s="79" t="s">
        <v>341</v>
      </c>
      <c r="Q324" s="79" t="s">
        <v>397</v>
      </c>
    </row>
    <row r="325" spans="2:17" s="109" customFormat="1" ht="23.1" customHeight="1" x14ac:dyDescent="0.25">
      <c r="B325" s="79" t="s">
        <v>148</v>
      </c>
      <c r="C325" s="79" t="s">
        <v>272</v>
      </c>
      <c r="D325" s="97">
        <v>75000</v>
      </c>
      <c r="E325" s="97">
        <f t="shared" si="4"/>
        <v>78872.646966032189</v>
      </c>
      <c r="F325" s="97">
        <v>75000</v>
      </c>
      <c r="G325" s="97">
        <f t="shared" si="5"/>
        <v>78872.646966032189</v>
      </c>
      <c r="H325" s="79" t="s">
        <v>344</v>
      </c>
      <c r="I325" s="79" t="s">
        <v>286</v>
      </c>
      <c r="J325" s="79" t="s">
        <v>284</v>
      </c>
      <c r="K325" s="79" t="s">
        <v>289</v>
      </c>
      <c r="L325" s="79" t="s">
        <v>293</v>
      </c>
      <c r="M325" s="79" t="s">
        <v>334</v>
      </c>
      <c r="N325" s="81">
        <v>31210</v>
      </c>
      <c r="O325" s="79" t="s">
        <v>341</v>
      </c>
      <c r="P325" s="79" t="s">
        <v>341</v>
      </c>
      <c r="Q325" s="79"/>
    </row>
    <row r="326" spans="2:17" s="109" customFormat="1" ht="34.5" customHeight="1" x14ac:dyDescent="0.25">
      <c r="B326" s="79" t="s">
        <v>154</v>
      </c>
      <c r="C326" s="79" t="s">
        <v>245</v>
      </c>
      <c r="D326" s="97">
        <v>415000</v>
      </c>
      <c r="E326" s="97">
        <f t="shared" si="4"/>
        <v>436428.64654537808</v>
      </c>
      <c r="F326" s="97">
        <v>415000</v>
      </c>
      <c r="G326" s="97">
        <f t="shared" si="5"/>
        <v>436428.64654537808</v>
      </c>
      <c r="H326" s="79" t="s">
        <v>344</v>
      </c>
      <c r="I326" s="79" t="s">
        <v>553</v>
      </c>
      <c r="J326" s="79" t="s">
        <v>284</v>
      </c>
      <c r="K326" s="79" t="s">
        <v>289</v>
      </c>
      <c r="L326" s="79" t="s">
        <v>291</v>
      </c>
      <c r="M326" s="79" t="s">
        <v>523</v>
      </c>
      <c r="N326" s="79">
        <v>74010</v>
      </c>
      <c r="O326" s="79" t="s">
        <v>341</v>
      </c>
      <c r="P326" s="79" t="s">
        <v>346</v>
      </c>
      <c r="Q326" s="79"/>
    </row>
    <row r="327" spans="2:17" s="109" customFormat="1" ht="34.5" customHeight="1" x14ac:dyDescent="0.25">
      <c r="B327" s="79" t="s">
        <v>368</v>
      </c>
      <c r="C327" s="79" t="s">
        <v>367</v>
      </c>
      <c r="D327" s="97">
        <v>434596</v>
      </c>
      <c r="E327" s="97">
        <f t="shared" si="4"/>
        <v>457036.49174466298</v>
      </c>
      <c r="F327" s="97">
        <v>434596</v>
      </c>
      <c r="G327" s="97">
        <f t="shared" si="5"/>
        <v>457036.49174466298</v>
      </c>
      <c r="H327" s="79" t="s">
        <v>344</v>
      </c>
      <c r="I327" s="79" t="s">
        <v>554</v>
      </c>
      <c r="J327" s="79" t="s">
        <v>284</v>
      </c>
      <c r="K327" s="79" t="s">
        <v>289</v>
      </c>
      <c r="L327" s="79" t="s">
        <v>291</v>
      </c>
      <c r="M327" s="79" t="s">
        <v>369</v>
      </c>
      <c r="N327" s="79">
        <v>41081</v>
      </c>
      <c r="O327" s="79" t="s">
        <v>341</v>
      </c>
      <c r="P327" s="79" t="s">
        <v>346</v>
      </c>
      <c r="Q327" s="79"/>
    </row>
    <row r="328" spans="2:17" s="109" customFormat="1" ht="23.1" customHeight="1" x14ac:dyDescent="0.25">
      <c r="B328" s="79" t="s">
        <v>142</v>
      </c>
      <c r="C328" s="79" t="s">
        <v>465</v>
      </c>
      <c r="D328" s="97">
        <v>400000</v>
      </c>
      <c r="E328" s="97">
        <f t="shared" si="4"/>
        <v>420654.11715217168</v>
      </c>
      <c r="F328" s="97">
        <v>400000</v>
      </c>
      <c r="G328" s="97">
        <f t="shared" si="5"/>
        <v>420654.11715217168</v>
      </c>
      <c r="H328" s="79" t="s">
        <v>345</v>
      </c>
      <c r="I328" s="79" t="s">
        <v>286</v>
      </c>
      <c r="J328" s="79" t="s">
        <v>284</v>
      </c>
      <c r="K328" s="79" t="s">
        <v>289</v>
      </c>
      <c r="L328" s="79" t="s">
        <v>292</v>
      </c>
      <c r="M328" s="79" t="s">
        <v>321</v>
      </c>
      <c r="N328" s="79">
        <v>31181</v>
      </c>
      <c r="O328" s="79" t="s">
        <v>341</v>
      </c>
      <c r="P328" s="79" t="s">
        <v>341</v>
      </c>
      <c r="Q328" s="79" t="s">
        <v>397</v>
      </c>
    </row>
    <row r="329" spans="2:17" s="109" customFormat="1" ht="23.1" customHeight="1" x14ac:dyDescent="0.25">
      <c r="B329" s="79" t="s">
        <v>142</v>
      </c>
      <c r="C329" s="79" t="s">
        <v>465</v>
      </c>
      <c r="D329" s="97">
        <v>100000</v>
      </c>
      <c r="E329" s="97">
        <f t="shared" si="4"/>
        <v>105163.52928804292</v>
      </c>
      <c r="F329" s="97">
        <v>100000</v>
      </c>
      <c r="G329" s="97">
        <f t="shared" si="5"/>
        <v>105163.52928804292</v>
      </c>
      <c r="H329" s="79" t="s">
        <v>344</v>
      </c>
      <c r="I329" s="79" t="s">
        <v>286</v>
      </c>
      <c r="J329" s="79" t="s">
        <v>284</v>
      </c>
      <c r="K329" s="79" t="s">
        <v>289</v>
      </c>
      <c r="L329" s="79" t="s">
        <v>292</v>
      </c>
      <c r="M329" s="79" t="s">
        <v>321</v>
      </c>
      <c r="N329" s="79">
        <v>31181</v>
      </c>
      <c r="O329" s="79" t="s">
        <v>341</v>
      </c>
      <c r="P329" s="79" t="s">
        <v>341</v>
      </c>
      <c r="Q329" s="79"/>
    </row>
    <row r="330" spans="2:17" s="109" customFormat="1" ht="23.1" customHeight="1" x14ac:dyDescent="0.25">
      <c r="B330" s="79" t="s">
        <v>153</v>
      </c>
      <c r="C330" s="79" t="s">
        <v>238</v>
      </c>
      <c r="D330" s="97">
        <v>45189.31</v>
      </c>
      <c r="E330" s="97">
        <f t="shared" si="4"/>
        <v>47522.673256914502</v>
      </c>
      <c r="F330" s="97">
        <v>45189.31</v>
      </c>
      <c r="G330" s="97">
        <f t="shared" si="5"/>
        <v>47522.673256914502</v>
      </c>
      <c r="H330" s="79" t="s">
        <v>344</v>
      </c>
      <c r="I330" s="79" t="s">
        <v>286</v>
      </c>
      <c r="J330" s="79" t="s">
        <v>284</v>
      </c>
      <c r="K330" s="79" t="s">
        <v>289</v>
      </c>
      <c r="L330" s="79" t="s">
        <v>291</v>
      </c>
      <c r="M330" s="79" t="s">
        <v>310</v>
      </c>
      <c r="N330" s="79">
        <v>31181</v>
      </c>
      <c r="O330" s="79" t="s">
        <v>341</v>
      </c>
      <c r="P330" s="79" t="s">
        <v>341</v>
      </c>
      <c r="Q330" s="79"/>
    </row>
    <row r="331" spans="2:17" s="109" customFormat="1" ht="23.1" customHeight="1" x14ac:dyDescent="0.25">
      <c r="B331" s="79" t="s">
        <v>153</v>
      </c>
      <c r="C331" s="79" t="s">
        <v>239</v>
      </c>
      <c r="D331" s="97">
        <v>99109.16</v>
      </c>
      <c r="E331" s="97">
        <f t="shared" si="4"/>
        <v>104226.69050373332</v>
      </c>
      <c r="F331" s="97">
        <v>99109.16</v>
      </c>
      <c r="G331" s="97">
        <f t="shared" si="5"/>
        <v>104226.69050373332</v>
      </c>
      <c r="H331" s="79" t="s">
        <v>344</v>
      </c>
      <c r="I331" s="79" t="s">
        <v>286</v>
      </c>
      <c r="J331" s="79" t="s">
        <v>284</v>
      </c>
      <c r="K331" s="79" t="s">
        <v>289</v>
      </c>
      <c r="L331" s="79" t="s">
        <v>291</v>
      </c>
      <c r="M331" s="79" t="s">
        <v>310</v>
      </c>
      <c r="N331" s="81">
        <v>31181</v>
      </c>
      <c r="O331" s="79" t="s">
        <v>341</v>
      </c>
      <c r="P331" s="79" t="s">
        <v>341</v>
      </c>
      <c r="Q331" s="79"/>
    </row>
    <row r="332" spans="2:17" s="109" customFormat="1" ht="30" customHeight="1" x14ac:dyDescent="0.25">
      <c r="B332" s="79" t="s">
        <v>410</v>
      </c>
      <c r="C332" s="79" t="s">
        <v>279</v>
      </c>
      <c r="D332" s="97">
        <v>730000</v>
      </c>
      <c r="E332" s="97">
        <f t="shared" si="4"/>
        <v>767693.76380271325</v>
      </c>
      <c r="F332" s="97">
        <v>730000</v>
      </c>
      <c r="G332" s="97">
        <f t="shared" si="5"/>
        <v>767693.76380271325</v>
      </c>
      <c r="H332" s="79" t="s">
        <v>345</v>
      </c>
      <c r="I332" s="79" t="s">
        <v>552</v>
      </c>
      <c r="J332" s="79" t="s">
        <v>284</v>
      </c>
      <c r="K332" s="79" t="s">
        <v>289</v>
      </c>
      <c r="L332" s="79" t="s">
        <v>292</v>
      </c>
      <c r="M332" s="79" t="s">
        <v>525</v>
      </c>
      <c r="N332" s="81">
        <v>31210</v>
      </c>
      <c r="O332" s="79" t="s">
        <v>341</v>
      </c>
      <c r="P332" s="79" t="s">
        <v>346</v>
      </c>
      <c r="Q332" s="79" t="s">
        <v>397</v>
      </c>
    </row>
    <row r="333" spans="2:17" s="109" customFormat="1" ht="45" customHeight="1" x14ac:dyDescent="0.25">
      <c r="B333" s="79" t="s">
        <v>410</v>
      </c>
      <c r="C333" s="79" t="s">
        <v>279</v>
      </c>
      <c r="D333" s="97">
        <v>200000</v>
      </c>
      <c r="E333" s="97">
        <f t="shared" si="4"/>
        <v>210327.05857608584</v>
      </c>
      <c r="F333" s="97">
        <v>200000</v>
      </c>
      <c r="G333" s="97">
        <f t="shared" si="5"/>
        <v>210327.05857608584</v>
      </c>
      <c r="H333" s="79" t="s">
        <v>344</v>
      </c>
      <c r="I333" s="79" t="s">
        <v>552</v>
      </c>
      <c r="J333" s="79" t="s">
        <v>284</v>
      </c>
      <c r="K333" s="79" t="s">
        <v>289</v>
      </c>
      <c r="L333" s="79" t="s">
        <v>292</v>
      </c>
      <c r="M333" s="79" t="s">
        <v>525</v>
      </c>
      <c r="N333" s="81">
        <v>31210</v>
      </c>
      <c r="O333" s="79" t="s">
        <v>341</v>
      </c>
      <c r="P333" s="79" t="s">
        <v>346</v>
      </c>
      <c r="Q333" s="79"/>
    </row>
    <row r="334" spans="2:17" s="109" customFormat="1" ht="23.1" customHeight="1" x14ac:dyDescent="0.25">
      <c r="B334" s="79" t="s">
        <v>127</v>
      </c>
      <c r="C334" s="79" t="s">
        <v>472</v>
      </c>
      <c r="D334" s="97">
        <v>198899</v>
      </c>
      <c r="E334" s="97">
        <f t="shared" si="4"/>
        <v>209169.20811862446</v>
      </c>
      <c r="F334" s="97">
        <v>198899</v>
      </c>
      <c r="G334" s="97">
        <f t="shared" si="5"/>
        <v>209169.20811862446</v>
      </c>
      <c r="H334" s="79" t="s">
        <v>345</v>
      </c>
      <c r="I334" s="79" t="s">
        <v>286</v>
      </c>
      <c r="J334" s="79" t="s">
        <v>284</v>
      </c>
      <c r="K334" s="79" t="s">
        <v>289</v>
      </c>
      <c r="L334" s="79" t="s">
        <v>292</v>
      </c>
      <c r="M334" s="79" t="s">
        <v>298</v>
      </c>
      <c r="N334" s="81">
        <v>31220</v>
      </c>
      <c r="O334" s="79" t="s">
        <v>341</v>
      </c>
      <c r="P334" s="79" t="s">
        <v>341</v>
      </c>
      <c r="Q334" s="79" t="s">
        <v>397</v>
      </c>
    </row>
    <row r="335" spans="2:17" s="109" customFormat="1" ht="23.1" customHeight="1" x14ac:dyDescent="0.25">
      <c r="B335" s="79" t="s">
        <v>127</v>
      </c>
      <c r="C335" s="79" t="s">
        <v>472</v>
      </c>
      <c r="D335" s="97">
        <v>64000</v>
      </c>
      <c r="E335" s="97">
        <f t="shared" si="4"/>
        <v>67304.658744347456</v>
      </c>
      <c r="F335" s="97">
        <v>64000</v>
      </c>
      <c r="G335" s="97">
        <f t="shared" si="5"/>
        <v>67304.658744347456</v>
      </c>
      <c r="H335" s="79" t="s">
        <v>344</v>
      </c>
      <c r="I335" s="79" t="s">
        <v>286</v>
      </c>
      <c r="J335" s="79" t="s">
        <v>284</v>
      </c>
      <c r="K335" s="79" t="s">
        <v>289</v>
      </c>
      <c r="L335" s="79" t="s">
        <v>292</v>
      </c>
      <c r="M335" s="79" t="s">
        <v>298</v>
      </c>
      <c r="N335" s="81">
        <v>31220</v>
      </c>
      <c r="O335" s="79" t="s">
        <v>341</v>
      </c>
      <c r="P335" s="79" t="s">
        <v>341</v>
      </c>
      <c r="Q335" s="79"/>
    </row>
    <row r="336" spans="2:17" s="109" customFormat="1" ht="23.1" customHeight="1" x14ac:dyDescent="0.25">
      <c r="B336" s="79" t="s">
        <v>118</v>
      </c>
      <c r="C336" s="79" t="s">
        <v>475</v>
      </c>
      <c r="D336" s="97">
        <v>200000</v>
      </c>
      <c r="E336" s="97">
        <f t="shared" si="4"/>
        <v>210327.05857608584</v>
      </c>
      <c r="F336" s="97">
        <v>200000</v>
      </c>
      <c r="G336" s="97">
        <f t="shared" si="5"/>
        <v>210327.05857608584</v>
      </c>
      <c r="H336" s="79" t="s">
        <v>345</v>
      </c>
      <c r="I336" s="79" t="s">
        <v>286</v>
      </c>
      <c r="J336" s="79" t="s">
        <v>284</v>
      </c>
      <c r="K336" s="79" t="s">
        <v>289</v>
      </c>
      <c r="L336" s="79" t="s">
        <v>291</v>
      </c>
      <c r="M336" s="79" t="s">
        <v>315</v>
      </c>
      <c r="N336" s="81">
        <v>74010</v>
      </c>
      <c r="O336" s="79" t="s">
        <v>341</v>
      </c>
      <c r="P336" s="79" t="s">
        <v>341</v>
      </c>
      <c r="Q336" s="79" t="s">
        <v>397</v>
      </c>
    </row>
    <row r="337" spans="2:17" s="109" customFormat="1" ht="23.1" customHeight="1" x14ac:dyDescent="0.25">
      <c r="B337" s="79" t="s">
        <v>118</v>
      </c>
      <c r="C337" s="79" t="s">
        <v>475</v>
      </c>
      <c r="D337" s="97">
        <v>75000</v>
      </c>
      <c r="E337" s="97">
        <f t="shared" si="4"/>
        <v>78872.646966032189</v>
      </c>
      <c r="F337" s="97">
        <v>75000</v>
      </c>
      <c r="G337" s="97">
        <f t="shared" si="5"/>
        <v>78872.646966032189</v>
      </c>
      <c r="H337" s="79" t="s">
        <v>344</v>
      </c>
      <c r="I337" s="79" t="s">
        <v>286</v>
      </c>
      <c r="J337" s="79" t="s">
        <v>284</v>
      </c>
      <c r="K337" s="79" t="s">
        <v>289</v>
      </c>
      <c r="L337" s="79" t="s">
        <v>291</v>
      </c>
      <c r="M337" s="79" t="s">
        <v>315</v>
      </c>
      <c r="N337" s="81">
        <v>74010</v>
      </c>
      <c r="O337" s="79" t="s">
        <v>341</v>
      </c>
      <c r="P337" s="79" t="s">
        <v>341</v>
      </c>
      <c r="Q337" s="79"/>
    </row>
    <row r="338" spans="2:17" s="109" customFormat="1" ht="23.1" customHeight="1" x14ac:dyDescent="0.25">
      <c r="B338" s="79" t="s">
        <v>162</v>
      </c>
      <c r="C338" s="79" t="s">
        <v>481</v>
      </c>
      <c r="D338" s="97">
        <v>100967.83</v>
      </c>
      <c r="E338" s="97">
        <f t="shared" si="4"/>
        <v>106181.33347355138</v>
      </c>
      <c r="F338" s="97">
        <v>100967.83</v>
      </c>
      <c r="G338" s="97">
        <f t="shared" si="5"/>
        <v>106181.33347355138</v>
      </c>
      <c r="H338" s="79" t="s">
        <v>345</v>
      </c>
      <c r="I338" s="79" t="s">
        <v>286</v>
      </c>
      <c r="J338" s="79" t="s">
        <v>284</v>
      </c>
      <c r="K338" s="79" t="s">
        <v>289</v>
      </c>
      <c r="L338" s="79" t="s">
        <v>291</v>
      </c>
      <c r="M338" s="79" t="s">
        <v>295</v>
      </c>
      <c r="N338" s="81">
        <v>31110</v>
      </c>
      <c r="O338" s="79" t="s">
        <v>341</v>
      </c>
      <c r="P338" s="79" t="s">
        <v>341</v>
      </c>
      <c r="Q338" s="79" t="s">
        <v>397</v>
      </c>
    </row>
    <row r="339" spans="2:17" s="109" customFormat="1" ht="23.1" customHeight="1" x14ac:dyDescent="0.25">
      <c r="B339" s="79" t="s">
        <v>162</v>
      </c>
      <c r="C339" s="79" t="s">
        <v>481</v>
      </c>
      <c r="D339" s="97">
        <v>55000</v>
      </c>
      <c r="E339" s="97">
        <f t="shared" si="4"/>
        <v>57839.941108423598</v>
      </c>
      <c r="F339" s="97">
        <v>55000</v>
      </c>
      <c r="G339" s="97">
        <f t="shared" si="5"/>
        <v>57839.941108423598</v>
      </c>
      <c r="H339" s="79" t="s">
        <v>344</v>
      </c>
      <c r="I339" s="79" t="s">
        <v>286</v>
      </c>
      <c r="J339" s="79" t="s">
        <v>284</v>
      </c>
      <c r="K339" s="79" t="s">
        <v>289</v>
      </c>
      <c r="L339" s="79" t="s">
        <v>291</v>
      </c>
      <c r="M339" s="79" t="s">
        <v>295</v>
      </c>
      <c r="N339" s="81">
        <v>31110</v>
      </c>
      <c r="O339" s="79" t="s">
        <v>341</v>
      </c>
      <c r="P339" s="79" t="s">
        <v>341</v>
      </c>
      <c r="Q339" s="79"/>
    </row>
    <row r="340" spans="2:17" s="109" customFormat="1" ht="23.1" customHeight="1" x14ac:dyDescent="0.25">
      <c r="B340" s="79" t="s">
        <v>162</v>
      </c>
      <c r="C340" s="79" t="s">
        <v>273</v>
      </c>
      <c r="D340" s="97">
        <v>100000</v>
      </c>
      <c r="E340" s="97">
        <f t="shared" si="4"/>
        <v>105163.52928804292</v>
      </c>
      <c r="F340" s="97">
        <v>100000</v>
      </c>
      <c r="G340" s="97">
        <f t="shared" si="5"/>
        <v>105163.52928804292</v>
      </c>
      <c r="H340" s="79" t="s">
        <v>344</v>
      </c>
      <c r="I340" s="79" t="s">
        <v>286</v>
      </c>
      <c r="J340" s="79" t="s">
        <v>284</v>
      </c>
      <c r="K340" s="79" t="s">
        <v>289</v>
      </c>
      <c r="L340" s="79" t="s">
        <v>293</v>
      </c>
      <c r="M340" s="79" t="s">
        <v>335</v>
      </c>
      <c r="N340" s="81">
        <v>41081</v>
      </c>
      <c r="O340" s="79" t="s">
        <v>341</v>
      </c>
      <c r="P340" s="79" t="s">
        <v>341</v>
      </c>
      <c r="Q340" s="79"/>
    </row>
    <row r="341" spans="2:17" s="109" customFormat="1" ht="23.1" customHeight="1" x14ac:dyDescent="0.25">
      <c r="B341" s="79" t="s">
        <v>124</v>
      </c>
      <c r="C341" s="79" t="s">
        <v>259</v>
      </c>
      <c r="D341" s="97">
        <v>50000</v>
      </c>
      <c r="E341" s="97">
        <f t="shared" si="4"/>
        <v>52581.764644021459</v>
      </c>
      <c r="F341" s="97">
        <v>50000</v>
      </c>
      <c r="G341" s="97">
        <f t="shared" si="5"/>
        <v>52581.764644021459</v>
      </c>
      <c r="H341" s="79" t="s">
        <v>344</v>
      </c>
      <c r="I341" s="79" t="s">
        <v>286</v>
      </c>
      <c r="J341" s="79" t="s">
        <v>284</v>
      </c>
      <c r="K341" s="79" t="s">
        <v>289</v>
      </c>
      <c r="L341" s="79" t="s">
        <v>292</v>
      </c>
      <c r="M341" s="79" t="s">
        <v>325</v>
      </c>
      <c r="N341" s="79">
        <v>31181</v>
      </c>
      <c r="O341" s="79" t="s">
        <v>341</v>
      </c>
      <c r="P341" s="79" t="s">
        <v>341</v>
      </c>
      <c r="Q341" s="79"/>
    </row>
    <row r="342" spans="2:17" s="109" customFormat="1" ht="23.1" customHeight="1" x14ac:dyDescent="0.25">
      <c r="B342" s="79" t="s">
        <v>124</v>
      </c>
      <c r="C342" s="79" t="s">
        <v>487</v>
      </c>
      <c r="D342" s="97">
        <v>399994</v>
      </c>
      <c r="E342" s="97">
        <f t="shared" si="4"/>
        <v>420647.80734041438</v>
      </c>
      <c r="F342" s="97">
        <v>399994</v>
      </c>
      <c r="G342" s="97">
        <f t="shared" si="5"/>
        <v>420647.80734041438</v>
      </c>
      <c r="H342" s="79" t="s">
        <v>345</v>
      </c>
      <c r="I342" s="79" t="s">
        <v>286</v>
      </c>
      <c r="J342" s="79" t="s">
        <v>284</v>
      </c>
      <c r="K342" s="79" t="s">
        <v>289</v>
      </c>
      <c r="L342" s="79" t="s">
        <v>292</v>
      </c>
      <c r="M342" s="79" t="s">
        <v>321</v>
      </c>
      <c r="N342" s="79">
        <v>31181</v>
      </c>
      <c r="O342" s="79" t="s">
        <v>341</v>
      </c>
      <c r="P342" s="79" t="s">
        <v>341</v>
      </c>
      <c r="Q342" s="79" t="s">
        <v>397</v>
      </c>
    </row>
    <row r="343" spans="2:17" s="109" customFormat="1" ht="23.1" customHeight="1" x14ac:dyDescent="0.25">
      <c r="B343" s="79" t="s">
        <v>124</v>
      </c>
      <c r="C343" s="79" t="s">
        <v>487</v>
      </c>
      <c r="D343" s="97">
        <v>95000</v>
      </c>
      <c r="E343" s="97">
        <f t="shared" si="4"/>
        <v>99905.352823640773</v>
      </c>
      <c r="F343" s="97">
        <v>95000</v>
      </c>
      <c r="G343" s="97">
        <f t="shared" si="5"/>
        <v>99905.352823640773</v>
      </c>
      <c r="H343" s="79" t="s">
        <v>344</v>
      </c>
      <c r="I343" s="79" t="s">
        <v>286</v>
      </c>
      <c r="J343" s="79" t="s">
        <v>284</v>
      </c>
      <c r="K343" s="79" t="s">
        <v>289</v>
      </c>
      <c r="L343" s="79" t="s">
        <v>292</v>
      </c>
      <c r="M343" s="79" t="s">
        <v>321</v>
      </c>
      <c r="N343" s="79">
        <v>31181</v>
      </c>
      <c r="O343" s="79" t="s">
        <v>341</v>
      </c>
      <c r="P343" s="79" t="s">
        <v>341</v>
      </c>
      <c r="Q343" s="79"/>
    </row>
    <row r="344" spans="2:17" s="109" customFormat="1" ht="23.1" customHeight="1" x14ac:dyDescent="0.25">
      <c r="B344" s="79" t="s">
        <v>149</v>
      </c>
      <c r="C344" s="79" t="s">
        <v>247</v>
      </c>
      <c r="D344" s="97">
        <v>99134.38</v>
      </c>
      <c r="E344" s="97">
        <f t="shared" si="4"/>
        <v>104253.21274581976</v>
      </c>
      <c r="F344" s="97">
        <v>99134.38</v>
      </c>
      <c r="G344" s="97">
        <f t="shared" si="5"/>
        <v>104253.21274581976</v>
      </c>
      <c r="H344" s="79" t="s">
        <v>344</v>
      </c>
      <c r="I344" s="79" t="s">
        <v>286</v>
      </c>
      <c r="J344" s="79" t="s">
        <v>284</v>
      </c>
      <c r="K344" s="79" t="s">
        <v>289</v>
      </c>
      <c r="L344" s="79" t="s">
        <v>291</v>
      </c>
      <c r="M344" s="79" t="s">
        <v>316</v>
      </c>
      <c r="N344" s="79">
        <v>74010</v>
      </c>
      <c r="O344" s="79" t="s">
        <v>341</v>
      </c>
      <c r="P344" s="79" t="s">
        <v>341</v>
      </c>
      <c r="Q344" s="79"/>
    </row>
    <row r="345" spans="2:17" s="109" customFormat="1" ht="23.1" customHeight="1" x14ac:dyDescent="0.25">
      <c r="B345" s="79" t="s">
        <v>121</v>
      </c>
      <c r="C345" s="79" t="s">
        <v>235</v>
      </c>
      <c r="D345" s="97">
        <v>99110</v>
      </c>
      <c r="E345" s="97">
        <f t="shared" ref="E345:E354" si="12">D345*(1/$C$4)</f>
        <v>104227.57387737933</v>
      </c>
      <c r="F345" s="97">
        <v>99110</v>
      </c>
      <c r="G345" s="97">
        <f t="shared" ref="G345:G355" si="13">F345*(1/$C$4)</f>
        <v>104227.57387737933</v>
      </c>
      <c r="H345" s="79" t="s">
        <v>344</v>
      </c>
      <c r="I345" s="79" t="s">
        <v>286</v>
      </c>
      <c r="J345" s="79" t="s">
        <v>284</v>
      </c>
      <c r="K345" s="79" t="s">
        <v>289</v>
      </c>
      <c r="L345" s="79" t="s">
        <v>291</v>
      </c>
      <c r="M345" s="79" t="s">
        <v>295</v>
      </c>
      <c r="N345" s="79">
        <v>31110</v>
      </c>
      <c r="O345" s="79" t="s">
        <v>341</v>
      </c>
      <c r="P345" s="79" t="s">
        <v>341</v>
      </c>
      <c r="Q345" s="79"/>
    </row>
    <row r="346" spans="2:17" s="109" customFormat="1" ht="23.1" customHeight="1" x14ac:dyDescent="0.25">
      <c r="B346" s="79" t="s">
        <v>121</v>
      </c>
      <c r="C346" s="79" t="s">
        <v>242</v>
      </c>
      <c r="D346" s="97">
        <v>99524.02</v>
      </c>
      <c r="E346" s="97">
        <f t="shared" si="12"/>
        <v>104662.9719213377</v>
      </c>
      <c r="F346" s="97">
        <v>99524.02</v>
      </c>
      <c r="G346" s="97">
        <f t="shared" si="13"/>
        <v>104662.9719213377</v>
      </c>
      <c r="H346" s="79" t="s">
        <v>344</v>
      </c>
      <c r="I346" s="79" t="s">
        <v>286</v>
      </c>
      <c r="J346" s="79" t="s">
        <v>284</v>
      </c>
      <c r="K346" s="79" t="s">
        <v>289</v>
      </c>
      <c r="L346" s="79" t="s">
        <v>291</v>
      </c>
      <c r="M346" s="79" t="s">
        <v>313</v>
      </c>
      <c r="N346" s="79">
        <v>31181</v>
      </c>
      <c r="O346" s="79" t="s">
        <v>341</v>
      </c>
      <c r="P346" s="79" t="s">
        <v>341</v>
      </c>
      <c r="Q346" s="79"/>
    </row>
    <row r="347" spans="2:17" s="109" customFormat="1" ht="23.1" customHeight="1" x14ac:dyDescent="0.25">
      <c r="B347" s="79" t="s">
        <v>125</v>
      </c>
      <c r="C347" s="79" t="s">
        <v>243</v>
      </c>
      <c r="D347" s="97">
        <v>45663.89</v>
      </c>
      <c r="E347" s="97">
        <f t="shared" si="12"/>
        <v>48021.758334209699</v>
      </c>
      <c r="F347" s="97">
        <v>45663.89</v>
      </c>
      <c r="G347" s="97">
        <f t="shared" si="13"/>
        <v>48021.758334209699</v>
      </c>
      <c r="H347" s="79" t="s">
        <v>344</v>
      </c>
      <c r="I347" s="79" t="s">
        <v>286</v>
      </c>
      <c r="J347" s="79" t="s">
        <v>284</v>
      </c>
      <c r="K347" s="79" t="s">
        <v>289</v>
      </c>
      <c r="L347" s="79" t="s">
        <v>291</v>
      </c>
      <c r="M347" s="79" t="s">
        <v>313</v>
      </c>
      <c r="N347" s="79">
        <v>41081</v>
      </c>
      <c r="O347" s="79" t="s">
        <v>341</v>
      </c>
      <c r="P347" s="79" t="s">
        <v>341</v>
      </c>
      <c r="Q347" s="79"/>
    </row>
    <row r="348" spans="2:17" s="109" customFormat="1" ht="23.1" customHeight="1" x14ac:dyDescent="0.25">
      <c r="B348" s="79" t="s">
        <v>125</v>
      </c>
      <c r="C348" s="79" t="s">
        <v>257</v>
      </c>
      <c r="D348" s="97">
        <v>200000</v>
      </c>
      <c r="E348" s="97">
        <f t="shared" si="12"/>
        <v>210327.05857608584</v>
      </c>
      <c r="F348" s="97">
        <v>200000</v>
      </c>
      <c r="G348" s="97">
        <f t="shared" si="13"/>
        <v>210327.05857608584</v>
      </c>
      <c r="H348" s="79" t="s">
        <v>344</v>
      </c>
      <c r="I348" s="79" t="s">
        <v>285</v>
      </c>
      <c r="J348" s="79" t="s">
        <v>284</v>
      </c>
      <c r="K348" s="79" t="s">
        <v>289</v>
      </c>
      <c r="L348" s="79" t="s">
        <v>292</v>
      </c>
      <c r="M348" s="79" t="s">
        <v>323</v>
      </c>
      <c r="N348" s="81">
        <v>41010</v>
      </c>
      <c r="O348" s="79" t="s">
        <v>341</v>
      </c>
      <c r="P348" s="79" t="s">
        <v>346</v>
      </c>
      <c r="Q348" s="79"/>
    </row>
    <row r="349" spans="2:17" s="109" customFormat="1" ht="23.1" customHeight="1" x14ac:dyDescent="0.25">
      <c r="B349" s="79" t="s">
        <v>125</v>
      </c>
      <c r="C349" s="79" t="s">
        <v>241</v>
      </c>
      <c r="D349" s="97">
        <v>100934.08</v>
      </c>
      <c r="E349" s="97">
        <f t="shared" si="12"/>
        <v>106145.84078241666</v>
      </c>
      <c r="F349" s="97">
        <v>100934.08</v>
      </c>
      <c r="G349" s="97">
        <f t="shared" si="13"/>
        <v>106145.84078241666</v>
      </c>
      <c r="H349" s="79" t="s">
        <v>344</v>
      </c>
      <c r="I349" s="79" t="s">
        <v>286</v>
      </c>
      <c r="J349" s="79" t="s">
        <v>284</v>
      </c>
      <c r="K349" s="79" t="s">
        <v>289</v>
      </c>
      <c r="L349" s="79" t="s">
        <v>292</v>
      </c>
      <c r="M349" s="79" t="s">
        <v>527</v>
      </c>
      <c r="N349" s="79">
        <v>41081</v>
      </c>
      <c r="O349" s="79" t="s">
        <v>341</v>
      </c>
      <c r="P349" s="79" t="s">
        <v>341</v>
      </c>
      <c r="Q349" s="79"/>
    </row>
    <row r="350" spans="2:17" s="109" customFormat="1" ht="23.1" customHeight="1" x14ac:dyDescent="0.25">
      <c r="B350" s="79" t="s">
        <v>125</v>
      </c>
      <c r="C350" s="79" t="s">
        <v>258</v>
      </c>
      <c r="D350" s="97">
        <v>100000</v>
      </c>
      <c r="E350" s="97">
        <f t="shared" si="12"/>
        <v>105163.52928804292</v>
      </c>
      <c r="F350" s="97">
        <v>100000</v>
      </c>
      <c r="G350" s="97">
        <f t="shared" si="13"/>
        <v>105163.52928804292</v>
      </c>
      <c r="H350" s="79" t="s">
        <v>344</v>
      </c>
      <c r="I350" s="79" t="s">
        <v>286</v>
      </c>
      <c r="J350" s="79" t="s">
        <v>284</v>
      </c>
      <c r="K350" s="79" t="s">
        <v>289</v>
      </c>
      <c r="L350" s="79" t="s">
        <v>292</v>
      </c>
      <c r="M350" s="79" t="s">
        <v>324</v>
      </c>
      <c r="N350" s="81">
        <v>31210</v>
      </c>
      <c r="O350" s="79" t="s">
        <v>341</v>
      </c>
      <c r="P350" s="79" t="s">
        <v>341</v>
      </c>
      <c r="Q350" s="79"/>
    </row>
    <row r="351" spans="2:17" s="109" customFormat="1" ht="23.1" customHeight="1" x14ac:dyDescent="0.25">
      <c r="B351" s="79" t="s">
        <v>143</v>
      </c>
      <c r="C351" s="79" t="s">
        <v>236</v>
      </c>
      <c r="D351" s="97">
        <v>100000</v>
      </c>
      <c r="E351" s="97">
        <f t="shared" si="12"/>
        <v>105163.52928804292</v>
      </c>
      <c r="F351" s="97">
        <v>100000</v>
      </c>
      <c r="G351" s="97">
        <f t="shared" si="13"/>
        <v>105163.52928804292</v>
      </c>
      <c r="H351" s="79" t="s">
        <v>344</v>
      </c>
      <c r="I351" s="79" t="s">
        <v>286</v>
      </c>
      <c r="J351" s="79" t="s">
        <v>284</v>
      </c>
      <c r="K351" s="79" t="s">
        <v>289</v>
      </c>
      <c r="L351" s="79" t="s">
        <v>291</v>
      </c>
      <c r="M351" s="79" t="s">
        <v>295</v>
      </c>
      <c r="N351" s="79">
        <v>31182</v>
      </c>
      <c r="O351" s="79" t="s">
        <v>341</v>
      </c>
      <c r="P351" s="79" t="s">
        <v>341</v>
      </c>
      <c r="Q351" s="79"/>
    </row>
    <row r="352" spans="2:17" s="109" customFormat="1" ht="32.25" customHeight="1" x14ac:dyDescent="0.25">
      <c r="B352" s="79" t="s">
        <v>155</v>
      </c>
      <c r="C352" s="79" t="s">
        <v>250</v>
      </c>
      <c r="D352" s="97">
        <v>570000</v>
      </c>
      <c r="E352" s="97">
        <f t="shared" si="12"/>
        <v>599432.11694184458</v>
      </c>
      <c r="F352" s="97">
        <v>570000</v>
      </c>
      <c r="G352" s="97">
        <f t="shared" si="13"/>
        <v>599432.11694184458</v>
      </c>
      <c r="H352" s="79" t="s">
        <v>344</v>
      </c>
      <c r="I352" s="79" t="s">
        <v>553</v>
      </c>
      <c r="J352" s="79" t="s">
        <v>284</v>
      </c>
      <c r="K352" s="79" t="s">
        <v>289</v>
      </c>
      <c r="L352" s="79" t="s">
        <v>291</v>
      </c>
      <c r="M352" s="79" t="s">
        <v>528</v>
      </c>
      <c r="N352" s="79">
        <v>14031</v>
      </c>
      <c r="O352" s="79" t="s">
        <v>341</v>
      </c>
      <c r="P352" s="79" t="s">
        <v>341</v>
      </c>
      <c r="Q352" s="79"/>
    </row>
    <row r="353" spans="2:17" s="109" customFormat="1" ht="23.1" customHeight="1" x14ac:dyDescent="0.25">
      <c r="B353" s="79" t="s">
        <v>156</v>
      </c>
      <c r="C353" s="79" t="s">
        <v>251</v>
      </c>
      <c r="D353" s="97">
        <v>240250</v>
      </c>
      <c r="E353" s="97">
        <f t="shared" si="12"/>
        <v>252655.37911452309</v>
      </c>
      <c r="F353" s="97">
        <v>240250</v>
      </c>
      <c r="G353" s="97">
        <f t="shared" si="13"/>
        <v>252655.37911452309</v>
      </c>
      <c r="H353" s="79" t="s">
        <v>344</v>
      </c>
      <c r="I353" s="79" t="s">
        <v>285</v>
      </c>
      <c r="J353" s="79" t="s">
        <v>284</v>
      </c>
      <c r="K353" s="79" t="s">
        <v>289</v>
      </c>
      <c r="L353" s="79" t="s">
        <v>291</v>
      </c>
      <c r="M353" s="79" t="s">
        <v>315</v>
      </c>
      <c r="N353" s="79">
        <v>43040</v>
      </c>
      <c r="O353" s="79" t="s">
        <v>341</v>
      </c>
      <c r="P353" s="79" t="s">
        <v>346</v>
      </c>
      <c r="Q353" s="79"/>
    </row>
    <row r="354" spans="2:17" s="109" customFormat="1" ht="23.1" customHeight="1" x14ac:dyDescent="0.25">
      <c r="B354" s="79" t="s">
        <v>406</v>
      </c>
      <c r="C354" s="79" t="s">
        <v>630</v>
      </c>
      <c r="D354" s="97">
        <v>1800000</v>
      </c>
      <c r="E354" s="97">
        <f t="shared" si="12"/>
        <v>1892943.5271847723</v>
      </c>
      <c r="F354" s="97">
        <v>1800000</v>
      </c>
      <c r="G354" s="97">
        <f t="shared" si="13"/>
        <v>1892943.5271847723</v>
      </c>
      <c r="H354" s="79" t="s">
        <v>344</v>
      </c>
      <c r="I354" s="79" t="s">
        <v>287</v>
      </c>
      <c r="J354" s="79" t="s">
        <v>634</v>
      </c>
      <c r="K354" s="79" t="s">
        <v>387</v>
      </c>
      <c r="L354" s="79" t="s">
        <v>292</v>
      </c>
      <c r="M354" s="79" t="s">
        <v>338</v>
      </c>
      <c r="N354" s="81">
        <v>31220</v>
      </c>
      <c r="O354" s="79" t="s">
        <v>341</v>
      </c>
      <c r="P354" s="79" t="s">
        <v>341</v>
      </c>
      <c r="Q354" s="79"/>
    </row>
    <row r="355" spans="2:17" s="109" customFormat="1" ht="23.1" customHeight="1" x14ac:dyDescent="0.25">
      <c r="B355" s="79" t="s">
        <v>151</v>
      </c>
      <c r="C355" s="79" t="s">
        <v>370</v>
      </c>
      <c r="D355" s="97">
        <v>950000</v>
      </c>
      <c r="E355" s="97">
        <f>D355*(1/$C$4)</f>
        <v>999053.52823640767</v>
      </c>
      <c r="F355" s="97">
        <v>950000</v>
      </c>
      <c r="G355" s="97">
        <f t="shared" si="13"/>
        <v>999053.52823640767</v>
      </c>
      <c r="H355" s="79" t="s">
        <v>344</v>
      </c>
      <c r="I355" s="79" t="s">
        <v>285</v>
      </c>
      <c r="J355" s="79" t="s">
        <v>634</v>
      </c>
      <c r="K355" s="79" t="s">
        <v>289</v>
      </c>
      <c r="L355" s="79" t="s">
        <v>292</v>
      </c>
      <c r="M355" s="79" t="s">
        <v>371</v>
      </c>
      <c r="N355" s="79">
        <v>24081</v>
      </c>
      <c r="O355" s="79" t="s">
        <v>341</v>
      </c>
      <c r="P355" s="79" t="s">
        <v>346</v>
      </c>
      <c r="Q355" s="79" t="s">
        <v>372</v>
      </c>
    </row>
    <row r="356" spans="2:17" s="109" customFormat="1" ht="12" x14ac:dyDescent="0.25">
      <c r="B356" s="110"/>
      <c r="H356" s="111"/>
      <c r="I356" s="112"/>
      <c r="J356" s="113"/>
      <c r="K356" s="113"/>
      <c r="L356" s="114"/>
      <c r="M356" s="113"/>
      <c r="N356" s="115"/>
      <c r="O356" s="113"/>
      <c r="P356" s="113"/>
      <c r="Q356" s="113"/>
    </row>
    <row r="357" spans="2:17" s="109" customFormat="1" ht="12" x14ac:dyDescent="0.25">
      <c r="B357" s="109" t="s">
        <v>37</v>
      </c>
      <c r="H357" s="111"/>
      <c r="I357" s="112"/>
      <c r="J357" s="113"/>
      <c r="K357" s="113"/>
      <c r="L357" s="114"/>
      <c r="M357" s="113"/>
      <c r="N357" s="115"/>
      <c r="O357" s="113"/>
      <c r="P357" s="113"/>
      <c r="Q357" s="113"/>
    </row>
    <row r="358" spans="2:17" s="109" customFormat="1" ht="12" x14ac:dyDescent="0.25">
      <c r="B358" s="109" t="s">
        <v>38</v>
      </c>
      <c r="H358" s="111"/>
      <c r="I358" s="112"/>
      <c r="J358" s="113"/>
      <c r="K358" s="113"/>
      <c r="L358" s="114"/>
      <c r="M358" s="113"/>
      <c r="N358" s="115"/>
      <c r="O358" s="113"/>
      <c r="P358" s="113"/>
      <c r="Q358" s="113"/>
    </row>
    <row r="359" spans="2:17" s="109" customFormat="1" ht="12" x14ac:dyDescent="0.25">
      <c r="B359" s="100" t="s">
        <v>39</v>
      </c>
      <c r="C359" s="100"/>
      <c r="D359" s="100"/>
      <c r="E359" s="100"/>
      <c r="F359" s="100"/>
      <c r="G359" s="100"/>
      <c r="H359" s="100"/>
      <c r="I359" s="100"/>
      <c r="J359" s="100"/>
      <c r="K359" s="100"/>
      <c r="L359" s="100"/>
      <c r="M359" s="100"/>
      <c r="N359" s="100"/>
      <c r="O359" s="100"/>
      <c r="P359" s="100"/>
      <c r="Q359" s="100"/>
    </row>
    <row r="360" spans="2:17" s="109" customFormat="1" ht="14.1" customHeight="1" x14ac:dyDescent="0.25">
      <c r="B360" s="116" t="s">
        <v>40</v>
      </c>
      <c r="H360" s="111"/>
      <c r="I360" s="112"/>
      <c r="J360" s="113"/>
      <c r="K360" s="113"/>
      <c r="L360" s="114"/>
      <c r="M360" s="113"/>
      <c r="N360" s="115"/>
      <c r="O360" s="113"/>
      <c r="P360" s="113"/>
      <c r="Q360" s="113"/>
    </row>
    <row r="361" spans="2:17" ht="14.1" customHeight="1" x14ac:dyDescent="0.25">
      <c r="B361" s="116" t="s">
        <v>41</v>
      </c>
      <c r="D361" s="117"/>
    </row>
    <row r="362" spans="2:17" ht="14.1" customHeight="1" x14ac:dyDescent="0.25">
      <c r="B362" s="116" t="s">
        <v>42</v>
      </c>
      <c r="C362" s="118"/>
      <c r="D362" s="119"/>
      <c r="E362" s="119"/>
      <c r="F362" s="119"/>
      <c r="G362" s="120"/>
    </row>
    <row r="363" spans="2:17" ht="14.1" customHeight="1" x14ac:dyDescent="0.25">
      <c r="B363" s="116" t="s">
        <v>43</v>
      </c>
      <c r="C363" s="121"/>
    </row>
    <row r="364" spans="2:17" ht="14.1" customHeight="1" x14ac:dyDescent="0.25">
      <c r="B364" s="116" t="s">
        <v>44</v>
      </c>
      <c r="C364" s="121"/>
    </row>
    <row r="365" spans="2:17" ht="14.1" customHeight="1" x14ac:dyDescent="0.25">
      <c r="B365" s="116" t="s">
        <v>45</v>
      </c>
      <c r="C365" s="121"/>
    </row>
    <row r="366" spans="2:17" ht="14.1" customHeight="1" x14ac:dyDescent="0.25">
      <c r="B366" s="116" t="s">
        <v>46</v>
      </c>
      <c r="C366" s="121"/>
    </row>
    <row r="367" spans="2:17" ht="14.1" customHeight="1" x14ac:dyDescent="0.25">
      <c r="B367" s="116" t="s">
        <v>47</v>
      </c>
      <c r="C367" s="121"/>
    </row>
    <row r="368" spans="2:17" ht="14.1" customHeight="1" x14ac:dyDescent="0.25">
      <c r="B368" s="116" t="s">
        <v>48</v>
      </c>
      <c r="C368" s="116"/>
      <c r="D368" s="116"/>
      <c r="E368" s="116"/>
      <c r="F368" s="116"/>
      <c r="G368" s="116"/>
      <c r="H368" s="116"/>
      <c r="I368" s="116"/>
      <c r="J368" s="116"/>
      <c r="K368" s="116"/>
      <c r="L368" s="116"/>
      <c r="M368" s="116"/>
      <c r="N368" s="116"/>
      <c r="O368" s="116"/>
      <c r="P368" s="116"/>
      <c r="Q368" s="116"/>
    </row>
    <row r="369" spans="2:3" ht="14.1" customHeight="1" x14ac:dyDescent="0.25">
      <c r="B369" s="116" t="s">
        <v>49</v>
      </c>
      <c r="C369" s="121"/>
    </row>
    <row r="370" spans="2:3" ht="14.1" customHeight="1" x14ac:dyDescent="0.25">
      <c r="B370" s="116" t="s">
        <v>50</v>
      </c>
      <c r="C370" s="121"/>
    </row>
    <row r="371" spans="2:3" ht="12" x14ac:dyDescent="0.25">
      <c r="B371" s="103"/>
      <c r="C371" s="121"/>
    </row>
    <row r="372" spans="2:3" ht="12" x14ac:dyDescent="0.25">
      <c r="B372" s="122" t="s">
        <v>51</v>
      </c>
    </row>
    <row r="373" spans="2:3" ht="14.1" customHeight="1" x14ac:dyDescent="0.25">
      <c r="B373" s="100" t="s">
        <v>52</v>
      </c>
    </row>
    <row r="398" spans="1:1" ht="14.1" customHeight="1" x14ac:dyDescent="0.25"/>
    <row r="399" spans="1:1" ht="14.1" customHeight="1" x14ac:dyDescent="0.25"/>
    <row r="400" spans="1:1" ht="14.1" customHeight="1" x14ac:dyDescent="0.25">
      <c r="A400" s="123"/>
    </row>
    <row r="401" spans="1:1" ht="14.1" customHeight="1" x14ac:dyDescent="0.25">
      <c r="A401" s="124"/>
    </row>
    <row r="402" spans="1:1" ht="14.1" customHeight="1" x14ac:dyDescent="0.25">
      <c r="A402" s="125"/>
    </row>
    <row r="403" spans="1:1" ht="14.1" customHeight="1" x14ac:dyDescent="0.25">
      <c r="A403" s="125"/>
    </row>
    <row r="404" spans="1:1" ht="14.1" customHeight="1" x14ac:dyDescent="0.25">
      <c r="A404" s="125"/>
    </row>
    <row r="405" spans="1:1" ht="14.1" customHeight="1" x14ac:dyDescent="0.25">
      <c r="A405" s="125"/>
    </row>
    <row r="406" spans="1:1" ht="14.1" customHeight="1" x14ac:dyDescent="0.25">
      <c r="A406" s="125"/>
    </row>
    <row r="407" spans="1:1" ht="14.4" x14ac:dyDescent="0.25">
      <c r="A407" s="125"/>
    </row>
    <row r="408" spans="1:1" ht="12" customHeight="1" x14ac:dyDescent="0.25">
      <c r="A408" s="125"/>
    </row>
    <row r="409" spans="1:1" ht="14.4" x14ac:dyDescent="0.25">
      <c r="A409" s="125"/>
    </row>
    <row r="410" spans="1:1" ht="14.4" x14ac:dyDescent="0.25">
      <c r="A410" s="125"/>
    </row>
    <row r="411" spans="1:1" ht="12" x14ac:dyDescent="0.25">
      <c r="A411" s="126"/>
    </row>
    <row r="412" spans="1:1" ht="12" x14ac:dyDescent="0.25">
      <c r="A412" s="127"/>
    </row>
    <row r="413" spans="1:1" ht="12" x14ac:dyDescent="0.25">
      <c r="A413" s="126"/>
    </row>
    <row r="414" spans="1:1" ht="12" x14ac:dyDescent="0.25">
      <c r="A414" s="126"/>
    </row>
  </sheetData>
  <sortState xmlns:xlrd2="http://schemas.microsoft.com/office/spreadsheetml/2017/richdata2" ref="B10:Q355">
    <sortCondition ref="J10:J355"/>
  </sortState>
  <hyperlinks>
    <hyperlink ref="B5" location="'Index sheet'!A1" display="Back to index" xr:uid="{00000000-0004-0000-0100-000000000000}"/>
  </hyperlinks>
  <pageMargins left="0.7" right="0.7" top="0.75" bottom="0.75" header="0.3" footer="0.3"/>
  <pageSetup paperSize="9" orientation="portrait" r:id="rId1"/>
  <ignoredErrors>
    <ignoredError sqref="A356:Q414 A1:Q2 A5:Q9 A3:B3 D3:Q3 A4:B4 D4:Q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42"/>
  <sheetViews>
    <sheetView showGridLines="0" zoomScaleNormal="100" workbookViewId="0"/>
  </sheetViews>
  <sheetFormatPr defaultColWidth="9.109375" defaultRowHeight="11.4" customHeight="1" x14ac:dyDescent="0.25"/>
  <cols>
    <col min="1" max="1" width="2.44140625" style="1" customWidth="1"/>
    <col min="2" max="2" width="27.44140625" style="1" customWidth="1"/>
    <col min="3" max="6" width="9.109375" style="1" customWidth="1"/>
    <col min="7" max="7" width="11.5546875" style="1" customWidth="1"/>
    <col min="8" max="8" width="11" style="1" customWidth="1"/>
    <col min="9" max="9" width="10.6640625" style="1" customWidth="1"/>
    <col min="10" max="10" width="10.5546875" style="1" customWidth="1"/>
    <col min="11" max="14" width="9.109375" style="1" customWidth="1"/>
    <col min="15" max="15" width="14.5546875" style="1" customWidth="1"/>
    <col min="16" max="16" width="18.6640625" style="1" customWidth="1"/>
    <col min="17" max="18" width="9.109375" style="1" customWidth="1"/>
    <col min="19" max="19" width="11" style="1" customWidth="1"/>
    <col min="20" max="23" width="9.109375" style="1" customWidth="1"/>
    <col min="24" max="24" width="10.109375" style="1" customWidth="1"/>
    <col min="25" max="25" width="10.44140625" style="1" customWidth="1"/>
    <col min="26" max="26" width="20.44140625" style="1" customWidth="1"/>
    <col min="27" max="27" width="9.109375" style="1" customWidth="1"/>
    <col min="28" max="16384" width="9.109375" style="1"/>
  </cols>
  <sheetData>
    <row r="1" spans="2:26" ht="15.9" customHeight="1" x14ac:dyDescent="0.3">
      <c r="B1" s="8" t="s">
        <v>54</v>
      </c>
    </row>
    <row r="2" spans="2:26" ht="15.9" customHeight="1" x14ac:dyDescent="0.3">
      <c r="B2" s="7" t="s">
        <v>15</v>
      </c>
      <c r="J2" s="31" t="s">
        <v>53</v>
      </c>
      <c r="K2" s="31" t="s">
        <v>55</v>
      </c>
    </row>
    <row r="3" spans="2:26" ht="15.9" customHeight="1" x14ac:dyDescent="0.25">
      <c r="B3" s="10" t="s">
        <v>18</v>
      </c>
      <c r="C3" s="85" t="s">
        <v>631</v>
      </c>
    </row>
    <row r="4" spans="2:26" ht="15.9" customHeight="1" x14ac:dyDescent="0.25">
      <c r="B4" s="12"/>
      <c r="C4" s="12">
        <v>0.84560000000000002</v>
      </c>
    </row>
    <row r="5" spans="2:26" ht="12" x14ac:dyDescent="0.25">
      <c r="B5" s="13" t="s">
        <v>19</v>
      </c>
    </row>
    <row r="6" spans="2:26" ht="12" x14ac:dyDescent="0.25">
      <c r="B6" s="9"/>
    </row>
    <row r="7" spans="2:26" s="16" customFormat="1" ht="74.099999999999994" customHeight="1" x14ac:dyDescent="0.25">
      <c r="B7" s="32" t="s">
        <v>56</v>
      </c>
      <c r="C7" s="33" t="s">
        <v>57</v>
      </c>
      <c r="D7" s="33"/>
      <c r="E7" s="33"/>
      <c r="F7" s="33"/>
      <c r="G7" s="33"/>
      <c r="H7" s="33"/>
      <c r="I7" s="33"/>
      <c r="J7" s="33"/>
      <c r="K7" s="33"/>
      <c r="L7" s="33"/>
      <c r="M7" s="33"/>
      <c r="N7" s="33"/>
      <c r="O7" s="14" t="s">
        <v>58</v>
      </c>
      <c r="P7" s="14" t="s">
        <v>59</v>
      </c>
      <c r="Q7" s="14" t="s">
        <v>23</v>
      </c>
      <c r="R7" s="14" t="s">
        <v>24</v>
      </c>
      <c r="S7" s="14" t="s">
        <v>25</v>
      </c>
      <c r="T7" s="14" t="s">
        <v>60</v>
      </c>
      <c r="U7" s="14" t="s">
        <v>27</v>
      </c>
      <c r="V7" s="14" t="s">
        <v>61</v>
      </c>
      <c r="W7" s="14" t="s">
        <v>62</v>
      </c>
      <c r="X7" s="14" t="s">
        <v>63</v>
      </c>
      <c r="Y7" s="15" t="s">
        <v>64</v>
      </c>
      <c r="Z7" s="14" t="s">
        <v>65</v>
      </c>
    </row>
    <row r="8" spans="2:26" s="16" customFormat="1" ht="21" customHeight="1" x14ac:dyDescent="0.25">
      <c r="B8" s="34"/>
      <c r="C8" s="33" t="s">
        <v>66</v>
      </c>
      <c r="D8" s="33"/>
      <c r="E8" s="33"/>
      <c r="F8" s="33"/>
      <c r="G8" s="33"/>
      <c r="H8" s="33"/>
      <c r="I8" s="33"/>
      <c r="J8" s="33"/>
      <c r="K8" s="33" t="s">
        <v>67</v>
      </c>
      <c r="L8" s="33"/>
      <c r="M8" s="33"/>
      <c r="N8" s="33"/>
      <c r="O8" s="17"/>
      <c r="P8" s="17"/>
      <c r="Q8" s="17"/>
      <c r="R8" s="17"/>
      <c r="S8" s="17"/>
      <c r="T8" s="17"/>
      <c r="U8" s="17"/>
      <c r="V8" s="17"/>
      <c r="W8" s="17"/>
      <c r="X8" s="17"/>
      <c r="Y8" s="18"/>
      <c r="Z8" s="17"/>
    </row>
    <row r="9" spans="2:26" s="16" customFormat="1" ht="29.25" customHeight="1" x14ac:dyDescent="0.25">
      <c r="B9" s="34"/>
      <c r="C9" s="33" t="s">
        <v>68</v>
      </c>
      <c r="D9" s="33"/>
      <c r="E9" s="33"/>
      <c r="F9" s="33"/>
      <c r="G9" s="33" t="s">
        <v>69</v>
      </c>
      <c r="H9" s="33"/>
      <c r="I9" s="33"/>
      <c r="J9" s="33"/>
      <c r="K9" s="33" t="s">
        <v>69</v>
      </c>
      <c r="L9" s="33"/>
      <c r="M9" s="33"/>
      <c r="N9" s="33"/>
      <c r="O9" s="17"/>
      <c r="P9" s="17"/>
      <c r="Q9" s="17"/>
      <c r="R9" s="17"/>
      <c r="S9" s="17"/>
      <c r="T9" s="17"/>
      <c r="U9" s="17"/>
      <c r="V9" s="17"/>
      <c r="W9" s="17"/>
      <c r="X9" s="17"/>
      <c r="Y9" s="18"/>
      <c r="Z9" s="17"/>
    </row>
    <row r="10" spans="2:26" s="16" customFormat="1" ht="23.4" customHeight="1" x14ac:dyDescent="0.25">
      <c r="B10" s="34"/>
      <c r="C10" s="35" t="s">
        <v>33</v>
      </c>
      <c r="D10" s="35"/>
      <c r="E10" s="35" t="s">
        <v>34</v>
      </c>
      <c r="F10" s="35"/>
      <c r="G10" s="35" t="s">
        <v>33</v>
      </c>
      <c r="H10" s="35"/>
      <c r="I10" s="35" t="s">
        <v>34</v>
      </c>
      <c r="J10" s="35"/>
      <c r="K10" s="35" t="s">
        <v>33</v>
      </c>
      <c r="L10" s="35"/>
      <c r="M10" s="35" t="s">
        <v>34</v>
      </c>
      <c r="N10" s="35"/>
      <c r="O10" s="17"/>
      <c r="P10" s="17"/>
      <c r="Q10" s="17"/>
      <c r="R10" s="17"/>
      <c r="S10" s="17"/>
      <c r="T10" s="17"/>
      <c r="U10" s="17"/>
      <c r="V10" s="17"/>
      <c r="W10" s="17"/>
      <c r="X10" s="17"/>
      <c r="Y10" s="18"/>
      <c r="Z10" s="17"/>
    </row>
    <row r="11" spans="2:26" s="16" customFormat="1" ht="23.1" customHeight="1" x14ac:dyDescent="0.25">
      <c r="B11" s="34"/>
      <c r="C11" s="32" t="s">
        <v>35</v>
      </c>
      <c r="D11" s="36" t="s">
        <v>36</v>
      </c>
      <c r="E11" s="32" t="s">
        <v>35</v>
      </c>
      <c r="F11" s="36" t="s">
        <v>36</v>
      </c>
      <c r="G11" s="32" t="s">
        <v>35</v>
      </c>
      <c r="H11" s="36" t="s">
        <v>36</v>
      </c>
      <c r="I11" s="32" t="s">
        <v>35</v>
      </c>
      <c r="J11" s="36" t="s">
        <v>36</v>
      </c>
      <c r="K11" s="32" t="s">
        <v>35</v>
      </c>
      <c r="L11" s="36" t="s">
        <v>36</v>
      </c>
      <c r="M11" s="32" t="s">
        <v>35</v>
      </c>
      <c r="N11" s="36" t="s">
        <v>36</v>
      </c>
      <c r="O11" s="19"/>
      <c r="P11" s="19"/>
      <c r="Q11" s="19"/>
      <c r="R11" s="19"/>
      <c r="S11" s="19"/>
      <c r="T11" s="19"/>
      <c r="U11" s="19"/>
      <c r="V11" s="19"/>
      <c r="W11" s="19"/>
      <c r="X11" s="19"/>
      <c r="Y11" s="20"/>
      <c r="Z11" s="17"/>
    </row>
    <row r="12" spans="2:26" s="16" customFormat="1" ht="23.1" customHeight="1" x14ac:dyDescent="0.25">
      <c r="B12" s="75" t="s">
        <v>347</v>
      </c>
      <c r="C12" s="76">
        <v>4953</v>
      </c>
      <c r="D12" s="77">
        <f>C12*(1/$C$4)</f>
        <v>5857.3793755912957</v>
      </c>
      <c r="E12" s="76">
        <v>4953</v>
      </c>
      <c r="F12" s="77">
        <f>E12*(1/$C$4)</f>
        <v>5857.3793755912957</v>
      </c>
      <c r="G12" s="76">
        <v>0</v>
      </c>
      <c r="H12" s="77">
        <f>G12*(1/$C$4)</f>
        <v>0</v>
      </c>
      <c r="I12" s="76">
        <v>0</v>
      </c>
      <c r="J12" s="77">
        <f>I12*(1/$C$4)</f>
        <v>0</v>
      </c>
      <c r="K12" s="76"/>
      <c r="L12" s="77"/>
      <c r="M12" s="76"/>
      <c r="N12" s="77"/>
      <c r="O12" s="74" t="s">
        <v>366</v>
      </c>
      <c r="P12" s="74" t="s">
        <v>360</v>
      </c>
      <c r="Q12" s="74" t="s">
        <v>345</v>
      </c>
      <c r="R12" s="74" t="s">
        <v>359</v>
      </c>
      <c r="S12" s="74" t="s">
        <v>283</v>
      </c>
      <c r="T12" s="74" t="s">
        <v>289</v>
      </c>
      <c r="U12" s="74" t="s">
        <v>293</v>
      </c>
      <c r="V12" s="74" t="s">
        <v>355</v>
      </c>
      <c r="W12" s="74">
        <v>99810</v>
      </c>
      <c r="X12" s="74" t="s">
        <v>340</v>
      </c>
      <c r="Y12" s="74" t="s">
        <v>340</v>
      </c>
      <c r="Z12" s="74" t="s">
        <v>160</v>
      </c>
    </row>
    <row r="13" spans="2:26" s="16" customFormat="1" ht="23.1" customHeight="1" x14ac:dyDescent="0.25">
      <c r="B13" s="75" t="s">
        <v>348</v>
      </c>
      <c r="C13" s="76">
        <v>1192550</v>
      </c>
      <c r="D13" s="77">
        <f t="shared" ref="D13:D22" si="0">C13*(1/$C$4)</f>
        <v>1410300.3784295174</v>
      </c>
      <c r="E13" s="76">
        <v>1192550</v>
      </c>
      <c r="F13" s="77">
        <f t="shared" ref="F13:F22" si="1">E13*(1/$C$4)</f>
        <v>1410300.3784295174</v>
      </c>
      <c r="G13" s="76">
        <v>0</v>
      </c>
      <c r="H13" s="77">
        <f t="shared" ref="H13:H22" si="2">G13*(1/$C$4)</f>
        <v>0</v>
      </c>
      <c r="I13" s="76">
        <v>0</v>
      </c>
      <c r="J13" s="77">
        <f t="shared" ref="J13:J22" si="3">I13*(1/$C$4)</f>
        <v>0</v>
      </c>
      <c r="K13" s="76"/>
      <c r="L13" s="77"/>
      <c r="M13" s="76"/>
      <c r="N13" s="77"/>
      <c r="O13" s="74" t="s">
        <v>366</v>
      </c>
      <c r="P13" s="74" t="s">
        <v>360</v>
      </c>
      <c r="Q13" s="74" t="s">
        <v>345</v>
      </c>
      <c r="R13" s="74" t="s">
        <v>359</v>
      </c>
      <c r="S13" s="74" t="s">
        <v>283</v>
      </c>
      <c r="T13" s="74" t="s">
        <v>358</v>
      </c>
      <c r="U13" s="74" t="s">
        <v>292</v>
      </c>
      <c r="V13" s="74" t="s">
        <v>355</v>
      </c>
      <c r="W13" s="74">
        <v>99810</v>
      </c>
      <c r="X13" s="74" t="s">
        <v>340</v>
      </c>
      <c r="Y13" s="74" t="s">
        <v>340</v>
      </c>
      <c r="Z13" s="74" t="s">
        <v>160</v>
      </c>
    </row>
    <row r="14" spans="2:26" s="16" customFormat="1" ht="23.1" customHeight="1" x14ac:dyDescent="0.25">
      <c r="B14" s="75" t="s">
        <v>349</v>
      </c>
      <c r="C14" s="76">
        <v>3100000</v>
      </c>
      <c r="D14" s="77">
        <f t="shared" si="0"/>
        <v>3666035.9508041623</v>
      </c>
      <c r="E14" s="76">
        <v>3100000</v>
      </c>
      <c r="F14" s="77">
        <f t="shared" si="1"/>
        <v>3666035.9508041623</v>
      </c>
      <c r="G14" s="76">
        <v>0</v>
      </c>
      <c r="H14" s="77">
        <f t="shared" si="2"/>
        <v>0</v>
      </c>
      <c r="I14" s="76">
        <v>0</v>
      </c>
      <c r="J14" s="77">
        <f t="shared" si="3"/>
        <v>0</v>
      </c>
      <c r="K14" s="76"/>
      <c r="L14" s="77"/>
      <c r="M14" s="76"/>
      <c r="N14" s="77"/>
      <c r="O14" s="74" t="s">
        <v>366</v>
      </c>
      <c r="P14" s="74" t="s">
        <v>360</v>
      </c>
      <c r="Q14" s="74" t="s">
        <v>345</v>
      </c>
      <c r="R14" s="74" t="s">
        <v>359</v>
      </c>
      <c r="S14" s="74" t="s">
        <v>283</v>
      </c>
      <c r="T14" s="74" t="s">
        <v>289</v>
      </c>
      <c r="U14" s="74" t="s">
        <v>292</v>
      </c>
      <c r="V14" s="74" t="s">
        <v>355</v>
      </c>
      <c r="W14" s="74">
        <v>99810</v>
      </c>
      <c r="X14" s="74" t="s">
        <v>340</v>
      </c>
      <c r="Y14" s="74" t="s">
        <v>340</v>
      </c>
      <c r="Z14" s="74" t="s">
        <v>160</v>
      </c>
    </row>
    <row r="15" spans="2:26" s="16" customFormat="1" ht="23.1" customHeight="1" x14ac:dyDescent="0.25">
      <c r="B15" s="75" t="s">
        <v>350</v>
      </c>
      <c r="C15" s="76">
        <v>247000</v>
      </c>
      <c r="D15" s="77">
        <f t="shared" si="0"/>
        <v>292100.2838221381</v>
      </c>
      <c r="E15" s="76">
        <v>247000</v>
      </c>
      <c r="F15" s="77">
        <f t="shared" si="1"/>
        <v>292100.2838221381</v>
      </c>
      <c r="G15" s="76">
        <v>0</v>
      </c>
      <c r="H15" s="77">
        <f t="shared" si="2"/>
        <v>0</v>
      </c>
      <c r="I15" s="76">
        <v>0</v>
      </c>
      <c r="J15" s="77">
        <f t="shared" si="3"/>
        <v>0</v>
      </c>
      <c r="K15" s="76"/>
      <c r="L15" s="77"/>
      <c r="M15" s="76"/>
      <c r="N15" s="77"/>
      <c r="O15" s="74" t="s">
        <v>366</v>
      </c>
      <c r="P15" s="74" t="s">
        <v>362</v>
      </c>
      <c r="Q15" s="74" t="s">
        <v>345</v>
      </c>
      <c r="R15" s="74" t="s">
        <v>359</v>
      </c>
      <c r="S15" s="74" t="s">
        <v>283</v>
      </c>
      <c r="T15" s="74" t="s">
        <v>289</v>
      </c>
      <c r="U15" s="74" t="s">
        <v>292</v>
      </c>
      <c r="V15" s="74" t="s">
        <v>323</v>
      </c>
      <c r="W15" s="74">
        <v>99819</v>
      </c>
      <c r="X15" s="74" t="s">
        <v>340</v>
      </c>
      <c r="Y15" s="74" t="s">
        <v>340</v>
      </c>
      <c r="Z15" s="74" t="s">
        <v>160</v>
      </c>
    </row>
    <row r="16" spans="2:26" s="16" customFormat="1" ht="23.1" customHeight="1" x14ac:dyDescent="0.25">
      <c r="B16" s="75" t="s">
        <v>347</v>
      </c>
      <c r="C16" s="76">
        <v>4953</v>
      </c>
      <c r="D16" s="77">
        <f t="shared" si="0"/>
        <v>5857.3793755912957</v>
      </c>
      <c r="E16" s="76">
        <v>4953</v>
      </c>
      <c r="F16" s="77">
        <f t="shared" si="1"/>
        <v>5857.3793755912957</v>
      </c>
      <c r="G16" s="76">
        <v>0</v>
      </c>
      <c r="H16" s="77">
        <f t="shared" si="2"/>
        <v>0</v>
      </c>
      <c r="I16" s="76">
        <v>0</v>
      </c>
      <c r="J16" s="77">
        <f t="shared" si="3"/>
        <v>0</v>
      </c>
      <c r="K16" s="76"/>
      <c r="L16" s="77"/>
      <c r="M16" s="76"/>
      <c r="N16" s="77"/>
      <c r="O16" s="74" t="s">
        <v>366</v>
      </c>
      <c r="P16" s="74" t="s">
        <v>360</v>
      </c>
      <c r="Q16" s="74" t="s">
        <v>344</v>
      </c>
      <c r="R16" s="74" t="s">
        <v>359</v>
      </c>
      <c r="S16" s="74" t="s">
        <v>283</v>
      </c>
      <c r="T16" s="74" t="s">
        <v>289</v>
      </c>
      <c r="U16" s="74" t="s">
        <v>293</v>
      </c>
      <c r="V16" s="74" t="s">
        <v>355</v>
      </c>
      <c r="W16" s="74">
        <v>99810</v>
      </c>
      <c r="X16" s="74" t="s">
        <v>340</v>
      </c>
      <c r="Y16" s="74" t="s">
        <v>340</v>
      </c>
      <c r="Z16" s="74" t="s">
        <v>160</v>
      </c>
    </row>
    <row r="17" spans="1:26" s="16" customFormat="1" ht="23.1" customHeight="1" x14ac:dyDescent="0.25">
      <c r="B17" s="75" t="s">
        <v>348</v>
      </c>
      <c r="C17" s="76">
        <v>1192550</v>
      </c>
      <c r="D17" s="77">
        <f t="shared" si="0"/>
        <v>1410300.3784295174</v>
      </c>
      <c r="E17" s="76">
        <v>1192550</v>
      </c>
      <c r="F17" s="77">
        <f t="shared" si="1"/>
        <v>1410300.3784295174</v>
      </c>
      <c r="G17" s="76">
        <v>0</v>
      </c>
      <c r="H17" s="77">
        <f t="shared" si="2"/>
        <v>0</v>
      </c>
      <c r="I17" s="76">
        <v>0</v>
      </c>
      <c r="J17" s="77">
        <f t="shared" si="3"/>
        <v>0</v>
      </c>
      <c r="K17" s="76"/>
      <c r="L17" s="77"/>
      <c r="M17" s="76"/>
      <c r="N17" s="77"/>
      <c r="O17" s="74" t="s">
        <v>366</v>
      </c>
      <c r="P17" s="74" t="s">
        <v>360</v>
      </c>
      <c r="Q17" s="74" t="s">
        <v>344</v>
      </c>
      <c r="R17" s="74" t="s">
        <v>359</v>
      </c>
      <c r="S17" s="74" t="s">
        <v>283</v>
      </c>
      <c r="T17" s="74" t="s">
        <v>358</v>
      </c>
      <c r="U17" s="74" t="s">
        <v>292</v>
      </c>
      <c r="V17" s="74" t="s">
        <v>355</v>
      </c>
      <c r="W17" s="74">
        <v>99810</v>
      </c>
      <c r="X17" s="74" t="s">
        <v>340</v>
      </c>
      <c r="Y17" s="74" t="s">
        <v>340</v>
      </c>
      <c r="Z17" s="74" t="s">
        <v>160</v>
      </c>
    </row>
    <row r="18" spans="1:26" s="16" customFormat="1" ht="23.1" customHeight="1" x14ac:dyDescent="0.25">
      <c r="B18" s="75" t="s">
        <v>349</v>
      </c>
      <c r="C18" s="76">
        <v>3100000</v>
      </c>
      <c r="D18" s="77">
        <f t="shared" si="0"/>
        <v>3666035.9508041623</v>
      </c>
      <c r="E18" s="76">
        <v>3100000</v>
      </c>
      <c r="F18" s="77">
        <f t="shared" si="1"/>
        <v>3666035.9508041623</v>
      </c>
      <c r="G18" s="76">
        <v>0</v>
      </c>
      <c r="H18" s="77">
        <f t="shared" si="2"/>
        <v>0</v>
      </c>
      <c r="I18" s="76">
        <v>0</v>
      </c>
      <c r="J18" s="77">
        <f t="shared" si="3"/>
        <v>0</v>
      </c>
      <c r="K18" s="76"/>
      <c r="L18" s="77"/>
      <c r="M18" s="76"/>
      <c r="N18" s="77"/>
      <c r="O18" s="74" t="s">
        <v>366</v>
      </c>
      <c r="P18" s="74" t="s">
        <v>360</v>
      </c>
      <c r="Q18" s="74" t="s">
        <v>344</v>
      </c>
      <c r="R18" s="74" t="s">
        <v>359</v>
      </c>
      <c r="S18" s="74" t="s">
        <v>283</v>
      </c>
      <c r="T18" s="74" t="s">
        <v>289</v>
      </c>
      <c r="U18" s="74" t="s">
        <v>292</v>
      </c>
      <c r="V18" s="74" t="s">
        <v>355</v>
      </c>
      <c r="W18" s="74">
        <v>99810</v>
      </c>
      <c r="X18" s="74" t="s">
        <v>340</v>
      </c>
      <c r="Y18" s="74" t="s">
        <v>340</v>
      </c>
      <c r="Z18" s="74" t="s">
        <v>160</v>
      </c>
    </row>
    <row r="19" spans="1:26" s="16" customFormat="1" ht="23.1" customHeight="1" x14ac:dyDescent="0.25">
      <c r="B19" s="75" t="s">
        <v>350</v>
      </c>
      <c r="C19" s="76">
        <v>247000</v>
      </c>
      <c r="D19" s="77">
        <f t="shared" si="0"/>
        <v>292100.2838221381</v>
      </c>
      <c r="E19" s="76">
        <v>247000</v>
      </c>
      <c r="F19" s="77">
        <f t="shared" si="1"/>
        <v>292100.2838221381</v>
      </c>
      <c r="G19" s="76">
        <v>0</v>
      </c>
      <c r="H19" s="77">
        <f t="shared" si="2"/>
        <v>0</v>
      </c>
      <c r="I19" s="76">
        <v>0</v>
      </c>
      <c r="J19" s="77">
        <f t="shared" si="3"/>
        <v>0</v>
      </c>
      <c r="K19" s="76"/>
      <c r="L19" s="77"/>
      <c r="M19" s="76"/>
      <c r="N19" s="77"/>
      <c r="O19" s="74" t="s">
        <v>366</v>
      </c>
      <c r="P19" s="74" t="s">
        <v>636</v>
      </c>
      <c r="Q19" s="74" t="s">
        <v>344</v>
      </c>
      <c r="R19" s="74" t="s">
        <v>359</v>
      </c>
      <c r="S19" s="74" t="s">
        <v>284</v>
      </c>
      <c r="T19" s="74" t="s">
        <v>289</v>
      </c>
      <c r="U19" s="74" t="s">
        <v>292</v>
      </c>
      <c r="V19" s="74" t="s">
        <v>323</v>
      </c>
      <c r="W19" s="74">
        <v>99819</v>
      </c>
      <c r="X19" s="74" t="s">
        <v>340</v>
      </c>
      <c r="Y19" s="74" t="s">
        <v>340</v>
      </c>
      <c r="Z19" s="74" t="s">
        <v>160</v>
      </c>
    </row>
    <row r="20" spans="1:26" s="16" customFormat="1" ht="23.1" customHeight="1" x14ac:dyDescent="0.25">
      <c r="B20" s="75" t="s">
        <v>351</v>
      </c>
      <c r="C20" s="76">
        <v>0</v>
      </c>
      <c r="D20" s="77">
        <f t="shared" si="0"/>
        <v>0</v>
      </c>
      <c r="E20" s="76">
        <v>0</v>
      </c>
      <c r="F20" s="77">
        <f t="shared" si="1"/>
        <v>0</v>
      </c>
      <c r="G20" s="76">
        <v>5000000</v>
      </c>
      <c r="H20" s="77">
        <f t="shared" si="2"/>
        <v>5912961.2109744558</v>
      </c>
      <c r="I20" s="76">
        <v>5000000</v>
      </c>
      <c r="J20" s="77">
        <f t="shared" si="3"/>
        <v>5912961.2109744558</v>
      </c>
      <c r="K20" s="76"/>
      <c r="L20" s="77"/>
      <c r="M20" s="76"/>
      <c r="N20" s="77"/>
      <c r="O20" s="74" t="s">
        <v>366</v>
      </c>
      <c r="P20" s="74" t="s">
        <v>351</v>
      </c>
      <c r="Q20" s="74" t="s">
        <v>344</v>
      </c>
      <c r="R20" s="74" t="s">
        <v>359</v>
      </c>
      <c r="S20" s="74" t="s">
        <v>284</v>
      </c>
      <c r="T20" s="74" t="s">
        <v>289</v>
      </c>
      <c r="U20" s="74" t="s">
        <v>292</v>
      </c>
      <c r="V20" s="74" t="s">
        <v>323</v>
      </c>
      <c r="W20" s="74">
        <v>43010</v>
      </c>
      <c r="X20" s="79" t="s">
        <v>341</v>
      </c>
      <c r="Y20" s="79" t="s">
        <v>341</v>
      </c>
      <c r="Z20" s="74" t="s">
        <v>160</v>
      </c>
    </row>
    <row r="21" spans="1:26" s="16" customFormat="1" ht="23.1" customHeight="1" x14ac:dyDescent="0.25">
      <c r="B21" s="75" t="s">
        <v>352</v>
      </c>
      <c r="C21" s="76">
        <v>0</v>
      </c>
      <c r="D21" s="77">
        <f t="shared" si="0"/>
        <v>0</v>
      </c>
      <c r="E21" s="76">
        <v>0</v>
      </c>
      <c r="F21" s="77">
        <f t="shared" si="1"/>
        <v>0</v>
      </c>
      <c r="G21" s="76">
        <v>2000000</v>
      </c>
      <c r="H21" s="77">
        <f t="shared" si="2"/>
        <v>2365184.4843897824</v>
      </c>
      <c r="I21" s="76">
        <v>2000000</v>
      </c>
      <c r="J21" s="77">
        <f t="shared" si="3"/>
        <v>2365184.4843897824</v>
      </c>
      <c r="K21" s="76"/>
      <c r="L21" s="77"/>
      <c r="M21" s="76"/>
      <c r="N21" s="77"/>
      <c r="O21" s="74" t="s">
        <v>366</v>
      </c>
      <c r="P21" s="74" t="s">
        <v>363</v>
      </c>
      <c r="Q21" s="74" t="s">
        <v>344</v>
      </c>
      <c r="R21" s="74" t="s">
        <v>359</v>
      </c>
      <c r="S21" s="74" t="s">
        <v>284</v>
      </c>
      <c r="T21" s="74" t="s">
        <v>289</v>
      </c>
      <c r="U21" s="74" t="s">
        <v>293</v>
      </c>
      <c r="V21" s="74" t="s">
        <v>356</v>
      </c>
      <c r="W21" s="74">
        <v>43010</v>
      </c>
      <c r="X21" s="74" t="s">
        <v>340</v>
      </c>
      <c r="Y21" s="74" t="s">
        <v>340</v>
      </c>
      <c r="Z21" s="74" t="s">
        <v>160</v>
      </c>
    </row>
    <row r="22" spans="1:26" s="16" customFormat="1" ht="23.1" customHeight="1" x14ac:dyDescent="0.25">
      <c r="B22" s="75" t="s">
        <v>352</v>
      </c>
      <c r="C22" s="76">
        <v>0</v>
      </c>
      <c r="D22" s="77">
        <f t="shared" si="0"/>
        <v>0</v>
      </c>
      <c r="E22" s="76">
        <v>0</v>
      </c>
      <c r="F22" s="77">
        <f t="shared" si="1"/>
        <v>0</v>
      </c>
      <c r="G22" s="76">
        <v>14000000</v>
      </c>
      <c r="H22" s="77">
        <f t="shared" si="2"/>
        <v>16556291.390728476</v>
      </c>
      <c r="I22" s="76">
        <v>14000000</v>
      </c>
      <c r="J22" s="77">
        <f t="shared" si="3"/>
        <v>16556291.390728476</v>
      </c>
      <c r="K22" s="76"/>
      <c r="L22" s="77"/>
      <c r="M22" s="76"/>
      <c r="N22" s="77"/>
      <c r="O22" s="74" t="s">
        <v>354</v>
      </c>
      <c r="P22" s="74" t="s">
        <v>364</v>
      </c>
      <c r="Q22" s="74" t="s">
        <v>344</v>
      </c>
      <c r="R22" s="74" t="s">
        <v>359</v>
      </c>
      <c r="S22" s="74" t="s">
        <v>634</v>
      </c>
      <c r="T22" s="74" t="s">
        <v>290</v>
      </c>
      <c r="U22" s="74" t="s">
        <v>293</v>
      </c>
      <c r="V22" s="74" t="s">
        <v>357</v>
      </c>
      <c r="W22" s="81">
        <v>24030</v>
      </c>
      <c r="X22" s="74" t="s">
        <v>340</v>
      </c>
      <c r="Y22" s="74" t="s">
        <v>340</v>
      </c>
      <c r="Z22" s="78" t="s">
        <v>373</v>
      </c>
    </row>
    <row r="23" spans="1:26" ht="12" x14ac:dyDescent="0.25">
      <c r="A23" s="37"/>
      <c r="B23" s="9"/>
    </row>
    <row r="24" spans="1:26" ht="12" x14ac:dyDescent="0.25">
      <c r="A24" s="37"/>
      <c r="B24" s="16" t="s">
        <v>37</v>
      </c>
      <c r="C24" s="16"/>
      <c r="D24" s="16"/>
      <c r="E24" s="16"/>
      <c r="F24" s="16"/>
      <c r="G24" s="16"/>
      <c r="H24" s="21"/>
      <c r="I24" s="22"/>
      <c r="J24" s="23"/>
      <c r="K24" s="23"/>
      <c r="L24" s="24"/>
      <c r="M24" s="23"/>
      <c r="N24" s="25"/>
      <c r="O24" s="23"/>
      <c r="P24" s="23"/>
      <c r="Q24" s="23"/>
    </row>
    <row r="25" spans="1:26" ht="12" x14ac:dyDescent="0.25">
      <c r="A25" s="37"/>
      <c r="B25" s="16" t="s">
        <v>38</v>
      </c>
      <c r="C25" s="16"/>
      <c r="D25" s="16"/>
      <c r="E25" s="16"/>
      <c r="F25" s="16"/>
      <c r="G25" s="16"/>
      <c r="H25" s="21"/>
      <c r="I25" s="22"/>
      <c r="J25" s="23"/>
      <c r="K25" s="23"/>
      <c r="L25" s="24"/>
      <c r="M25" s="23"/>
      <c r="N25" s="25"/>
      <c r="O25" s="23"/>
      <c r="P25" s="23"/>
      <c r="Q25" s="23"/>
    </row>
    <row r="26" spans="1:26" ht="12" x14ac:dyDescent="0.25">
      <c r="B26" s="38" t="s">
        <v>70</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ht="14.1" customHeight="1" x14ac:dyDescent="0.25">
      <c r="B27" s="39" t="s">
        <v>71</v>
      </c>
      <c r="C27" s="16"/>
      <c r="D27" s="16"/>
      <c r="E27" s="16"/>
      <c r="F27" s="16"/>
      <c r="G27" s="16"/>
      <c r="H27" s="21"/>
      <c r="I27" s="22"/>
      <c r="J27" s="23"/>
      <c r="K27" s="23"/>
      <c r="L27" s="24"/>
      <c r="M27" s="23"/>
      <c r="N27" s="25"/>
      <c r="O27" s="23"/>
      <c r="P27" s="23"/>
      <c r="Q27" s="23"/>
    </row>
    <row r="28" spans="1:26" ht="14.1" customHeight="1" x14ac:dyDescent="0.25">
      <c r="B28" s="39" t="s">
        <v>72</v>
      </c>
      <c r="C28" s="40"/>
      <c r="D28" s="26"/>
      <c r="E28" s="40"/>
      <c r="F28" s="40"/>
      <c r="G28" s="40"/>
    </row>
    <row r="29" spans="1:26" ht="14.1" customHeight="1" x14ac:dyDescent="0.25">
      <c r="B29" s="39" t="s">
        <v>73</v>
      </c>
      <c r="C29" s="27"/>
      <c r="D29" s="28"/>
      <c r="E29" s="28"/>
      <c r="F29" s="28"/>
      <c r="G29" s="29"/>
    </row>
    <row r="30" spans="1:26" ht="14.1" customHeight="1" x14ac:dyDescent="0.25">
      <c r="B30" s="39" t="s">
        <v>74</v>
      </c>
      <c r="C30" s="30"/>
    </row>
    <row r="31" spans="1:26" ht="14.1" customHeight="1" x14ac:dyDescent="0.25">
      <c r="B31" s="39" t="s">
        <v>75</v>
      </c>
      <c r="C31" s="30"/>
    </row>
    <row r="32" spans="1:26" ht="14.1" customHeight="1" x14ac:dyDescent="0.25">
      <c r="B32" s="39" t="s">
        <v>76</v>
      </c>
      <c r="C32" s="30"/>
    </row>
    <row r="33" spans="2:17" ht="14.1" customHeight="1" x14ac:dyDescent="0.25">
      <c r="B33" s="39" t="s">
        <v>77</v>
      </c>
      <c r="C33" s="30"/>
    </row>
    <row r="34" spans="2:17" ht="14.1" customHeight="1" x14ac:dyDescent="0.25">
      <c r="B34" s="39" t="s">
        <v>78</v>
      </c>
      <c r="C34" s="30"/>
    </row>
    <row r="35" spans="2:17" ht="12.75" customHeight="1" x14ac:dyDescent="0.25">
      <c r="B35" s="39" t="s">
        <v>79</v>
      </c>
      <c r="C35" s="41"/>
      <c r="D35" s="41"/>
      <c r="E35" s="41"/>
      <c r="F35" s="41"/>
      <c r="G35" s="41"/>
      <c r="H35" s="41"/>
      <c r="I35" s="41"/>
      <c r="J35" s="41"/>
      <c r="K35" s="41"/>
      <c r="L35" s="41"/>
      <c r="M35" s="41"/>
      <c r="N35" s="41"/>
      <c r="O35" s="41"/>
      <c r="P35" s="41"/>
      <c r="Q35" s="41"/>
    </row>
    <row r="36" spans="2:17" ht="14.1" customHeight="1" x14ac:dyDescent="0.25">
      <c r="B36" s="39" t="s">
        <v>80</v>
      </c>
      <c r="C36" s="30"/>
    </row>
    <row r="37" spans="2:17" ht="14.1" customHeight="1" x14ac:dyDescent="0.25">
      <c r="B37" s="39" t="s">
        <v>81</v>
      </c>
      <c r="C37" s="30"/>
    </row>
    <row r="38" spans="2:17" ht="14.1" customHeight="1" x14ac:dyDescent="0.25">
      <c r="B38" s="39" t="s">
        <v>82</v>
      </c>
    </row>
    <row r="39" spans="2:17" ht="12" x14ac:dyDescent="0.25">
      <c r="B39" s="9"/>
    </row>
    <row r="40" spans="2:17" ht="12" x14ac:dyDescent="0.25">
      <c r="B40" s="2" t="s">
        <v>51</v>
      </c>
    </row>
    <row r="41" spans="2:17" ht="14.1" customHeight="1" x14ac:dyDescent="0.25">
      <c r="B41" s="1" t="s">
        <v>52</v>
      </c>
    </row>
    <row r="42" spans="2:17" ht="14.1" customHeight="1" x14ac:dyDescent="0.25"/>
  </sheetData>
  <sortState xmlns:xlrd2="http://schemas.microsoft.com/office/spreadsheetml/2017/richdata2" ref="B12:Z22">
    <sortCondition ref="S12:S22"/>
  </sortState>
  <hyperlinks>
    <hyperlink ref="B5" location="'Index sheet'!A1" display="Back to index" xr:uid="{00000000-0004-0000-0400-000000000000}"/>
    <hyperlink ref="Z22" r:id="rId1" xr:uid="{F0AA5534-206C-4AE2-9B06-86282F13BCDF}"/>
  </hyperlinks>
  <pageMargins left="0.7" right="0.7" top="0.75" bottom="0.75" header="0.3" footer="0.3"/>
  <pageSetup paperSize="9" orientation="portrait"/>
  <ignoredErrors>
    <ignoredError sqref="A23:Z49 A1:Z2 A5:Z11 A3:A4 D3:Z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58"/>
  <sheetViews>
    <sheetView showGridLines="0" zoomScaleNormal="100" workbookViewId="0"/>
  </sheetViews>
  <sheetFormatPr defaultColWidth="9.109375" defaultRowHeight="11.4" customHeight="1" x14ac:dyDescent="0.25"/>
  <cols>
    <col min="1" max="1" width="2.44140625" style="1" customWidth="1"/>
    <col min="2" max="2" width="27.44140625" style="1" customWidth="1"/>
    <col min="3" max="3" width="12.44140625" style="1" customWidth="1"/>
    <col min="4" max="15" width="9.109375" style="1" customWidth="1"/>
    <col min="16" max="16" width="33.109375" style="1" customWidth="1"/>
    <col min="17" max="18" width="9.109375" style="1" customWidth="1"/>
    <col min="19" max="19" width="12.6640625" style="1" customWidth="1"/>
    <col min="20" max="23" width="9.109375" style="1" customWidth="1"/>
    <col min="24" max="24" width="10.109375" style="1" customWidth="1"/>
    <col min="25" max="25" width="10.44140625" style="1" customWidth="1"/>
    <col min="26" max="26" width="20.44140625" style="1" customWidth="1"/>
    <col min="27" max="27" width="9.109375" style="1" customWidth="1"/>
    <col min="28" max="16384" width="9.109375" style="1"/>
  </cols>
  <sheetData>
    <row r="1" spans="2:26" ht="15.9" customHeight="1" x14ac:dyDescent="0.3">
      <c r="B1" s="8" t="s">
        <v>54</v>
      </c>
    </row>
    <row r="2" spans="2:26" ht="15.9" customHeight="1" x14ac:dyDescent="0.3">
      <c r="B2" s="7" t="s">
        <v>15</v>
      </c>
      <c r="J2" s="31" t="s">
        <v>16</v>
      </c>
      <c r="K2" s="31" t="s">
        <v>55</v>
      </c>
    </row>
    <row r="3" spans="2:26" ht="19.5" customHeight="1" x14ac:dyDescent="0.25">
      <c r="B3" s="10" t="s">
        <v>18</v>
      </c>
      <c r="C3" s="155" t="s">
        <v>633</v>
      </c>
    </row>
    <row r="4" spans="2:26" ht="15.9" customHeight="1" x14ac:dyDescent="0.25">
      <c r="B4" s="12"/>
      <c r="C4" s="12">
        <v>0.95089999999999997</v>
      </c>
    </row>
    <row r="5" spans="2:26" ht="12" x14ac:dyDescent="0.25">
      <c r="B5" s="13" t="s">
        <v>19</v>
      </c>
    </row>
    <row r="6" spans="2:26" ht="12" x14ac:dyDescent="0.25">
      <c r="B6" s="9"/>
    </row>
    <row r="7" spans="2:26" s="16" customFormat="1" ht="74.099999999999994" customHeight="1" x14ac:dyDescent="0.25">
      <c r="B7" s="32" t="s">
        <v>56</v>
      </c>
      <c r="C7" s="33" t="s">
        <v>57</v>
      </c>
      <c r="D7" s="33"/>
      <c r="E7" s="33"/>
      <c r="F7" s="33"/>
      <c r="G7" s="33"/>
      <c r="H7" s="33"/>
      <c r="I7" s="33"/>
      <c r="J7" s="33"/>
      <c r="K7" s="33"/>
      <c r="L7" s="33"/>
      <c r="M7" s="33"/>
      <c r="N7" s="33"/>
      <c r="O7" s="14" t="s">
        <v>58</v>
      </c>
      <c r="P7" s="14" t="s">
        <v>59</v>
      </c>
      <c r="Q7" s="14" t="s">
        <v>23</v>
      </c>
      <c r="R7" s="14" t="s">
        <v>24</v>
      </c>
      <c r="S7" s="14" t="s">
        <v>25</v>
      </c>
      <c r="T7" s="14" t="s">
        <v>60</v>
      </c>
      <c r="U7" s="14" t="s">
        <v>27</v>
      </c>
      <c r="V7" s="14" t="s">
        <v>61</v>
      </c>
      <c r="W7" s="14" t="s">
        <v>62</v>
      </c>
      <c r="X7" s="14" t="s">
        <v>63</v>
      </c>
      <c r="Y7" s="15" t="s">
        <v>64</v>
      </c>
      <c r="Z7" s="14" t="s">
        <v>65</v>
      </c>
    </row>
    <row r="8" spans="2:26" s="16" customFormat="1" ht="21" customHeight="1" x14ac:dyDescent="0.25">
      <c r="B8" s="34"/>
      <c r="C8" s="33" t="s">
        <v>66</v>
      </c>
      <c r="D8" s="33"/>
      <c r="E8" s="33"/>
      <c r="F8" s="33"/>
      <c r="G8" s="33"/>
      <c r="H8" s="33"/>
      <c r="I8" s="33"/>
      <c r="J8" s="33"/>
      <c r="K8" s="33" t="s">
        <v>67</v>
      </c>
      <c r="L8" s="33"/>
      <c r="M8" s="33"/>
      <c r="N8" s="33"/>
      <c r="O8" s="17"/>
      <c r="P8" s="17"/>
      <c r="Q8" s="17"/>
      <c r="R8" s="17"/>
      <c r="S8" s="17"/>
      <c r="T8" s="17"/>
      <c r="U8" s="17"/>
      <c r="V8" s="17"/>
      <c r="W8" s="17"/>
      <c r="X8" s="17"/>
      <c r="Y8" s="18"/>
      <c r="Z8" s="17"/>
    </row>
    <row r="9" spans="2:26" s="16" customFormat="1" ht="29.25" customHeight="1" x14ac:dyDescent="0.25">
      <c r="B9" s="34"/>
      <c r="C9" s="33" t="s">
        <v>68</v>
      </c>
      <c r="D9" s="33"/>
      <c r="E9" s="33"/>
      <c r="F9" s="33"/>
      <c r="G9" s="33" t="s">
        <v>69</v>
      </c>
      <c r="H9" s="33"/>
      <c r="I9" s="33"/>
      <c r="J9" s="33"/>
      <c r="K9" s="33" t="s">
        <v>69</v>
      </c>
      <c r="L9" s="33"/>
      <c r="M9" s="33"/>
      <c r="N9" s="33"/>
      <c r="O9" s="17"/>
      <c r="P9" s="17"/>
      <c r="Q9" s="17"/>
      <c r="R9" s="17"/>
      <c r="S9" s="17"/>
      <c r="T9" s="17"/>
      <c r="U9" s="17"/>
      <c r="V9" s="17"/>
      <c r="W9" s="17"/>
      <c r="X9" s="17"/>
      <c r="Y9" s="18"/>
      <c r="Z9" s="17"/>
    </row>
    <row r="10" spans="2:26" s="16" customFormat="1" ht="23.4" customHeight="1" x14ac:dyDescent="0.25">
      <c r="B10" s="34"/>
      <c r="C10" s="35" t="s">
        <v>33</v>
      </c>
      <c r="D10" s="35"/>
      <c r="E10" s="35" t="s">
        <v>34</v>
      </c>
      <c r="F10" s="35"/>
      <c r="G10" s="35" t="s">
        <v>33</v>
      </c>
      <c r="H10" s="35"/>
      <c r="I10" s="35" t="s">
        <v>34</v>
      </c>
      <c r="J10" s="35"/>
      <c r="K10" s="35" t="s">
        <v>33</v>
      </c>
      <c r="L10" s="35"/>
      <c r="M10" s="35" t="s">
        <v>34</v>
      </c>
      <c r="N10" s="35"/>
      <c r="O10" s="17"/>
      <c r="P10" s="17"/>
      <c r="Q10" s="17"/>
      <c r="R10" s="17"/>
      <c r="S10" s="17"/>
      <c r="T10" s="17"/>
      <c r="U10" s="17"/>
      <c r="V10" s="17"/>
      <c r="W10" s="17"/>
      <c r="X10" s="17"/>
      <c r="Y10" s="18"/>
      <c r="Z10" s="17"/>
    </row>
    <row r="11" spans="2:26" s="16" customFormat="1" ht="23.1" customHeight="1" x14ac:dyDescent="0.25">
      <c r="B11" s="34"/>
      <c r="C11" s="32" t="s">
        <v>35</v>
      </c>
      <c r="D11" s="36" t="s">
        <v>36</v>
      </c>
      <c r="E11" s="32" t="s">
        <v>35</v>
      </c>
      <c r="F11" s="36" t="s">
        <v>36</v>
      </c>
      <c r="G11" s="32" t="s">
        <v>35</v>
      </c>
      <c r="H11" s="36" t="s">
        <v>36</v>
      </c>
      <c r="I11" s="32" t="s">
        <v>35</v>
      </c>
      <c r="J11" s="36" t="s">
        <v>36</v>
      </c>
      <c r="K11" s="32" t="s">
        <v>35</v>
      </c>
      <c r="L11" s="36" t="s">
        <v>36</v>
      </c>
      <c r="M11" s="32" t="s">
        <v>35</v>
      </c>
      <c r="N11" s="36" t="s">
        <v>36</v>
      </c>
      <c r="O11" s="17"/>
      <c r="P11" s="17"/>
      <c r="Q11" s="17"/>
      <c r="R11" s="17"/>
      <c r="S11" s="17"/>
      <c r="T11" s="17"/>
      <c r="U11" s="17"/>
      <c r="V11" s="17"/>
      <c r="W11" s="17"/>
      <c r="X11" s="17"/>
      <c r="Y11" s="18"/>
      <c r="Z11" s="17"/>
    </row>
    <row r="12" spans="2:26" s="16" customFormat="1" ht="23.1" customHeight="1" x14ac:dyDescent="0.25">
      <c r="B12" s="75" t="s">
        <v>347</v>
      </c>
      <c r="C12" s="76">
        <v>4953</v>
      </c>
      <c r="D12" s="77">
        <f>C12*(1/$C$4)</f>
        <v>5208.7496056367654</v>
      </c>
      <c r="E12" s="76">
        <v>4953</v>
      </c>
      <c r="F12" s="77">
        <f>E12*(1/$C$4)</f>
        <v>5208.7496056367654</v>
      </c>
      <c r="G12" s="76">
        <v>0</v>
      </c>
      <c r="H12" s="77">
        <f>G12*(1/$C$4)</f>
        <v>0</v>
      </c>
      <c r="I12" s="76">
        <v>0</v>
      </c>
      <c r="J12" s="77">
        <f>I12*(1/$C$4)</f>
        <v>0</v>
      </c>
      <c r="K12" s="76"/>
      <c r="L12" s="77"/>
      <c r="M12" s="76"/>
      <c r="N12" s="77"/>
      <c r="O12" s="74" t="s">
        <v>354</v>
      </c>
      <c r="P12" s="74" t="s">
        <v>360</v>
      </c>
      <c r="Q12" s="74" t="s">
        <v>345</v>
      </c>
      <c r="R12" s="74" t="s">
        <v>359</v>
      </c>
      <c r="S12" s="74" t="s">
        <v>283</v>
      </c>
      <c r="T12" s="74" t="s">
        <v>289</v>
      </c>
      <c r="U12" s="74" t="s">
        <v>293</v>
      </c>
      <c r="V12" s="74" t="s">
        <v>388</v>
      </c>
      <c r="W12" s="74">
        <v>99810</v>
      </c>
      <c r="X12" s="74" t="s">
        <v>340</v>
      </c>
      <c r="Y12" s="74" t="s">
        <v>340</v>
      </c>
      <c r="Z12" s="74"/>
    </row>
    <row r="13" spans="2:26" s="16" customFormat="1" ht="23.1" customHeight="1" x14ac:dyDescent="0.25">
      <c r="B13" s="75" t="s">
        <v>348</v>
      </c>
      <c r="C13" s="76">
        <v>1196800</v>
      </c>
      <c r="D13" s="77">
        <f t="shared" ref="D13:D38" si="0">C13*(1/$C$4)</f>
        <v>1258597.1185192976</v>
      </c>
      <c r="E13" s="76">
        <v>1196800</v>
      </c>
      <c r="F13" s="77">
        <f t="shared" ref="F13:F38" si="1">E13*(1/$C$4)</f>
        <v>1258597.1185192976</v>
      </c>
      <c r="G13" s="76">
        <v>0</v>
      </c>
      <c r="H13" s="77">
        <f t="shared" ref="H13:H38" si="2">G13*(1/$C$4)</f>
        <v>0</v>
      </c>
      <c r="I13" s="76">
        <v>0</v>
      </c>
      <c r="J13" s="77">
        <f t="shared" ref="J13:J38" si="3">I13*(1/$C$4)</f>
        <v>0</v>
      </c>
      <c r="K13" s="76"/>
      <c r="L13" s="77"/>
      <c r="M13" s="76"/>
      <c r="N13" s="77"/>
      <c r="O13" s="74" t="s">
        <v>354</v>
      </c>
      <c r="P13" s="74" t="s">
        <v>360</v>
      </c>
      <c r="Q13" s="74" t="s">
        <v>345</v>
      </c>
      <c r="R13" s="74" t="s">
        <v>359</v>
      </c>
      <c r="S13" s="74" t="s">
        <v>283</v>
      </c>
      <c r="T13" s="74" t="s">
        <v>358</v>
      </c>
      <c r="U13" s="74" t="s">
        <v>323</v>
      </c>
      <c r="V13" s="74" t="s">
        <v>388</v>
      </c>
      <c r="W13" s="74">
        <v>99810</v>
      </c>
      <c r="X13" s="74" t="s">
        <v>340</v>
      </c>
      <c r="Y13" s="74" t="s">
        <v>340</v>
      </c>
      <c r="Z13" s="74"/>
    </row>
    <row r="14" spans="2:26" s="16" customFormat="1" ht="23.1" customHeight="1" x14ac:dyDescent="0.25">
      <c r="B14" s="75" t="s">
        <v>349</v>
      </c>
      <c r="C14" s="76">
        <v>1300000</v>
      </c>
      <c r="D14" s="77">
        <f t="shared" si="0"/>
        <v>1367125.8807445578</v>
      </c>
      <c r="E14" s="76">
        <v>1300000</v>
      </c>
      <c r="F14" s="77">
        <f t="shared" si="1"/>
        <v>1367125.8807445578</v>
      </c>
      <c r="G14" s="76">
        <v>0</v>
      </c>
      <c r="H14" s="77">
        <f t="shared" si="2"/>
        <v>0</v>
      </c>
      <c r="I14" s="76">
        <v>0</v>
      </c>
      <c r="J14" s="77">
        <f t="shared" si="3"/>
        <v>0</v>
      </c>
      <c r="K14" s="76"/>
      <c r="L14" s="77"/>
      <c r="M14" s="76"/>
      <c r="N14" s="77"/>
      <c r="O14" s="74" t="s">
        <v>354</v>
      </c>
      <c r="P14" s="74" t="s">
        <v>360</v>
      </c>
      <c r="Q14" s="74" t="s">
        <v>345</v>
      </c>
      <c r="R14" s="74" t="s">
        <v>359</v>
      </c>
      <c r="S14" s="74" t="s">
        <v>283</v>
      </c>
      <c r="T14" s="74" t="s">
        <v>289</v>
      </c>
      <c r="U14" s="74" t="s">
        <v>323</v>
      </c>
      <c r="V14" s="74" t="s">
        <v>388</v>
      </c>
      <c r="W14" s="74">
        <v>99810</v>
      </c>
      <c r="X14" s="74" t="s">
        <v>340</v>
      </c>
      <c r="Y14" s="74" t="s">
        <v>340</v>
      </c>
      <c r="Z14" s="74"/>
    </row>
    <row r="15" spans="2:26" s="16" customFormat="1" ht="23.1" customHeight="1" x14ac:dyDescent="0.25">
      <c r="B15" s="75" t="s">
        <v>350</v>
      </c>
      <c r="C15" s="76">
        <v>50000</v>
      </c>
      <c r="D15" s="77">
        <f t="shared" si="0"/>
        <v>52581.764644021459</v>
      </c>
      <c r="E15" s="76">
        <v>50000</v>
      </c>
      <c r="F15" s="77">
        <f t="shared" si="1"/>
        <v>52581.764644021459</v>
      </c>
      <c r="G15" s="76">
        <v>0</v>
      </c>
      <c r="H15" s="77">
        <f t="shared" si="2"/>
        <v>0</v>
      </c>
      <c r="I15" s="76">
        <v>0</v>
      </c>
      <c r="J15" s="77">
        <f t="shared" si="3"/>
        <v>0</v>
      </c>
      <c r="K15" s="76"/>
      <c r="L15" s="77"/>
      <c r="M15" s="76"/>
      <c r="N15" s="77"/>
      <c r="O15" s="74" t="s">
        <v>354</v>
      </c>
      <c r="P15" s="74" t="s">
        <v>362</v>
      </c>
      <c r="Q15" s="74" t="s">
        <v>345</v>
      </c>
      <c r="R15" s="74" t="s">
        <v>359</v>
      </c>
      <c r="S15" s="74" t="s">
        <v>283</v>
      </c>
      <c r="T15" s="74" t="s">
        <v>289</v>
      </c>
      <c r="U15" s="74" t="s">
        <v>292</v>
      </c>
      <c r="V15" s="74" t="s">
        <v>323</v>
      </c>
      <c r="W15" s="74">
        <v>99819</v>
      </c>
      <c r="X15" s="74" t="s">
        <v>340</v>
      </c>
      <c r="Y15" s="74" t="s">
        <v>340</v>
      </c>
      <c r="Z15" s="74"/>
    </row>
    <row r="16" spans="2:26" s="16" customFormat="1" ht="23.1" customHeight="1" x14ac:dyDescent="0.25">
      <c r="B16" s="75" t="s">
        <v>375</v>
      </c>
      <c r="C16" s="76">
        <v>0</v>
      </c>
      <c r="D16" s="77">
        <f t="shared" si="0"/>
        <v>0</v>
      </c>
      <c r="E16" s="76">
        <v>0</v>
      </c>
      <c r="F16" s="77">
        <f t="shared" si="1"/>
        <v>0</v>
      </c>
      <c r="G16" s="76">
        <v>800000</v>
      </c>
      <c r="H16" s="77">
        <f t="shared" si="2"/>
        <v>841308.23430434335</v>
      </c>
      <c r="I16" s="76">
        <v>800000</v>
      </c>
      <c r="J16" s="77">
        <f t="shared" si="3"/>
        <v>841308.23430434335</v>
      </c>
      <c r="K16" s="76"/>
      <c r="L16" s="77"/>
      <c r="M16" s="76"/>
      <c r="N16" s="77"/>
      <c r="O16" s="74" t="s">
        <v>400</v>
      </c>
      <c r="P16" s="74" t="s">
        <v>381</v>
      </c>
      <c r="Q16" s="74" t="s">
        <v>345</v>
      </c>
      <c r="R16" s="74" t="s">
        <v>399</v>
      </c>
      <c r="S16" s="74" t="s">
        <v>283</v>
      </c>
      <c r="T16" s="74" t="s">
        <v>289</v>
      </c>
      <c r="U16" s="74" t="s">
        <v>291</v>
      </c>
      <c r="V16" s="74" t="s">
        <v>390</v>
      </c>
      <c r="W16" s="74">
        <v>52010</v>
      </c>
      <c r="X16" s="74" t="s">
        <v>340</v>
      </c>
      <c r="Y16" s="74" t="s">
        <v>340</v>
      </c>
      <c r="Z16" s="74"/>
    </row>
    <row r="17" spans="2:26" s="16" customFormat="1" ht="23.1" customHeight="1" x14ac:dyDescent="0.25">
      <c r="B17" s="75" t="s">
        <v>376</v>
      </c>
      <c r="C17" s="76">
        <v>0</v>
      </c>
      <c r="D17" s="77">
        <f t="shared" si="0"/>
        <v>0</v>
      </c>
      <c r="E17" s="76">
        <v>0</v>
      </c>
      <c r="F17" s="77">
        <f t="shared" si="1"/>
        <v>0</v>
      </c>
      <c r="G17" s="76">
        <v>400000</v>
      </c>
      <c r="H17" s="77">
        <f t="shared" si="2"/>
        <v>420654.11715217168</v>
      </c>
      <c r="I17" s="76">
        <v>400000</v>
      </c>
      <c r="J17" s="77">
        <f t="shared" si="3"/>
        <v>420654.11715217168</v>
      </c>
      <c r="K17" s="76"/>
      <c r="L17" s="77"/>
      <c r="M17" s="76"/>
      <c r="N17" s="77"/>
      <c r="O17" s="74" t="s">
        <v>118</v>
      </c>
      <c r="P17" s="74" t="s">
        <v>382</v>
      </c>
      <c r="Q17" s="74" t="s">
        <v>345</v>
      </c>
      <c r="R17" s="74" t="s">
        <v>399</v>
      </c>
      <c r="S17" s="74" t="s">
        <v>283</v>
      </c>
      <c r="T17" s="74" t="s">
        <v>289</v>
      </c>
      <c r="U17" s="74" t="s">
        <v>291</v>
      </c>
      <c r="V17" s="74" t="s">
        <v>390</v>
      </c>
      <c r="W17" s="74">
        <v>52010</v>
      </c>
      <c r="X17" s="74" t="s">
        <v>340</v>
      </c>
      <c r="Y17" s="74" t="s">
        <v>340</v>
      </c>
      <c r="Z17" s="74"/>
    </row>
    <row r="18" spans="2:26" s="16" customFormat="1" ht="23.1" customHeight="1" x14ac:dyDescent="0.25">
      <c r="B18" s="75" t="s">
        <v>377</v>
      </c>
      <c r="C18" s="76">
        <v>0</v>
      </c>
      <c r="D18" s="77">
        <f t="shared" si="0"/>
        <v>0</v>
      </c>
      <c r="E18" s="76">
        <v>0</v>
      </c>
      <c r="F18" s="77">
        <f t="shared" si="1"/>
        <v>0</v>
      </c>
      <c r="G18" s="76">
        <v>260746</v>
      </c>
      <c r="H18" s="77">
        <f t="shared" si="2"/>
        <v>274209.69607740035</v>
      </c>
      <c r="I18" s="76">
        <v>260746</v>
      </c>
      <c r="J18" s="77">
        <f t="shared" si="3"/>
        <v>274209.69607740035</v>
      </c>
      <c r="K18" s="76"/>
      <c r="L18" s="77"/>
      <c r="M18" s="76"/>
      <c r="N18" s="77"/>
      <c r="O18" s="74" t="s">
        <v>354</v>
      </c>
      <c r="P18" s="74" t="s">
        <v>383</v>
      </c>
      <c r="Q18" s="74" t="s">
        <v>345</v>
      </c>
      <c r="R18" s="74" t="s">
        <v>359</v>
      </c>
      <c r="S18" s="74" t="s">
        <v>283</v>
      </c>
      <c r="T18" s="74" t="s">
        <v>289</v>
      </c>
      <c r="U18" s="74" t="s">
        <v>323</v>
      </c>
      <c r="V18" s="74" t="s">
        <v>391</v>
      </c>
      <c r="W18" s="74">
        <v>24010</v>
      </c>
      <c r="X18" s="74" t="s">
        <v>340</v>
      </c>
      <c r="Y18" s="74" t="s">
        <v>340</v>
      </c>
      <c r="Z18" s="74"/>
    </row>
    <row r="19" spans="2:26" s="16" customFormat="1" ht="23.1" customHeight="1" x14ac:dyDescent="0.25">
      <c r="B19" s="75" t="s">
        <v>378</v>
      </c>
      <c r="C19" s="76">
        <v>0</v>
      </c>
      <c r="D19" s="77">
        <f t="shared" si="0"/>
        <v>0</v>
      </c>
      <c r="E19" s="76">
        <v>0</v>
      </c>
      <c r="F19" s="77">
        <f t="shared" si="1"/>
        <v>0</v>
      </c>
      <c r="G19" s="76">
        <v>101254</v>
      </c>
      <c r="H19" s="77">
        <f t="shared" si="2"/>
        <v>106482.27994531496</v>
      </c>
      <c r="I19" s="76">
        <v>101254</v>
      </c>
      <c r="J19" s="77">
        <f t="shared" si="3"/>
        <v>106482.27994531496</v>
      </c>
      <c r="K19" s="76"/>
      <c r="L19" s="77"/>
      <c r="M19" s="76"/>
      <c r="N19" s="77"/>
      <c r="O19" s="74" t="s">
        <v>354</v>
      </c>
      <c r="P19" s="74" t="s">
        <v>384</v>
      </c>
      <c r="Q19" s="74" t="s">
        <v>345</v>
      </c>
      <c r="R19" s="74" t="s">
        <v>359</v>
      </c>
      <c r="S19" s="74" t="s">
        <v>283</v>
      </c>
      <c r="T19" s="74" t="s">
        <v>289</v>
      </c>
      <c r="U19" s="74" t="s">
        <v>323</v>
      </c>
      <c r="V19" s="74" t="s">
        <v>391</v>
      </c>
      <c r="W19" s="74">
        <v>24010</v>
      </c>
      <c r="X19" s="74" t="s">
        <v>340</v>
      </c>
      <c r="Y19" s="74" t="s">
        <v>340</v>
      </c>
      <c r="Z19" s="74"/>
    </row>
    <row r="20" spans="2:26" s="16" customFormat="1" ht="23.1" customHeight="1" x14ac:dyDescent="0.25">
      <c r="B20" s="75" t="s">
        <v>347</v>
      </c>
      <c r="C20" s="76">
        <v>4953</v>
      </c>
      <c r="D20" s="77">
        <f t="shared" si="0"/>
        <v>5208.7496056367654</v>
      </c>
      <c r="E20" s="76">
        <v>4953</v>
      </c>
      <c r="F20" s="77">
        <f t="shared" si="1"/>
        <v>5208.7496056367654</v>
      </c>
      <c r="G20" s="76">
        <v>0</v>
      </c>
      <c r="H20" s="77">
        <f t="shared" si="2"/>
        <v>0</v>
      </c>
      <c r="I20" s="76">
        <v>0</v>
      </c>
      <c r="J20" s="77">
        <f t="shared" si="3"/>
        <v>0</v>
      </c>
      <c r="K20" s="76"/>
      <c r="L20" s="77"/>
      <c r="M20" s="76"/>
      <c r="N20" s="77"/>
      <c r="O20" s="74" t="s">
        <v>354</v>
      </c>
      <c r="P20" s="74" t="s">
        <v>360</v>
      </c>
      <c r="Q20" s="74" t="s">
        <v>344</v>
      </c>
      <c r="R20" s="74" t="s">
        <v>359</v>
      </c>
      <c r="S20" s="74" t="s">
        <v>283</v>
      </c>
      <c r="T20" s="74" t="s">
        <v>289</v>
      </c>
      <c r="U20" s="74" t="s">
        <v>293</v>
      </c>
      <c r="V20" s="74" t="s">
        <v>388</v>
      </c>
      <c r="W20" s="74">
        <v>99810</v>
      </c>
      <c r="X20" s="74" t="s">
        <v>340</v>
      </c>
      <c r="Y20" s="74" t="s">
        <v>340</v>
      </c>
      <c r="Z20" s="74"/>
    </row>
    <row r="21" spans="2:26" s="16" customFormat="1" ht="23.1" customHeight="1" x14ac:dyDescent="0.25">
      <c r="B21" s="75" t="s">
        <v>348</v>
      </c>
      <c r="C21" s="76">
        <v>1196800</v>
      </c>
      <c r="D21" s="77">
        <f t="shared" si="0"/>
        <v>1258597.1185192976</v>
      </c>
      <c r="E21" s="76">
        <v>1196800</v>
      </c>
      <c r="F21" s="77">
        <f t="shared" si="1"/>
        <v>1258597.1185192976</v>
      </c>
      <c r="G21" s="76">
        <v>0</v>
      </c>
      <c r="H21" s="77">
        <f t="shared" si="2"/>
        <v>0</v>
      </c>
      <c r="I21" s="76">
        <v>0</v>
      </c>
      <c r="J21" s="77">
        <f t="shared" si="3"/>
        <v>0</v>
      </c>
      <c r="K21" s="76"/>
      <c r="L21" s="77"/>
      <c r="M21" s="76"/>
      <c r="N21" s="77"/>
      <c r="O21" s="74" t="s">
        <v>354</v>
      </c>
      <c r="P21" s="74" t="s">
        <v>360</v>
      </c>
      <c r="Q21" s="74" t="s">
        <v>344</v>
      </c>
      <c r="R21" s="74" t="s">
        <v>359</v>
      </c>
      <c r="S21" s="74" t="s">
        <v>283</v>
      </c>
      <c r="T21" s="74" t="s">
        <v>358</v>
      </c>
      <c r="U21" s="74" t="s">
        <v>323</v>
      </c>
      <c r="V21" s="74" t="s">
        <v>388</v>
      </c>
      <c r="W21" s="74">
        <v>99810</v>
      </c>
      <c r="X21" s="74" t="s">
        <v>340</v>
      </c>
      <c r="Y21" s="74" t="s">
        <v>340</v>
      </c>
      <c r="Z21" s="74"/>
    </row>
    <row r="22" spans="2:26" s="16" customFormat="1" ht="23.1" customHeight="1" x14ac:dyDescent="0.25">
      <c r="B22" s="75" t="s">
        <v>349</v>
      </c>
      <c r="C22" s="76">
        <v>1300000</v>
      </c>
      <c r="D22" s="77">
        <f t="shared" si="0"/>
        <v>1367125.8807445578</v>
      </c>
      <c r="E22" s="76">
        <v>1300000</v>
      </c>
      <c r="F22" s="77">
        <f t="shared" si="1"/>
        <v>1367125.8807445578</v>
      </c>
      <c r="G22" s="76">
        <v>0</v>
      </c>
      <c r="H22" s="77">
        <f t="shared" si="2"/>
        <v>0</v>
      </c>
      <c r="I22" s="76">
        <v>0</v>
      </c>
      <c r="J22" s="77">
        <f t="shared" si="3"/>
        <v>0</v>
      </c>
      <c r="K22" s="76"/>
      <c r="L22" s="77"/>
      <c r="M22" s="76"/>
      <c r="N22" s="77"/>
      <c r="O22" s="74" t="s">
        <v>354</v>
      </c>
      <c r="P22" s="74" t="s">
        <v>360</v>
      </c>
      <c r="Q22" s="74" t="s">
        <v>344</v>
      </c>
      <c r="R22" s="74" t="s">
        <v>359</v>
      </c>
      <c r="S22" s="74" t="s">
        <v>283</v>
      </c>
      <c r="T22" s="74" t="s">
        <v>289</v>
      </c>
      <c r="U22" s="74" t="s">
        <v>323</v>
      </c>
      <c r="V22" s="74" t="s">
        <v>388</v>
      </c>
      <c r="W22" s="74">
        <v>99810</v>
      </c>
      <c r="X22" s="74" t="s">
        <v>340</v>
      </c>
      <c r="Y22" s="74" t="s">
        <v>340</v>
      </c>
      <c r="Z22" s="74"/>
    </row>
    <row r="23" spans="2:26" s="16" customFormat="1" ht="23.1" customHeight="1" x14ac:dyDescent="0.25">
      <c r="B23" s="75" t="s">
        <v>350</v>
      </c>
      <c r="C23" s="76">
        <v>50000</v>
      </c>
      <c r="D23" s="77">
        <f t="shared" si="0"/>
        <v>52581.764644021459</v>
      </c>
      <c r="E23" s="76">
        <v>50000</v>
      </c>
      <c r="F23" s="77">
        <f t="shared" si="1"/>
        <v>52581.764644021459</v>
      </c>
      <c r="G23" s="76">
        <v>0</v>
      </c>
      <c r="H23" s="77">
        <f t="shared" si="2"/>
        <v>0</v>
      </c>
      <c r="I23" s="76">
        <v>0</v>
      </c>
      <c r="J23" s="77">
        <f t="shared" si="3"/>
        <v>0</v>
      </c>
      <c r="K23" s="76"/>
      <c r="L23" s="77"/>
      <c r="M23" s="76"/>
      <c r="N23" s="77"/>
      <c r="O23" s="74" t="s">
        <v>354</v>
      </c>
      <c r="P23" s="74" t="s">
        <v>362</v>
      </c>
      <c r="Q23" s="74" t="s">
        <v>344</v>
      </c>
      <c r="R23" s="74" t="s">
        <v>359</v>
      </c>
      <c r="S23" s="74" t="s">
        <v>283</v>
      </c>
      <c r="T23" s="74" t="s">
        <v>289</v>
      </c>
      <c r="U23" s="74" t="s">
        <v>292</v>
      </c>
      <c r="V23" s="74" t="s">
        <v>323</v>
      </c>
      <c r="W23" s="74">
        <v>99819</v>
      </c>
      <c r="X23" s="74" t="s">
        <v>340</v>
      </c>
      <c r="Y23" s="74" t="s">
        <v>340</v>
      </c>
      <c r="Z23" s="74"/>
    </row>
    <row r="24" spans="2:26" s="16" customFormat="1" ht="23.1" customHeight="1" x14ac:dyDescent="0.25">
      <c r="B24" s="75" t="s">
        <v>375</v>
      </c>
      <c r="C24" s="76">
        <v>0</v>
      </c>
      <c r="D24" s="77">
        <f t="shared" si="0"/>
        <v>0</v>
      </c>
      <c r="E24" s="76">
        <v>0</v>
      </c>
      <c r="F24" s="77">
        <f t="shared" si="1"/>
        <v>0</v>
      </c>
      <c r="G24" s="76">
        <v>800000</v>
      </c>
      <c r="H24" s="77">
        <f t="shared" si="2"/>
        <v>841308.23430434335</v>
      </c>
      <c r="I24" s="76">
        <v>800000</v>
      </c>
      <c r="J24" s="77">
        <f t="shared" si="3"/>
        <v>841308.23430434335</v>
      </c>
      <c r="K24" s="76"/>
      <c r="L24" s="77"/>
      <c r="M24" s="76"/>
      <c r="N24" s="77"/>
      <c r="O24" s="74" t="s">
        <v>400</v>
      </c>
      <c r="P24" s="74" t="s">
        <v>381</v>
      </c>
      <c r="Q24" s="74" t="s">
        <v>344</v>
      </c>
      <c r="R24" s="74" t="s">
        <v>399</v>
      </c>
      <c r="S24" s="74" t="s">
        <v>283</v>
      </c>
      <c r="T24" s="74" t="s">
        <v>289</v>
      </c>
      <c r="U24" s="74" t="s">
        <v>291</v>
      </c>
      <c r="V24" s="74" t="s">
        <v>390</v>
      </c>
      <c r="W24" s="74">
        <v>52010</v>
      </c>
      <c r="X24" s="74" t="s">
        <v>340</v>
      </c>
      <c r="Y24" s="74" t="s">
        <v>340</v>
      </c>
      <c r="Z24" s="74"/>
    </row>
    <row r="25" spans="2:26" s="16" customFormat="1" ht="23.1" customHeight="1" x14ac:dyDescent="0.25">
      <c r="B25" s="75" t="s">
        <v>376</v>
      </c>
      <c r="C25" s="76">
        <v>0</v>
      </c>
      <c r="D25" s="77">
        <f t="shared" si="0"/>
        <v>0</v>
      </c>
      <c r="E25" s="76">
        <v>0</v>
      </c>
      <c r="F25" s="77">
        <f t="shared" si="1"/>
        <v>0</v>
      </c>
      <c r="G25" s="76">
        <v>400000</v>
      </c>
      <c r="H25" s="77">
        <f t="shared" si="2"/>
        <v>420654.11715217168</v>
      </c>
      <c r="I25" s="76">
        <v>400000</v>
      </c>
      <c r="J25" s="77">
        <f t="shared" si="3"/>
        <v>420654.11715217168</v>
      </c>
      <c r="K25" s="76"/>
      <c r="L25" s="77"/>
      <c r="M25" s="76"/>
      <c r="N25" s="77"/>
      <c r="O25" s="74" t="s">
        <v>118</v>
      </c>
      <c r="P25" s="74" t="s">
        <v>382</v>
      </c>
      <c r="Q25" s="74" t="s">
        <v>344</v>
      </c>
      <c r="R25" s="74" t="s">
        <v>399</v>
      </c>
      <c r="S25" s="74" t="s">
        <v>283</v>
      </c>
      <c r="T25" s="74" t="s">
        <v>289</v>
      </c>
      <c r="U25" s="74" t="s">
        <v>291</v>
      </c>
      <c r="V25" s="74" t="s">
        <v>390</v>
      </c>
      <c r="W25" s="74">
        <v>52010</v>
      </c>
      <c r="X25" s="74" t="s">
        <v>340</v>
      </c>
      <c r="Y25" s="74" t="s">
        <v>340</v>
      </c>
      <c r="Z25" s="74"/>
    </row>
    <row r="26" spans="2:26" s="16" customFormat="1" ht="23.1" customHeight="1" x14ac:dyDescent="0.25">
      <c r="B26" s="75" t="s">
        <v>377</v>
      </c>
      <c r="C26" s="76">
        <v>0</v>
      </c>
      <c r="D26" s="77">
        <f t="shared" si="0"/>
        <v>0</v>
      </c>
      <c r="E26" s="76">
        <v>0</v>
      </c>
      <c r="F26" s="77">
        <f t="shared" si="1"/>
        <v>0</v>
      </c>
      <c r="G26" s="76">
        <v>260746</v>
      </c>
      <c r="H26" s="77">
        <f t="shared" si="2"/>
        <v>274209.69607740035</v>
      </c>
      <c r="I26" s="76">
        <v>260746</v>
      </c>
      <c r="J26" s="77">
        <f t="shared" si="3"/>
        <v>274209.69607740035</v>
      </c>
      <c r="K26" s="76"/>
      <c r="L26" s="77"/>
      <c r="M26" s="76"/>
      <c r="N26" s="77"/>
      <c r="O26" s="74" t="s">
        <v>354</v>
      </c>
      <c r="P26" s="74" t="s">
        <v>383</v>
      </c>
      <c r="Q26" s="74" t="s">
        <v>344</v>
      </c>
      <c r="R26" s="74" t="s">
        <v>359</v>
      </c>
      <c r="S26" s="74" t="s">
        <v>283</v>
      </c>
      <c r="T26" s="74" t="s">
        <v>289</v>
      </c>
      <c r="U26" s="74" t="s">
        <v>323</v>
      </c>
      <c r="V26" s="74" t="s">
        <v>391</v>
      </c>
      <c r="W26" s="74">
        <v>24010</v>
      </c>
      <c r="X26" s="74" t="s">
        <v>340</v>
      </c>
      <c r="Y26" s="74" t="s">
        <v>340</v>
      </c>
      <c r="Z26" s="74"/>
    </row>
    <row r="27" spans="2:26" s="16" customFormat="1" ht="23.1" customHeight="1" x14ac:dyDescent="0.25">
      <c r="B27" s="75" t="s">
        <v>378</v>
      </c>
      <c r="C27" s="76">
        <v>0</v>
      </c>
      <c r="D27" s="77">
        <f t="shared" si="0"/>
        <v>0</v>
      </c>
      <c r="E27" s="76">
        <v>0</v>
      </c>
      <c r="F27" s="77">
        <f t="shared" si="1"/>
        <v>0</v>
      </c>
      <c r="G27" s="76">
        <v>101254</v>
      </c>
      <c r="H27" s="77">
        <f t="shared" si="2"/>
        <v>106482.27994531496</v>
      </c>
      <c r="I27" s="76">
        <v>101254</v>
      </c>
      <c r="J27" s="77">
        <f t="shared" si="3"/>
        <v>106482.27994531496</v>
      </c>
      <c r="K27" s="76"/>
      <c r="L27" s="77"/>
      <c r="M27" s="76"/>
      <c r="N27" s="77"/>
      <c r="O27" s="74" t="s">
        <v>354</v>
      </c>
      <c r="P27" s="74" t="s">
        <v>384</v>
      </c>
      <c r="Q27" s="74" t="s">
        <v>344</v>
      </c>
      <c r="R27" s="74" t="s">
        <v>359</v>
      </c>
      <c r="S27" s="74" t="s">
        <v>283</v>
      </c>
      <c r="T27" s="74" t="s">
        <v>289</v>
      </c>
      <c r="U27" s="74" t="s">
        <v>323</v>
      </c>
      <c r="V27" s="74" t="s">
        <v>391</v>
      </c>
      <c r="W27" s="74">
        <v>24010</v>
      </c>
      <c r="X27" s="74" t="s">
        <v>340</v>
      </c>
      <c r="Y27" s="74" t="s">
        <v>340</v>
      </c>
      <c r="Z27" s="74"/>
    </row>
    <row r="28" spans="2:26" s="16" customFormat="1" ht="23.1" customHeight="1" x14ac:dyDescent="0.25">
      <c r="B28" s="75" t="s">
        <v>351</v>
      </c>
      <c r="C28" s="76">
        <v>0</v>
      </c>
      <c r="D28" s="77">
        <f t="shared" si="0"/>
        <v>0</v>
      </c>
      <c r="E28" s="76">
        <v>0</v>
      </c>
      <c r="F28" s="77">
        <f t="shared" si="1"/>
        <v>0</v>
      </c>
      <c r="G28" s="76">
        <v>0</v>
      </c>
      <c r="H28" s="77">
        <f t="shared" si="2"/>
        <v>0</v>
      </c>
      <c r="I28" s="76">
        <v>10000000</v>
      </c>
      <c r="J28" s="77">
        <f t="shared" si="3"/>
        <v>10516352.928804291</v>
      </c>
      <c r="K28" s="76"/>
      <c r="L28" s="77"/>
      <c r="M28" s="76"/>
      <c r="N28" s="77"/>
      <c r="O28" s="74" t="s">
        <v>366</v>
      </c>
      <c r="P28" s="74" t="s">
        <v>351</v>
      </c>
      <c r="Q28" s="74" t="s">
        <v>344</v>
      </c>
      <c r="R28" s="74" t="s">
        <v>359</v>
      </c>
      <c r="S28" s="74" t="s">
        <v>402</v>
      </c>
      <c r="T28" s="74" t="s">
        <v>289</v>
      </c>
      <c r="U28" s="74" t="s">
        <v>292</v>
      </c>
      <c r="V28" s="74" t="s">
        <v>323</v>
      </c>
      <c r="W28" s="74">
        <v>43010</v>
      </c>
      <c r="X28" s="79" t="s">
        <v>341</v>
      </c>
      <c r="Y28" s="79" t="s">
        <v>341</v>
      </c>
      <c r="Z28" s="74"/>
    </row>
    <row r="29" spans="2:26" s="16" customFormat="1" ht="23.1" customHeight="1" x14ac:dyDescent="0.25">
      <c r="B29" s="75" t="s">
        <v>352</v>
      </c>
      <c r="C29" s="76">
        <v>0</v>
      </c>
      <c r="D29" s="77">
        <f t="shared" si="0"/>
        <v>0</v>
      </c>
      <c r="E29" s="76">
        <v>0</v>
      </c>
      <c r="F29" s="77">
        <f t="shared" si="1"/>
        <v>0</v>
      </c>
      <c r="G29" s="76">
        <v>0</v>
      </c>
      <c r="H29" s="77">
        <f t="shared" si="2"/>
        <v>0</v>
      </c>
      <c r="I29" s="76">
        <v>4000000</v>
      </c>
      <c r="J29" s="77">
        <f t="shared" si="3"/>
        <v>4206541.1715217168</v>
      </c>
      <c r="K29" s="76"/>
      <c r="L29" s="77"/>
      <c r="M29" s="76"/>
      <c r="N29" s="77"/>
      <c r="O29" s="74" t="s">
        <v>366</v>
      </c>
      <c r="P29" s="74" t="s">
        <v>363</v>
      </c>
      <c r="Q29" s="74" t="s">
        <v>344</v>
      </c>
      <c r="R29" s="74" t="s">
        <v>359</v>
      </c>
      <c r="S29" s="74" t="s">
        <v>402</v>
      </c>
      <c r="T29" s="74" t="s">
        <v>289</v>
      </c>
      <c r="U29" s="74" t="s">
        <v>293</v>
      </c>
      <c r="V29" s="74" t="s">
        <v>392</v>
      </c>
      <c r="W29" s="74">
        <v>43010</v>
      </c>
      <c r="X29" s="74" t="s">
        <v>340</v>
      </c>
      <c r="Y29" s="74" t="s">
        <v>340</v>
      </c>
      <c r="Z29" s="74"/>
    </row>
    <row r="30" spans="2:26" s="16" customFormat="1" ht="23.1" customHeight="1" x14ac:dyDescent="0.25">
      <c r="B30" s="75" t="s">
        <v>350</v>
      </c>
      <c r="C30" s="76">
        <v>0</v>
      </c>
      <c r="D30" s="77">
        <f t="shared" si="0"/>
        <v>0</v>
      </c>
      <c r="E30" s="76">
        <v>0</v>
      </c>
      <c r="F30" s="77">
        <f t="shared" si="1"/>
        <v>0</v>
      </c>
      <c r="G30" s="76">
        <v>0</v>
      </c>
      <c r="H30" s="77">
        <f t="shared" si="2"/>
        <v>0</v>
      </c>
      <c r="I30" s="76">
        <v>2000000</v>
      </c>
      <c r="J30" s="77">
        <f t="shared" si="3"/>
        <v>2103270.5857608584</v>
      </c>
      <c r="K30" s="76"/>
      <c r="L30" s="77"/>
      <c r="M30" s="76"/>
      <c r="N30" s="77"/>
      <c r="O30" s="74" t="s">
        <v>366</v>
      </c>
      <c r="P30" s="74" t="s">
        <v>365</v>
      </c>
      <c r="Q30" s="74" t="s">
        <v>344</v>
      </c>
      <c r="R30" s="74" t="s">
        <v>359</v>
      </c>
      <c r="S30" s="74" t="s">
        <v>402</v>
      </c>
      <c r="T30" s="74" t="s">
        <v>289</v>
      </c>
      <c r="U30" s="74" t="s">
        <v>292</v>
      </c>
      <c r="V30" s="74" t="s">
        <v>394</v>
      </c>
      <c r="W30" s="80">
        <v>31220</v>
      </c>
      <c r="X30" s="74" t="s">
        <v>340</v>
      </c>
      <c r="Y30" s="74" t="s">
        <v>340</v>
      </c>
      <c r="Z30" s="74"/>
    </row>
    <row r="31" spans="2:26" s="16" customFormat="1" ht="23.1" customHeight="1" x14ac:dyDescent="0.25">
      <c r="B31" s="75" t="s">
        <v>350</v>
      </c>
      <c r="C31" s="76">
        <v>75000</v>
      </c>
      <c r="D31" s="77">
        <f t="shared" si="0"/>
        <v>78872.646966032189</v>
      </c>
      <c r="E31" s="76">
        <v>75000</v>
      </c>
      <c r="F31" s="77">
        <f t="shared" si="1"/>
        <v>78872.646966032189</v>
      </c>
      <c r="G31" s="76">
        <v>0</v>
      </c>
      <c r="H31" s="77">
        <f t="shared" si="2"/>
        <v>0</v>
      </c>
      <c r="I31" s="76">
        <v>0</v>
      </c>
      <c r="J31" s="77">
        <f t="shared" si="3"/>
        <v>0</v>
      </c>
      <c r="K31" s="76"/>
      <c r="L31" s="77"/>
      <c r="M31" s="76"/>
      <c r="N31" s="77"/>
      <c r="O31" s="74" t="s">
        <v>354</v>
      </c>
      <c r="P31" s="137" t="s">
        <v>353</v>
      </c>
      <c r="Q31" s="137" t="s">
        <v>345</v>
      </c>
      <c r="R31" s="137" t="s">
        <v>359</v>
      </c>
      <c r="S31" s="137" t="s">
        <v>402</v>
      </c>
      <c r="T31" s="137" t="s">
        <v>289</v>
      </c>
      <c r="U31" s="137" t="s">
        <v>292</v>
      </c>
      <c r="V31" s="137" t="s">
        <v>388</v>
      </c>
      <c r="W31" s="137">
        <v>41020</v>
      </c>
      <c r="X31" s="137" t="s">
        <v>340</v>
      </c>
      <c r="Y31" s="137" t="s">
        <v>340</v>
      </c>
      <c r="Z31" s="137" t="s">
        <v>397</v>
      </c>
    </row>
    <row r="32" spans="2:26" s="16" customFormat="1" ht="23.1" customHeight="1" x14ac:dyDescent="0.25">
      <c r="B32" s="75" t="s">
        <v>350</v>
      </c>
      <c r="C32" s="76">
        <v>15000</v>
      </c>
      <c r="D32" s="77">
        <f t="shared" si="0"/>
        <v>15774.529393206436</v>
      </c>
      <c r="E32" s="76">
        <v>15000</v>
      </c>
      <c r="F32" s="77">
        <f t="shared" si="1"/>
        <v>15774.529393206436</v>
      </c>
      <c r="G32" s="76">
        <v>0</v>
      </c>
      <c r="H32" s="77">
        <f t="shared" si="2"/>
        <v>0</v>
      </c>
      <c r="I32" s="76">
        <v>0</v>
      </c>
      <c r="J32" s="77">
        <f t="shared" si="3"/>
        <v>0</v>
      </c>
      <c r="K32" s="76"/>
      <c r="L32" s="77"/>
      <c r="M32" s="76"/>
      <c r="N32" s="77"/>
      <c r="O32" s="74" t="s">
        <v>354</v>
      </c>
      <c r="P32" s="137" t="s">
        <v>353</v>
      </c>
      <c r="Q32" s="137" t="s">
        <v>344</v>
      </c>
      <c r="R32" s="137" t="s">
        <v>359</v>
      </c>
      <c r="S32" s="137" t="s">
        <v>402</v>
      </c>
      <c r="T32" s="137" t="s">
        <v>289</v>
      </c>
      <c r="U32" s="137" t="s">
        <v>292</v>
      </c>
      <c r="V32" s="137" t="s">
        <v>388</v>
      </c>
      <c r="W32" s="137">
        <v>41020</v>
      </c>
      <c r="X32" s="137" t="s">
        <v>340</v>
      </c>
      <c r="Y32" s="137" t="s">
        <v>340</v>
      </c>
      <c r="Z32" s="137"/>
    </row>
    <row r="33" spans="1:26" s="16" customFormat="1" ht="23.1" customHeight="1" x14ac:dyDescent="0.25">
      <c r="B33" s="75" t="s">
        <v>379</v>
      </c>
      <c r="C33" s="76">
        <v>15000</v>
      </c>
      <c r="D33" s="77">
        <f t="shared" si="0"/>
        <v>15774.529393206436</v>
      </c>
      <c r="E33" s="76">
        <v>15000</v>
      </c>
      <c r="F33" s="77">
        <f t="shared" si="1"/>
        <v>15774.529393206436</v>
      </c>
      <c r="G33" s="76">
        <v>0</v>
      </c>
      <c r="H33" s="77">
        <f t="shared" si="2"/>
        <v>0</v>
      </c>
      <c r="I33" s="76">
        <v>0</v>
      </c>
      <c r="J33" s="77">
        <f t="shared" si="3"/>
        <v>0</v>
      </c>
      <c r="K33" s="76"/>
      <c r="L33" s="77"/>
      <c r="M33" s="76"/>
      <c r="N33" s="77"/>
      <c r="O33" s="74" t="s">
        <v>354</v>
      </c>
      <c r="P33" s="137" t="s">
        <v>385</v>
      </c>
      <c r="Q33" s="137" t="s">
        <v>344</v>
      </c>
      <c r="R33" s="137" t="s">
        <v>359</v>
      </c>
      <c r="S33" s="137" t="s">
        <v>402</v>
      </c>
      <c r="T33" s="137" t="s">
        <v>289</v>
      </c>
      <c r="U33" s="137" t="s">
        <v>292</v>
      </c>
      <c r="V33" s="137" t="s">
        <v>323</v>
      </c>
      <c r="W33" s="137">
        <v>99819</v>
      </c>
      <c r="X33" s="137" t="s">
        <v>340</v>
      </c>
      <c r="Y33" s="137" t="s">
        <v>340</v>
      </c>
      <c r="Z33" s="137" t="s">
        <v>397</v>
      </c>
    </row>
    <row r="34" spans="1:26" s="16" customFormat="1" ht="23.1" customHeight="1" x14ac:dyDescent="0.25">
      <c r="B34" s="75" t="s">
        <v>352</v>
      </c>
      <c r="C34" s="76">
        <v>0</v>
      </c>
      <c r="D34" s="77">
        <f t="shared" si="0"/>
        <v>0</v>
      </c>
      <c r="E34" s="76">
        <v>0</v>
      </c>
      <c r="F34" s="77">
        <f t="shared" si="1"/>
        <v>0</v>
      </c>
      <c r="G34" s="76">
        <v>0</v>
      </c>
      <c r="H34" s="77">
        <f t="shared" si="2"/>
        <v>0</v>
      </c>
      <c r="I34" s="76">
        <v>5000000</v>
      </c>
      <c r="J34" s="77">
        <f t="shared" si="3"/>
        <v>5258176.4644021457</v>
      </c>
      <c r="K34" s="76"/>
      <c r="L34" s="77"/>
      <c r="M34" s="76"/>
      <c r="N34" s="77"/>
      <c r="O34" s="74" t="s">
        <v>354</v>
      </c>
      <c r="P34" s="137" t="s">
        <v>364</v>
      </c>
      <c r="Q34" s="137" t="s">
        <v>344</v>
      </c>
      <c r="R34" s="137" t="s">
        <v>359</v>
      </c>
      <c r="S34" s="137" t="s">
        <v>634</v>
      </c>
      <c r="T34" s="137" t="s">
        <v>387</v>
      </c>
      <c r="U34" s="137" t="s">
        <v>293</v>
      </c>
      <c r="V34" s="137" t="s">
        <v>393</v>
      </c>
      <c r="W34" s="81">
        <v>24030</v>
      </c>
      <c r="X34" s="137" t="s">
        <v>340</v>
      </c>
      <c r="Y34" s="137" t="s">
        <v>340</v>
      </c>
      <c r="Z34" s="137" t="s">
        <v>396</v>
      </c>
    </row>
    <row r="35" spans="1:26" s="16" customFormat="1" ht="60" x14ac:dyDescent="0.25">
      <c r="B35" s="75" t="s">
        <v>374</v>
      </c>
      <c r="C35" s="76">
        <v>0</v>
      </c>
      <c r="D35" s="77">
        <f t="shared" si="0"/>
        <v>0</v>
      </c>
      <c r="E35" s="76">
        <v>0</v>
      </c>
      <c r="F35" s="77">
        <f t="shared" si="1"/>
        <v>0</v>
      </c>
      <c r="G35" s="76">
        <v>5000000</v>
      </c>
      <c r="H35" s="77">
        <f t="shared" si="2"/>
        <v>5258176.4644021457</v>
      </c>
      <c r="I35" s="76">
        <v>5000000</v>
      </c>
      <c r="J35" s="77">
        <f t="shared" si="3"/>
        <v>5258176.4644021457</v>
      </c>
      <c r="K35" s="76"/>
      <c r="L35" s="77"/>
      <c r="M35" s="76"/>
      <c r="N35" s="77"/>
      <c r="O35" s="74" t="s">
        <v>366</v>
      </c>
      <c r="P35" s="137" t="s">
        <v>380</v>
      </c>
      <c r="Q35" s="137" t="s">
        <v>345</v>
      </c>
      <c r="R35" s="137" t="s">
        <v>359</v>
      </c>
      <c r="S35" s="137" t="s">
        <v>635</v>
      </c>
      <c r="T35" s="137" t="s">
        <v>289</v>
      </c>
      <c r="U35" s="137" t="s">
        <v>292</v>
      </c>
      <c r="V35" s="137" t="s">
        <v>389</v>
      </c>
      <c r="W35" s="137">
        <v>99810</v>
      </c>
      <c r="X35" s="137" t="s">
        <v>341</v>
      </c>
      <c r="Y35" s="137" t="s">
        <v>346</v>
      </c>
      <c r="Z35" s="137"/>
    </row>
    <row r="36" spans="1:26" s="16" customFormat="1" ht="57" customHeight="1" x14ac:dyDescent="0.25">
      <c r="B36" s="75" t="s">
        <v>374</v>
      </c>
      <c r="C36" s="76">
        <v>0</v>
      </c>
      <c r="D36" s="77">
        <f t="shared" si="0"/>
        <v>0</v>
      </c>
      <c r="E36" s="76">
        <v>0</v>
      </c>
      <c r="F36" s="77">
        <f t="shared" si="1"/>
        <v>0</v>
      </c>
      <c r="G36" s="76">
        <v>1250000</v>
      </c>
      <c r="H36" s="77">
        <f t="shared" si="2"/>
        <v>1314544.1161005364</v>
      </c>
      <c r="I36" s="76">
        <v>1250000</v>
      </c>
      <c r="J36" s="77">
        <f t="shared" si="3"/>
        <v>1314544.1161005364</v>
      </c>
      <c r="K36" s="76"/>
      <c r="L36" s="77"/>
      <c r="M36" s="76"/>
      <c r="N36" s="77"/>
      <c r="O36" s="74" t="s">
        <v>366</v>
      </c>
      <c r="P36" s="137" t="s">
        <v>380</v>
      </c>
      <c r="Q36" s="137" t="s">
        <v>344</v>
      </c>
      <c r="R36" s="137" t="s">
        <v>359</v>
      </c>
      <c r="S36" s="137" t="s">
        <v>635</v>
      </c>
      <c r="T36" s="137" t="s">
        <v>289</v>
      </c>
      <c r="U36" s="137" t="s">
        <v>292</v>
      </c>
      <c r="V36" s="137" t="s">
        <v>389</v>
      </c>
      <c r="W36" s="137">
        <v>99810</v>
      </c>
      <c r="X36" s="137" t="s">
        <v>341</v>
      </c>
      <c r="Y36" s="137" t="s">
        <v>346</v>
      </c>
      <c r="Z36" s="137"/>
    </row>
    <row r="37" spans="1:26" s="16" customFormat="1" ht="23.1" customHeight="1" x14ac:dyDescent="0.25">
      <c r="B37" s="75" t="s">
        <v>350</v>
      </c>
      <c r="C37" s="76">
        <v>197000</v>
      </c>
      <c r="D37" s="77">
        <f t="shared" si="0"/>
        <v>207172.15269744454</v>
      </c>
      <c r="E37" s="76">
        <v>197000</v>
      </c>
      <c r="F37" s="77">
        <f t="shared" si="1"/>
        <v>207172.15269744454</v>
      </c>
      <c r="G37" s="76">
        <v>0</v>
      </c>
      <c r="H37" s="77">
        <f t="shared" si="2"/>
        <v>0</v>
      </c>
      <c r="I37" s="76">
        <v>0</v>
      </c>
      <c r="J37" s="77">
        <f t="shared" si="3"/>
        <v>0</v>
      </c>
      <c r="K37" s="76"/>
      <c r="L37" s="77"/>
      <c r="M37" s="76"/>
      <c r="N37" s="77"/>
      <c r="O37" s="74" t="s">
        <v>354</v>
      </c>
      <c r="P37" s="74" t="s">
        <v>362</v>
      </c>
      <c r="Q37" s="74" t="s">
        <v>344</v>
      </c>
      <c r="R37" s="74" t="s">
        <v>359</v>
      </c>
      <c r="S37" s="74" t="s">
        <v>284</v>
      </c>
      <c r="T37" s="74" t="s">
        <v>289</v>
      </c>
      <c r="U37" s="74" t="s">
        <v>292</v>
      </c>
      <c r="V37" s="74" t="s">
        <v>323</v>
      </c>
      <c r="W37" s="74">
        <v>99819</v>
      </c>
      <c r="X37" s="74" t="s">
        <v>340</v>
      </c>
      <c r="Y37" s="74" t="s">
        <v>340</v>
      </c>
      <c r="Z37" s="74" t="s">
        <v>532</v>
      </c>
    </row>
    <row r="38" spans="1:26" s="16" customFormat="1" ht="23.1" customHeight="1" x14ac:dyDescent="0.25">
      <c r="B38" s="75" t="s">
        <v>386</v>
      </c>
      <c r="C38" s="76">
        <v>0</v>
      </c>
      <c r="D38" s="77">
        <f t="shared" si="0"/>
        <v>0</v>
      </c>
      <c r="E38" s="76">
        <v>0</v>
      </c>
      <c r="F38" s="77">
        <f t="shared" si="1"/>
        <v>0</v>
      </c>
      <c r="G38" s="76">
        <v>25000000</v>
      </c>
      <c r="H38" s="77">
        <f t="shared" si="2"/>
        <v>26290882.322010729</v>
      </c>
      <c r="I38" s="76">
        <v>0</v>
      </c>
      <c r="J38" s="77">
        <f t="shared" si="3"/>
        <v>0</v>
      </c>
      <c r="K38" s="76"/>
      <c r="L38" s="77"/>
      <c r="M38" s="76"/>
      <c r="N38" s="77"/>
      <c r="O38" s="74" t="s">
        <v>401</v>
      </c>
      <c r="P38" s="74" t="s">
        <v>386</v>
      </c>
      <c r="Q38" s="74" t="s">
        <v>345</v>
      </c>
      <c r="R38" s="74" t="s">
        <v>359</v>
      </c>
      <c r="S38" s="74" t="s">
        <v>637</v>
      </c>
      <c r="T38" s="74" t="s">
        <v>289</v>
      </c>
      <c r="U38" s="74" t="s">
        <v>292</v>
      </c>
      <c r="V38" s="74" t="s">
        <v>389</v>
      </c>
      <c r="W38" s="74">
        <v>99810</v>
      </c>
      <c r="X38" s="74" t="s">
        <v>340</v>
      </c>
      <c r="Y38" s="74" t="s">
        <v>340</v>
      </c>
      <c r="Z38" s="74" t="s">
        <v>398</v>
      </c>
    </row>
    <row r="39" spans="1:26" ht="12" x14ac:dyDescent="0.25">
      <c r="A39" s="37"/>
      <c r="B39" s="9"/>
    </row>
    <row r="40" spans="1:26" ht="12" x14ac:dyDescent="0.25">
      <c r="A40" s="37"/>
      <c r="B40" s="16" t="s">
        <v>37</v>
      </c>
      <c r="C40" s="16"/>
      <c r="D40" s="16"/>
      <c r="E40" s="16"/>
      <c r="F40" s="16"/>
      <c r="G40" s="16"/>
      <c r="H40" s="21"/>
      <c r="I40" s="22"/>
      <c r="J40" s="23"/>
      <c r="K40" s="23"/>
      <c r="L40" s="24"/>
      <c r="M40" s="23"/>
      <c r="N40" s="25"/>
      <c r="O40" s="23"/>
      <c r="P40" s="23"/>
      <c r="Q40" s="23"/>
    </row>
    <row r="41" spans="1:26" ht="12" x14ac:dyDescent="0.25">
      <c r="A41" s="37"/>
      <c r="B41" s="16" t="s">
        <v>38</v>
      </c>
      <c r="C41" s="16"/>
      <c r="D41" s="16"/>
      <c r="E41" s="16"/>
      <c r="F41" s="16"/>
      <c r="G41" s="16"/>
      <c r="H41" s="21"/>
      <c r="I41" s="22"/>
      <c r="J41" s="23"/>
      <c r="K41" s="23"/>
      <c r="L41" s="24"/>
      <c r="M41" s="23"/>
      <c r="N41" s="25"/>
      <c r="O41" s="23"/>
      <c r="P41" s="23"/>
      <c r="Q41" s="23"/>
    </row>
    <row r="42" spans="1:26" ht="12" x14ac:dyDescent="0.25">
      <c r="B42" s="38" t="s">
        <v>70</v>
      </c>
      <c r="C42" s="38"/>
      <c r="D42" s="38"/>
      <c r="E42" s="38"/>
      <c r="F42" s="38"/>
      <c r="G42" s="38"/>
      <c r="H42" s="38"/>
      <c r="I42" s="38"/>
      <c r="J42" s="38"/>
      <c r="K42" s="38"/>
      <c r="L42" s="38"/>
      <c r="M42" s="38"/>
      <c r="N42" s="38"/>
      <c r="O42" s="38"/>
      <c r="P42" s="38"/>
      <c r="Q42" s="38"/>
      <c r="R42" s="38"/>
      <c r="S42" s="38"/>
      <c r="T42" s="38"/>
      <c r="U42" s="38"/>
      <c r="V42" s="38"/>
      <c r="W42" s="38"/>
      <c r="X42" s="38"/>
      <c r="Y42" s="38"/>
      <c r="Z42" s="38"/>
    </row>
    <row r="43" spans="1:26" ht="14.1" customHeight="1" x14ac:dyDescent="0.25">
      <c r="B43" s="39" t="s">
        <v>71</v>
      </c>
      <c r="C43" s="16"/>
      <c r="D43" s="16"/>
      <c r="E43" s="16"/>
      <c r="F43" s="16"/>
      <c r="G43" s="16"/>
      <c r="H43" s="21"/>
      <c r="I43" s="22"/>
      <c r="J43" s="23"/>
      <c r="K43" s="23"/>
      <c r="L43" s="24"/>
      <c r="M43" s="23"/>
      <c r="N43" s="25"/>
      <c r="O43" s="23"/>
      <c r="P43" s="23"/>
      <c r="Q43" s="23"/>
    </row>
    <row r="44" spans="1:26" ht="14.1" customHeight="1" x14ac:dyDescent="0.25">
      <c r="B44" s="39" t="s">
        <v>72</v>
      </c>
      <c r="C44" s="40"/>
      <c r="D44" s="26"/>
      <c r="E44" s="40"/>
      <c r="F44" s="40"/>
      <c r="G44" s="40"/>
    </row>
    <row r="45" spans="1:26" ht="14.1" customHeight="1" x14ac:dyDescent="0.25">
      <c r="B45" s="39" t="s">
        <v>73</v>
      </c>
      <c r="C45" s="27"/>
      <c r="D45" s="28"/>
      <c r="E45" s="28"/>
      <c r="F45" s="28"/>
      <c r="G45" s="29"/>
    </row>
    <row r="46" spans="1:26" ht="14.1" customHeight="1" x14ac:dyDescent="0.25">
      <c r="B46" s="39" t="s">
        <v>74</v>
      </c>
      <c r="C46" s="30"/>
    </row>
    <row r="47" spans="1:26" ht="14.1" customHeight="1" x14ac:dyDescent="0.25">
      <c r="B47" s="39" t="s">
        <v>75</v>
      </c>
      <c r="C47" s="30"/>
    </row>
    <row r="48" spans="1:26" ht="14.1" customHeight="1" x14ac:dyDescent="0.25">
      <c r="B48" s="39" t="s">
        <v>76</v>
      </c>
      <c r="C48" s="30"/>
    </row>
    <row r="49" spans="2:17" ht="14.1" customHeight="1" x14ac:dyDescent="0.25">
      <c r="B49" s="39" t="s">
        <v>77</v>
      </c>
      <c r="C49" s="30"/>
    </row>
    <row r="50" spans="2:17" ht="14.1" customHeight="1" x14ac:dyDescent="0.25">
      <c r="B50" s="39" t="s">
        <v>78</v>
      </c>
      <c r="C50" s="30"/>
    </row>
    <row r="51" spans="2:17" ht="12.75" customHeight="1" x14ac:dyDescent="0.25">
      <c r="B51" s="39" t="s">
        <v>79</v>
      </c>
      <c r="C51" s="41"/>
      <c r="D51" s="41"/>
      <c r="E51" s="41"/>
      <c r="F51" s="41"/>
      <c r="G51" s="41"/>
      <c r="H51" s="41"/>
      <c r="I51" s="41"/>
      <c r="J51" s="41"/>
      <c r="K51" s="41"/>
      <c r="L51" s="41"/>
      <c r="M51" s="41"/>
      <c r="N51" s="41"/>
      <c r="O51" s="41"/>
      <c r="P51" s="41"/>
      <c r="Q51" s="41"/>
    </row>
    <row r="52" spans="2:17" ht="14.1" customHeight="1" x14ac:dyDescent="0.25">
      <c r="B52" s="39" t="s">
        <v>80</v>
      </c>
      <c r="C52" s="30"/>
    </row>
    <row r="53" spans="2:17" ht="14.1" customHeight="1" x14ac:dyDescent="0.25">
      <c r="B53" s="39" t="s">
        <v>81</v>
      </c>
      <c r="C53" s="30"/>
    </row>
    <row r="54" spans="2:17" ht="14.1" customHeight="1" x14ac:dyDescent="0.25">
      <c r="B54" s="39" t="s">
        <v>82</v>
      </c>
    </row>
    <row r="55" spans="2:17" ht="12" x14ac:dyDescent="0.25">
      <c r="B55" s="9"/>
    </row>
    <row r="56" spans="2:17" ht="12" x14ac:dyDescent="0.25">
      <c r="B56" s="2" t="s">
        <v>51</v>
      </c>
    </row>
    <row r="57" spans="2:17" ht="14.1" customHeight="1" x14ac:dyDescent="0.25">
      <c r="B57" s="1" t="s">
        <v>52</v>
      </c>
    </row>
    <row r="58" spans="2:17" ht="14.1" customHeight="1" x14ac:dyDescent="0.25"/>
  </sheetData>
  <sortState xmlns:xlrd2="http://schemas.microsoft.com/office/spreadsheetml/2017/richdata2" ref="B12:Z38">
    <sortCondition ref="S12:S38"/>
  </sortState>
  <hyperlinks>
    <hyperlink ref="B5" location="'Index sheet'!A1" display="Back to index" xr:uid="{00000000-0004-0000-0300-000000000000}"/>
  </hyperlinks>
  <pageMargins left="0.7" right="0.7" top="0.75" bottom="0.75" header="0.3" footer="0.3"/>
  <pageSetup paperSize="9" orientation="portrait"/>
  <ignoredErrors>
    <ignoredError sqref="A40:Z65 A1:Z2 A39:V39 Y39 A5:Z11 A3:A4 D3:Z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Z25"/>
  <sheetViews>
    <sheetView showGridLines="0" zoomScaleNormal="100" workbookViewId="0"/>
  </sheetViews>
  <sheetFormatPr defaultColWidth="9.109375" defaultRowHeight="11.4" customHeight="1" x14ac:dyDescent="0.25"/>
  <cols>
    <col min="1" max="1" width="2.44140625" style="1" customWidth="1"/>
    <col min="2" max="7" width="15.88671875" style="1" customWidth="1"/>
    <col min="8" max="8" width="15.109375" style="1" customWidth="1"/>
    <col min="9" max="14" width="15.88671875" style="1" customWidth="1"/>
    <col min="15" max="15" width="20.44140625" style="1" customWidth="1"/>
    <col min="16" max="16" width="9.109375" style="1" customWidth="1"/>
    <col min="17" max="16384" width="9.109375" style="1"/>
  </cols>
  <sheetData>
    <row r="1" spans="2:26" s="42" customFormat="1" ht="15.9" customHeight="1" x14ac:dyDescent="0.3">
      <c r="B1" s="6" t="s">
        <v>83</v>
      </c>
      <c r="C1" s="6"/>
      <c r="D1" s="6"/>
    </row>
    <row r="2" spans="2:26" s="42" customFormat="1" ht="15" customHeight="1" x14ac:dyDescent="0.3">
      <c r="B2" s="6" t="s">
        <v>84</v>
      </c>
      <c r="C2" s="6"/>
      <c r="D2" s="6"/>
      <c r="E2" s="6"/>
      <c r="F2" s="6"/>
      <c r="G2" s="6"/>
      <c r="H2" s="6"/>
      <c r="I2" s="7" t="s">
        <v>53</v>
      </c>
      <c r="J2" s="43" t="s">
        <v>85</v>
      </c>
      <c r="K2" s="6"/>
      <c r="L2" s="6"/>
    </row>
    <row r="3" spans="2:26" ht="15.9" customHeight="1" x14ac:dyDescent="0.25">
      <c r="B3" s="10" t="s">
        <v>18</v>
      </c>
      <c r="C3" s="11">
        <v>0.84560000000000002</v>
      </c>
    </row>
    <row r="4" spans="2:26" ht="15.9" customHeight="1" x14ac:dyDescent="0.25">
      <c r="B4" s="10"/>
      <c r="C4" s="10"/>
    </row>
    <row r="5" spans="2:26" ht="12" x14ac:dyDescent="0.25">
      <c r="B5" s="13" t="s">
        <v>19</v>
      </c>
      <c r="C5" s="44"/>
      <c r="D5" s="45"/>
      <c r="E5" s="46"/>
    </row>
    <row r="6" spans="2:26" ht="12" x14ac:dyDescent="0.25">
      <c r="B6" s="9"/>
      <c r="C6" s="9"/>
      <c r="D6" s="9"/>
    </row>
    <row r="7" spans="2:26" ht="36.9" customHeight="1" x14ac:dyDescent="0.25">
      <c r="B7" s="14" t="s">
        <v>86</v>
      </c>
      <c r="C7" s="14" t="s">
        <v>87</v>
      </c>
      <c r="D7" s="47" t="s">
        <v>88</v>
      </c>
      <c r="E7" s="48" t="s">
        <v>89</v>
      </c>
      <c r="F7" s="49"/>
      <c r="G7" s="49"/>
      <c r="H7" s="49"/>
      <c r="I7" s="50" t="s">
        <v>90</v>
      </c>
      <c r="J7" s="51"/>
      <c r="K7" s="14" t="s">
        <v>91</v>
      </c>
      <c r="L7" s="14" t="s">
        <v>92</v>
      </c>
      <c r="M7" s="14" t="s">
        <v>28</v>
      </c>
      <c r="N7" s="14" t="s">
        <v>93</v>
      </c>
      <c r="O7" s="14" t="s">
        <v>94</v>
      </c>
    </row>
    <row r="8" spans="2:26" ht="12" x14ac:dyDescent="0.25">
      <c r="B8" s="17"/>
      <c r="C8" s="17"/>
      <c r="D8" s="52"/>
      <c r="E8" s="53" t="s">
        <v>33</v>
      </c>
      <c r="F8" s="53"/>
      <c r="G8" s="53" t="s">
        <v>34</v>
      </c>
      <c r="H8" s="53"/>
      <c r="I8" s="54"/>
      <c r="J8" s="55"/>
      <c r="K8" s="17"/>
      <c r="L8" s="17"/>
      <c r="M8" s="17"/>
      <c r="N8" s="18"/>
      <c r="O8" s="17"/>
    </row>
    <row r="9" spans="2:26" ht="23.1" customHeight="1" x14ac:dyDescent="0.25">
      <c r="B9" s="19"/>
      <c r="C9" s="19"/>
      <c r="D9" s="56"/>
      <c r="E9" s="57" t="s">
        <v>35</v>
      </c>
      <c r="F9" s="58" t="s">
        <v>36</v>
      </c>
      <c r="G9" s="57" t="s">
        <v>35</v>
      </c>
      <c r="H9" s="58" t="s">
        <v>36</v>
      </c>
      <c r="I9" s="57" t="s">
        <v>35</v>
      </c>
      <c r="J9" s="58" t="s">
        <v>36</v>
      </c>
      <c r="K9" s="19"/>
      <c r="L9" s="19"/>
      <c r="M9" s="19"/>
      <c r="N9" s="20"/>
      <c r="O9" s="17"/>
    </row>
    <row r="10" spans="2:26" s="136" customFormat="1" ht="59.25" customHeight="1" x14ac:dyDescent="0.25">
      <c r="B10" s="74"/>
      <c r="C10" s="74"/>
      <c r="D10" s="153"/>
      <c r="E10" s="153"/>
      <c r="F10" s="154"/>
      <c r="G10" s="153"/>
      <c r="H10" s="154"/>
      <c r="I10" s="153"/>
      <c r="J10" s="154"/>
      <c r="K10" s="74"/>
      <c r="L10" s="74"/>
      <c r="M10" s="74"/>
      <c r="N10" s="81"/>
      <c r="O10" s="74"/>
    </row>
    <row r="11" spans="2:26" ht="12" x14ac:dyDescent="0.25">
      <c r="B11" s="9"/>
      <c r="C11" s="9"/>
      <c r="D11" s="9"/>
    </row>
    <row r="12" spans="2:26" ht="12" x14ac:dyDescent="0.25">
      <c r="B12" s="16" t="s">
        <v>38</v>
      </c>
      <c r="C12" s="16"/>
      <c r="D12" s="16"/>
      <c r="E12" s="16"/>
      <c r="F12" s="16"/>
      <c r="G12" s="16"/>
      <c r="H12" s="21"/>
      <c r="I12" s="22"/>
      <c r="J12" s="23"/>
      <c r="K12" s="23"/>
      <c r="L12" s="24"/>
      <c r="M12" s="23"/>
      <c r="N12" s="25"/>
      <c r="O12" s="23"/>
    </row>
    <row r="13" spans="2:26" ht="12" x14ac:dyDescent="0.25">
      <c r="B13" s="38" t="s">
        <v>95</v>
      </c>
      <c r="C13" s="38"/>
      <c r="D13" s="38"/>
      <c r="E13" s="38"/>
      <c r="F13" s="38"/>
      <c r="G13" s="38"/>
      <c r="H13" s="38"/>
      <c r="I13" s="38"/>
      <c r="J13" s="38"/>
      <c r="K13" s="38"/>
      <c r="L13" s="38"/>
      <c r="M13" s="38"/>
      <c r="N13" s="38"/>
      <c r="O13" s="38"/>
    </row>
    <row r="14" spans="2:26" ht="14.1" customHeight="1" x14ac:dyDescent="0.25">
      <c r="B14" s="39" t="s">
        <v>96</v>
      </c>
      <c r="C14" s="39"/>
      <c r="D14" s="39"/>
      <c r="E14" s="39"/>
      <c r="F14" s="39"/>
      <c r="G14" s="39"/>
      <c r="H14" s="39"/>
      <c r="I14" s="39"/>
      <c r="J14" s="39"/>
      <c r="K14" s="39"/>
      <c r="L14" s="39"/>
      <c r="M14" s="39"/>
      <c r="N14" s="39"/>
      <c r="O14" s="39"/>
    </row>
    <row r="15" spans="2:26" ht="12" customHeight="1" x14ac:dyDescent="0.25">
      <c r="B15" s="1" t="s">
        <v>97</v>
      </c>
      <c r="C15" s="59"/>
      <c r="D15" s="59"/>
      <c r="P15" s="23"/>
      <c r="Q15" s="23"/>
    </row>
    <row r="16" spans="2:26" ht="12" customHeight="1" x14ac:dyDescent="0.25">
      <c r="B16" s="1" t="s">
        <v>98</v>
      </c>
      <c r="C16" s="59"/>
      <c r="D16" s="59"/>
      <c r="P16" s="59"/>
      <c r="Q16" s="59"/>
      <c r="R16" s="59"/>
      <c r="S16" s="59"/>
      <c r="T16" s="59"/>
      <c r="U16" s="59"/>
      <c r="V16" s="59"/>
      <c r="W16" s="59"/>
      <c r="X16" s="59"/>
      <c r="Y16" s="59"/>
      <c r="Z16" s="59"/>
    </row>
    <row r="17" spans="2:4" ht="12" customHeight="1" x14ac:dyDescent="0.25">
      <c r="B17" s="1" t="s">
        <v>99</v>
      </c>
      <c r="C17" s="59"/>
      <c r="D17" s="59"/>
    </row>
    <row r="18" spans="2:4" ht="12" customHeight="1" x14ac:dyDescent="0.25">
      <c r="B18" s="1" t="s">
        <v>100</v>
      </c>
      <c r="C18" s="59"/>
      <c r="D18" s="59"/>
    </row>
    <row r="19" spans="2:4" ht="12" customHeight="1" x14ac:dyDescent="0.25">
      <c r="B19" s="1" t="s">
        <v>101</v>
      </c>
      <c r="C19" s="59"/>
      <c r="D19" s="59"/>
    </row>
    <row r="20" spans="2:4" ht="12" customHeight="1" x14ac:dyDescent="0.25">
      <c r="B20" s="1" t="s">
        <v>102</v>
      </c>
      <c r="C20" s="59"/>
      <c r="D20" s="59"/>
    </row>
    <row r="21" spans="2:4" ht="12" customHeight="1" x14ac:dyDescent="0.25">
      <c r="B21" s="1" t="s">
        <v>103</v>
      </c>
      <c r="C21" s="59"/>
      <c r="D21" s="59"/>
    </row>
    <row r="22" spans="2:4" ht="12" customHeight="1" x14ac:dyDescent="0.25">
      <c r="B22" s="1" t="s">
        <v>104</v>
      </c>
      <c r="C22" s="59"/>
      <c r="D22" s="59"/>
    </row>
    <row r="23" spans="2:4" ht="12" customHeight="1" x14ac:dyDescent="0.25">
      <c r="B23" s="60"/>
      <c r="C23" s="59"/>
      <c r="D23" s="59"/>
    </row>
    <row r="24" spans="2:4" ht="12" x14ac:dyDescent="0.25">
      <c r="B24" s="2" t="s">
        <v>51</v>
      </c>
      <c r="C24" s="2"/>
    </row>
    <row r="25" spans="2:4" ht="14.1" customHeight="1" x14ac:dyDescent="0.25">
      <c r="B25" s="1" t="s">
        <v>52</v>
      </c>
    </row>
  </sheetData>
  <hyperlinks>
    <hyperlink ref="B5" location="'Index sheet'!A1" display="Back to index" xr:uid="{00000000-0004-0000-0600-000000000000}"/>
  </hyperlinks>
  <pageMargins left="0.7" right="0.7" top="0.75" bottom="0.75" header="0.3" footer="0.3"/>
  <pageSetup paperSize="9" orientation="portrait"/>
  <ignoredErrors>
    <ignoredError sqref="B12:Z34 B1:Z2 C11:Z11 B4:Z9 B3 D3:Z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25"/>
  <sheetViews>
    <sheetView showGridLines="0" zoomScaleNormal="100" workbookViewId="0"/>
  </sheetViews>
  <sheetFormatPr defaultColWidth="9.109375" defaultRowHeight="11.4" customHeight="1" x14ac:dyDescent="0.25"/>
  <cols>
    <col min="1" max="1" width="2.44140625" style="1" customWidth="1"/>
    <col min="2" max="7" width="15.88671875" style="1" customWidth="1"/>
    <col min="8" max="8" width="15.109375" style="1" customWidth="1"/>
    <col min="9" max="14" width="15.88671875" style="1" customWidth="1"/>
    <col min="15" max="15" width="20.44140625" style="1" customWidth="1"/>
    <col min="16" max="16" width="9.109375" style="1" customWidth="1"/>
    <col min="17" max="16384" width="9.109375" style="1"/>
  </cols>
  <sheetData>
    <row r="1" spans="2:26" s="42" customFormat="1" ht="15.9" customHeight="1" x14ac:dyDescent="0.3">
      <c r="B1" s="6" t="s">
        <v>83</v>
      </c>
      <c r="C1" s="6"/>
      <c r="D1" s="6"/>
    </row>
    <row r="2" spans="2:26" s="42" customFormat="1" ht="15" customHeight="1" x14ac:dyDescent="0.3">
      <c r="B2" s="6" t="s">
        <v>84</v>
      </c>
      <c r="C2" s="6"/>
      <c r="D2" s="6"/>
      <c r="E2" s="6"/>
      <c r="F2" s="6"/>
      <c r="G2" s="6"/>
      <c r="H2" s="6"/>
      <c r="I2" s="7" t="s">
        <v>16</v>
      </c>
      <c r="J2" s="43" t="s">
        <v>85</v>
      </c>
      <c r="K2" s="6"/>
      <c r="L2" s="6"/>
    </row>
    <row r="3" spans="2:26" ht="15.9" customHeight="1" x14ac:dyDescent="0.25">
      <c r="B3" s="10" t="s">
        <v>18</v>
      </c>
      <c r="C3" s="11">
        <v>0.95089999999999997</v>
      </c>
    </row>
    <row r="4" spans="2:26" ht="15.9" customHeight="1" x14ac:dyDescent="0.25">
      <c r="B4" s="10"/>
      <c r="C4" s="10"/>
    </row>
    <row r="5" spans="2:26" ht="12" x14ac:dyDescent="0.25">
      <c r="B5" s="13" t="s">
        <v>19</v>
      </c>
      <c r="C5" s="44"/>
      <c r="D5" s="45"/>
      <c r="E5" s="46"/>
    </row>
    <row r="6" spans="2:26" ht="12" x14ac:dyDescent="0.25">
      <c r="B6" s="9"/>
      <c r="C6" s="9"/>
      <c r="D6" s="9"/>
    </row>
    <row r="7" spans="2:26" ht="36.9" customHeight="1" x14ac:dyDescent="0.25">
      <c r="B7" s="14" t="s">
        <v>86</v>
      </c>
      <c r="C7" s="14" t="s">
        <v>87</v>
      </c>
      <c r="D7" s="47" t="s">
        <v>88</v>
      </c>
      <c r="E7" s="48" t="s">
        <v>89</v>
      </c>
      <c r="F7" s="49"/>
      <c r="G7" s="49"/>
      <c r="H7" s="49"/>
      <c r="I7" s="50" t="s">
        <v>90</v>
      </c>
      <c r="J7" s="51"/>
      <c r="K7" s="14" t="s">
        <v>91</v>
      </c>
      <c r="L7" s="14" t="s">
        <v>92</v>
      </c>
      <c r="M7" s="14" t="s">
        <v>28</v>
      </c>
      <c r="N7" s="14" t="s">
        <v>93</v>
      </c>
      <c r="O7" s="14" t="s">
        <v>94</v>
      </c>
    </row>
    <row r="8" spans="2:26" ht="12" x14ac:dyDescent="0.25">
      <c r="B8" s="17"/>
      <c r="C8" s="17"/>
      <c r="D8" s="52"/>
      <c r="E8" s="53" t="s">
        <v>33</v>
      </c>
      <c r="F8" s="53"/>
      <c r="G8" s="53" t="s">
        <v>34</v>
      </c>
      <c r="H8" s="53"/>
      <c r="I8" s="54"/>
      <c r="J8" s="55"/>
      <c r="K8" s="17"/>
      <c r="L8" s="17"/>
      <c r="M8" s="17"/>
      <c r="N8" s="18"/>
      <c r="O8" s="17"/>
    </row>
    <row r="9" spans="2:26" ht="23.1" customHeight="1" x14ac:dyDescent="0.25">
      <c r="B9" s="17"/>
      <c r="C9" s="17"/>
      <c r="D9" s="52"/>
      <c r="E9" s="151" t="s">
        <v>35</v>
      </c>
      <c r="F9" s="152" t="s">
        <v>36</v>
      </c>
      <c r="G9" s="151" t="s">
        <v>35</v>
      </c>
      <c r="H9" s="152" t="s">
        <v>36</v>
      </c>
      <c r="I9" s="151" t="s">
        <v>35</v>
      </c>
      <c r="J9" s="152" t="s">
        <v>36</v>
      </c>
      <c r="K9" s="17"/>
      <c r="L9" s="17"/>
      <c r="M9" s="17"/>
      <c r="N9" s="18"/>
      <c r="O9" s="17"/>
    </row>
    <row r="10" spans="2:26" s="136" customFormat="1" ht="57.75" customHeight="1" x14ac:dyDescent="0.25">
      <c r="B10" s="74"/>
      <c r="C10" s="74"/>
      <c r="D10" s="153"/>
      <c r="E10" s="153"/>
      <c r="F10" s="154"/>
      <c r="G10" s="153"/>
      <c r="H10" s="154"/>
      <c r="I10" s="153"/>
      <c r="J10" s="154"/>
      <c r="K10" s="74"/>
      <c r="L10" s="74"/>
      <c r="M10" s="74"/>
      <c r="N10" s="81"/>
      <c r="O10" s="74"/>
    </row>
    <row r="11" spans="2:26" ht="12" x14ac:dyDescent="0.25">
      <c r="B11" s="9"/>
      <c r="C11" s="9"/>
      <c r="D11" s="9"/>
    </row>
    <row r="12" spans="2:26" ht="12" x14ac:dyDescent="0.25">
      <c r="B12" s="16" t="s">
        <v>38</v>
      </c>
      <c r="C12" s="16"/>
      <c r="D12" s="16"/>
      <c r="E12" s="16"/>
      <c r="F12" s="16"/>
      <c r="G12" s="16"/>
      <c r="H12" s="21"/>
      <c r="I12" s="22"/>
      <c r="J12" s="23"/>
      <c r="K12" s="23"/>
      <c r="L12" s="24"/>
      <c r="M12" s="23"/>
      <c r="N12" s="25"/>
      <c r="O12" s="23"/>
    </row>
    <row r="13" spans="2:26" ht="12" x14ac:dyDescent="0.25">
      <c r="B13" s="38" t="s">
        <v>95</v>
      </c>
      <c r="C13" s="38"/>
      <c r="D13" s="38"/>
      <c r="E13" s="38"/>
      <c r="F13" s="38"/>
      <c r="G13" s="38"/>
      <c r="H13" s="38"/>
      <c r="I13" s="38"/>
      <c r="J13" s="38"/>
      <c r="K13" s="38"/>
      <c r="L13" s="38"/>
      <c r="M13" s="38"/>
      <c r="N13" s="38"/>
      <c r="O13" s="38"/>
    </row>
    <row r="14" spans="2:26" ht="14.1" customHeight="1" x14ac:dyDescent="0.25">
      <c r="B14" s="39" t="s">
        <v>96</v>
      </c>
      <c r="C14" s="39"/>
      <c r="D14" s="39"/>
      <c r="E14" s="39"/>
      <c r="F14" s="39"/>
      <c r="G14" s="39"/>
      <c r="H14" s="39"/>
      <c r="I14" s="39"/>
      <c r="J14" s="39"/>
      <c r="K14" s="39"/>
      <c r="L14" s="39"/>
      <c r="M14" s="39"/>
      <c r="N14" s="39"/>
      <c r="O14" s="39"/>
    </row>
    <row r="15" spans="2:26" ht="12" customHeight="1" x14ac:dyDescent="0.25">
      <c r="B15" s="1" t="s">
        <v>97</v>
      </c>
      <c r="C15" s="59"/>
      <c r="D15" s="59"/>
      <c r="P15" s="23"/>
      <c r="Q15" s="23"/>
    </row>
    <row r="16" spans="2:26" ht="12" customHeight="1" x14ac:dyDescent="0.25">
      <c r="B16" s="1" t="s">
        <v>98</v>
      </c>
      <c r="C16" s="59"/>
      <c r="D16" s="59"/>
      <c r="P16" s="59"/>
      <c r="Q16" s="59"/>
      <c r="R16" s="59"/>
      <c r="S16" s="59"/>
      <c r="T16" s="59"/>
      <c r="U16" s="59"/>
      <c r="V16" s="59"/>
      <c r="W16" s="59"/>
      <c r="X16" s="59"/>
      <c r="Y16" s="59"/>
      <c r="Z16" s="59"/>
    </row>
    <row r="17" spans="2:4" ht="12" customHeight="1" x14ac:dyDescent="0.25">
      <c r="B17" s="1" t="s">
        <v>99</v>
      </c>
      <c r="C17" s="59"/>
      <c r="D17" s="59"/>
    </row>
    <row r="18" spans="2:4" ht="12" customHeight="1" x14ac:dyDescent="0.25">
      <c r="B18" s="1" t="s">
        <v>100</v>
      </c>
      <c r="C18" s="59"/>
      <c r="D18" s="59"/>
    </row>
    <row r="19" spans="2:4" ht="12" customHeight="1" x14ac:dyDescent="0.25">
      <c r="B19" s="1" t="s">
        <v>101</v>
      </c>
      <c r="C19" s="59"/>
      <c r="D19" s="59"/>
    </row>
    <row r="20" spans="2:4" ht="12" customHeight="1" x14ac:dyDescent="0.25">
      <c r="B20" s="1" t="s">
        <v>102</v>
      </c>
      <c r="C20" s="59"/>
      <c r="D20" s="59"/>
    </row>
    <row r="21" spans="2:4" ht="12" customHeight="1" x14ac:dyDescent="0.25">
      <c r="B21" s="1" t="s">
        <v>103</v>
      </c>
      <c r="C21" s="59"/>
      <c r="D21" s="59"/>
    </row>
    <row r="22" spans="2:4" ht="12" customHeight="1" x14ac:dyDescent="0.25">
      <c r="B22" s="1" t="s">
        <v>104</v>
      </c>
      <c r="C22" s="59"/>
      <c r="D22" s="59"/>
    </row>
    <row r="23" spans="2:4" ht="12" customHeight="1" x14ac:dyDescent="0.25">
      <c r="B23" s="60"/>
      <c r="C23" s="59"/>
      <c r="D23" s="59"/>
    </row>
    <row r="24" spans="2:4" ht="12" x14ac:dyDescent="0.25">
      <c r="B24" s="2" t="s">
        <v>51</v>
      </c>
      <c r="C24" s="2"/>
    </row>
    <row r="25" spans="2:4" ht="14.1" customHeight="1" x14ac:dyDescent="0.25">
      <c r="B25" s="1" t="s">
        <v>52</v>
      </c>
    </row>
  </sheetData>
  <hyperlinks>
    <hyperlink ref="B5" location="'Index sheet'!A1" display="Back to index" xr:uid="{00000000-0004-0000-0500-000000000000}"/>
  </hyperlinks>
  <pageMargins left="0.7" right="0.7" top="0.75" bottom="0.75" header="0.3" footer="0.3"/>
  <pageSetup paperSize="9" orientation="portrait"/>
  <ignoredErrors>
    <ignoredError sqref="B11:Z34 B1:Z2 B4:Z9 B3 D3:Z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70"/>
  <sheetViews>
    <sheetView showGridLines="0" zoomScaleNormal="100" workbookViewId="0"/>
  </sheetViews>
  <sheetFormatPr defaultColWidth="9.109375" defaultRowHeight="11.4" customHeight="1" x14ac:dyDescent="0.25"/>
  <cols>
    <col min="1" max="1" width="2.44140625" style="1" customWidth="1"/>
    <col min="2" max="2" width="49" style="1" customWidth="1"/>
    <col min="3" max="3" width="20" style="1" customWidth="1"/>
    <col min="4" max="4" width="93.109375" style="1" customWidth="1"/>
    <col min="5" max="5" width="14.88671875" style="1" customWidth="1"/>
    <col min="6" max="6" width="32.109375" style="1" customWidth="1"/>
    <col min="7" max="7" width="14.88671875" style="1" customWidth="1"/>
    <col min="8" max="8" width="20.88671875" style="1" customWidth="1"/>
    <col min="9" max="10" width="14.88671875" style="1" customWidth="1"/>
    <col min="11" max="11" width="20.44140625" style="1" customWidth="1"/>
    <col min="12" max="12" width="8.88671875" style="1" customWidth="1"/>
    <col min="13" max="13" width="9.109375" style="1" customWidth="1"/>
    <col min="14" max="16384" width="9.109375" style="1"/>
  </cols>
  <sheetData>
    <row r="1" spans="1:19" ht="15" customHeight="1" x14ac:dyDescent="0.25">
      <c r="B1" s="61" t="s">
        <v>105</v>
      </c>
      <c r="C1" s="61"/>
      <c r="D1" s="61"/>
      <c r="E1" s="61"/>
      <c r="F1" s="61"/>
      <c r="G1" s="61"/>
      <c r="H1" s="61"/>
      <c r="I1" s="61"/>
      <c r="J1" s="61"/>
      <c r="K1" s="61"/>
      <c r="M1" s="62"/>
      <c r="N1" s="62"/>
      <c r="O1" s="63"/>
      <c r="P1" s="63"/>
      <c r="R1" s="64"/>
      <c r="S1" s="62"/>
    </row>
    <row r="2" spans="1:19" ht="18" customHeight="1" x14ac:dyDescent="0.3">
      <c r="B2" s="6" t="s">
        <v>106</v>
      </c>
      <c r="C2" s="6"/>
      <c r="D2" s="6"/>
      <c r="E2" s="6"/>
      <c r="F2" s="6"/>
      <c r="G2" s="6"/>
      <c r="H2" s="6"/>
      <c r="I2" s="6"/>
      <c r="J2" s="6"/>
      <c r="K2" s="6"/>
      <c r="S2" s="16"/>
    </row>
    <row r="3" spans="1:19" ht="12" x14ac:dyDescent="0.25">
      <c r="B3" s="65"/>
      <c r="C3" s="65"/>
      <c r="D3" s="65"/>
      <c r="E3" s="65"/>
      <c r="F3" s="65"/>
      <c r="G3" s="65"/>
      <c r="H3" s="65"/>
      <c r="I3" s="65"/>
      <c r="J3" s="65"/>
      <c r="K3" s="65"/>
      <c r="R3" s="64"/>
      <c r="S3" s="62"/>
    </row>
    <row r="4" spans="1:19" ht="12" x14ac:dyDescent="0.25">
      <c r="B4" s="13" t="s">
        <v>19</v>
      </c>
      <c r="C4" s="13"/>
      <c r="D4" s="66"/>
      <c r="E4" s="13"/>
      <c r="F4" s="13"/>
      <c r="G4" s="13"/>
      <c r="H4" s="13"/>
      <c r="I4" s="13"/>
      <c r="J4" s="67"/>
      <c r="K4" s="67"/>
    </row>
    <row r="5" spans="1:19" ht="12" x14ac:dyDescent="0.25">
      <c r="A5" s="2"/>
    </row>
    <row r="6" spans="1:19" s="16" customFormat="1" ht="25.5" customHeight="1" x14ac:dyDescent="0.25">
      <c r="B6" s="134" t="s">
        <v>617</v>
      </c>
      <c r="C6" s="139" t="s">
        <v>618</v>
      </c>
      <c r="D6" s="141" t="s">
        <v>619</v>
      </c>
      <c r="E6" s="140" t="s">
        <v>620</v>
      </c>
      <c r="F6" s="134" t="s">
        <v>623</v>
      </c>
      <c r="G6" s="141" t="s">
        <v>624</v>
      </c>
      <c r="H6" s="141" t="s">
        <v>625</v>
      </c>
      <c r="I6" s="141" t="s">
        <v>621</v>
      </c>
      <c r="J6" s="141" t="s">
        <v>626</v>
      </c>
      <c r="K6" s="141" t="s">
        <v>627</v>
      </c>
    </row>
    <row r="7" spans="1:19" s="16" customFormat="1" ht="51" customHeight="1" x14ac:dyDescent="0.25">
      <c r="B7" s="133" t="s">
        <v>550</v>
      </c>
      <c r="C7" s="142" t="s">
        <v>366</v>
      </c>
      <c r="D7" s="143" t="s">
        <v>546</v>
      </c>
      <c r="E7" s="135" t="s">
        <v>292</v>
      </c>
      <c r="F7" s="133" t="s">
        <v>292</v>
      </c>
      <c r="G7" s="143">
        <v>43010</v>
      </c>
      <c r="H7" s="143"/>
      <c r="I7" s="143" t="s">
        <v>547</v>
      </c>
      <c r="J7" s="143" t="s">
        <v>551</v>
      </c>
      <c r="K7" s="144" t="s">
        <v>160</v>
      </c>
    </row>
    <row r="8" spans="1:19" s="16" customFormat="1" ht="70.5" customHeight="1" x14ac:dyDescent="0.25">
      <c r="B8" s="135" t="s">
        <v>278</v>
      </c>
      <c r="C8" s="143" t="s">
        <v>533</v>
      </c>
      <c r="D8" s="143" t="s">
        <v>534</v>
      </c>
      <c r="E8" s="135" t="s">
        <v>291</v>
      </c>
      <c r="F8" s="133" t="s">
        <v>323</v>
      </c>
      <c r="G8" s="143">
        <v>41040</v>
      </c>
      <c r="H8" s="143"/>
      <c r="I8" s="143" t="s">
        <v>547</v>
      </c>
      <c r="J8" s="143" t="s">
        <v>551</v>
      </c>
      <c r="K8" s="144" t="s">
        <v>160</v>
      </c>
    </row>
    <row r="9" spans="1:19" s="16" customFormat="1" ht="68.25" customHeight="1" x14ac:dyDescent="0.25">
      <c r="B9" s="135" t="s">
        <v>261</v>
      </c>
      <c r="C9" s="142" t="s">
        <v>158</v>
      </c>
      <c r="D9" s="143" t="s">
        <v>536</v>
      </c>
      <c r="E9" s="135" t="s">
        <v>292</v>
      </c>
      <c r="F9" s="133" t="s">
        <v>327</v>
      </c>
      <c r="G9" s="143">
        <v>14050</v>
      </c>
      <c r="H9" s="143" t="s">
        <v>563</v>
      </c>
      <c r="I9" s="143" t="s">
        <v>548</v>
      </c>
      <c r="J9" s="143" t="s">
        <v>551</v>
      </c>
      <c r="K9" s="144" t="s">
        <v>160</v>
      </c>
    </row>
    <row r="10" spans="1:19" s="16" customFormat="1" ht="85.5" customHeight="1" x14ac:dyDescent="0.25">
      <c r="B10" s="135" t="s">
        <v>262</v>
      </c>
      <c r="C10" s="142" t="s">
        <v>159</v>
      </c>
      <c r="D10" s="143" t="s">
        <v>539</v>
      </c>
      <c r="E10" s="135" t="s">
        <v>292</v>
      </c>
      <c r="F10" s="135" t="s">
        <v>328</v>
      </c>
      <c r="G10" s="143">
        <v>14050</v>
      </c>
      <c r="H10" s="143" t="s">
        <v>561</v>
      </c>
      <c r="I10" s="143" t="s">
        <v>548</v>
      </c>
      <c r="J10" s="143" t="s">
        <v>551</v>
      </c>
      <c r="K10" s="144" t="s">
        <v>160</v>
      </c>
    </row>
    <row r="11" spans="1:19" s="16" customFormat="1" ht="84.75" customHeight="1" x14ac:dyDescent="0.25">
      <c r="B11" s="135" t="s">
        <v>263</v>
      </c>
      <c r="C11" s="142" t="s">
        <v>125</v>
      </c>
      <c r="D11" s="143" t="s">
        <v>540</v>
      </c>
      <c r="E11" s="135" t="s">
        <v>292</v>
      </c>
      <c r="F11" s="133" t="s">
        <v>329</v>
      </c>
      <c r="G11" s="143">
        <v>14050</v>
      </c>
      <c r="H11" s="143" t="s">
        <v>562</v>
      </c>
      <c r="I11" s="143" t="s">
        <v>548</v>
      </c>
      <c r="J11" s="143" t="s">
        <v>551</v>
      </c>
      <c r="K11" s="144" t="s">
        <v>160</v>
      </c>
    </row>
    <row r="12" spans="1:19" s="16" customFormat="1" ht="103.5" customHeight="1" x14ac:dyDescent="0.25">
      <c r="B12" s="135" t="s">
        <v>250</v>
      </c>
      <c r="C12" s="142" t="s">
        <v>155</v>
      </c>
      <c r="D12" s="143" t="s">
        <v>541</v>
      </c>
      <c r="E12" s="135" t="s">
        <v>291</v>
      </c>
      <c r="F12" s="133" t="s">
        <v>319</v>
      </c>
      <c r="G12" s="143">
        <v>14031</v>
      </c>
      <c r="H12" s="143" t="s">
        <v>564</v>
      </c>
      <c r="I12" s="143" t="s">
        <v>548</v>
      </c>
      <c r="J12" s="143" t="s">
        <v>551</v>
      </c>
      <c r="K12" s="144" t="s">
        <v>160</v>
      </c>
    </row>
    <row r="13" spans="1:19" s="16" customFormat="1" ht="84" customHeight="1" x14ac:dyDescent="0.25">
      <c r="B13" s="133" t="s">
        <v>281</v>
      </c>
      <c r="C13" s="143" t="s">
        <v>168</v>
      </c>
      <c r="D13" s="143" t="s">
        <v>543</v>
      </c>
      <c r="E13" s="135" t="s">
        <v>292</v>
      </c>
      <c r="F13" s="133" t="s">
        <v>338</v>
      </c>
      <c r="G13" s="143">
        <v>31220</v>
      </c>
      <c r="H13" s="143"/>
      <c r="I13" s="143" t="s">
        <v>547</v>
      </c>
      <c r="J13" s="143" t="s">
        <v>551</v>
      </c>
      <c r="K13" s="144" t="s">
        <v>160</v>
      </c>
    </row>
    <row r="14" spans="1:19" s="16" customFormat="1" ht="84" x14ac:dyDescent="0.25">
      <c r="B14" s="135" t="s">
        <v>269</v>
      </c>
      <c r="C14" s="142" t="s">
        <v>122</v>
      </c>
      <c r="D14" s="143" t="s">
        <v>571</v>
      </c>
      <c r="E14" s="135" t="s">
        <v>293</v>
      </c>
      <c r="F14" s="133" t="s">
        <v>515</v>
      </c>
      <c r="G14" s="143">
        <v>23210</v>
      </c>
      <c r="H14" s="143" t="s">
        <v>565</v>
      </c>
      <c r="I14" s="143" t="s">
        <v>548</v>
      </c>
      <c r="J14" s="143" t="s">
        <v>551</v>
      </c>
      <c r="K14" s="144" t="s">
        <v>160</v>
      </c>
    </row>
    <row r="15" spans="1:19" s="16" customFormat="1" ht="67.5" customHeight="1" x14ac:dyDescent="0.25">
      <c r="B15" s="135" t="s">
        <v>574</v>
      </c>
      <c r="C15" s="142" t="s">
        <v>117</v>
      </c>
      <c r="D15" s="143" t="s">
        <v>580</v>
      </c>
      <c r="E15" s="135" t="s">
        <v>291</v>
      </c>
      <c r="F15" s="133" t="s">
        <v>318</v>
      </c>
      <c r="G15" s="143">
        <v>14022</v>
      </c>
      <c r="H15" s="143" t="s">
        <v>582</v>
      </c>
      <c r="I15" s="143" t="s">
        <v>547</v>
      </c>
      <c r="J15" s="143" t="s">
        <v>551</v>
      </c>
      <c r="K15" s="144" t="s">
        <v>160</v>
      </c>
    </row>
    <row r="16" spans="1:19" s="16" customFormat="1" ht="82.5" customHeight="1" x14ac:dyDescent="0.25">
      <c r="B16" s="133" t="s">
        <v>276</v>
      </c>
      <c r="C16" s="143" t="s">
        <v>164</v>
      </c>
      <c r="D16" s="143" t="s">
        <v>575</v>
      </c>
      <c r="E16" s="135" t="s">
        <v>291</v>
      </c>
      <c r="F16" s="135" t="s">
        <v>518</v>
      </c>
      <c r="G16" s="143">
        <v>41030</v>
      </c>
      <c r="H16" s="143" t="s">
        <v>566</v>
      </c>
      <c r="I16" s="143" t="s">
        <v>547</v>
      </c>
      <c r="J16" s="143" t="s">
        <v>551</v>
      </c>
      <c r="K16" s="144" t="s">
        <v>160</v>
      </c>
    </row>
    <row r="17" spans="2:11" s="16" customFormat="1" ht="25.5" customHeight="1" x14ac:dyDescent="0.25">
      <c r="B17" s="146"/>
      <c r="C17" s="147"/>
      <c r="D17" s="149"/>
      <c r="E17" s="148"/>
      <c r="F17" s="146"/>
      <c r="G17" s="149"/>
      <c r="H17" s="149"/>
      <c r="I17" s="149"/>
      <c r="J17" s="149"/>
      <c r="K17" s="149"/>
    </row>
    <row r="18" spans="2:11" s="16" customFormat="1" ht="72" x14ac:dyDescent="0.25">
      <c r="B18" s="133" t="s">
        <v>583</v>
      </c>
      <c r="C18" s="142" t="s">
        <v>117</v>
      </c>
      <c r="D18" s="143" t="s">
        <v>584</v>
      </c>
      <c r="E18" s="135" t="s">
        <v>292</v>
      </c>
      <c r="F18" s="133" t="s">
        <v>294</v>
      </c>
      <c r="G18" s="143">
        <v>14010</v>
      </c>
      <c r="H18" s="143" t="s">
        <v>582</v>
      </c>
      <c r="I18" s="143" t="s">
        <v>548</v>
      </c>
      <c r="J18" s="143" t="s">
        <v>551</v>
      </c>
      <c r="K18" s="144" t="s">
        <v>160</v>
      </c>
    </row>
    <row r="19" spans="2:11" s="16" customFormat="1" ht="73.5" customHeight="1" x14ac:dyDescent="0.25">
      <c r="B19" s="133" t="s">
        <v>585</v>
      </c>
      <c r="C19" s="142" t="s">
        <v>117</v>
      </c>
      <c r="D19" s="143" t="s">
        <v>560</v>
      </c>
      <c r="E19" s="135" t="s">
        <v>292</v>
      </c>
      <c r="F19" s="133" t="s">
        <v>559</v>
      </c>
      <c r="G19" s="143">
        <v>14021</v>
      </c>
      <c r="H19" s="143" t="s">
        <v>567</v>
      </c>
      <c r="I19" s="143" t="s">
        <v>547</v>
      </c>
      <c r="J19" s="143" t="s">
        <v>551</v>
      </c>
      <c r="K19" s="144" t="s">
        <v>160</v>
      </c>
    </row>
    <row r="20" spans="2:11" s="16" customFormat="1" ht="99.75" customHeight="1" x14ac:dyDescent="0.25">
      <c r="B20" s="135" t="s">
        <v>586</v>
      </c>
      <c r="C20" s="142" t="s">
        <v>117</v>
      </c>
      <c r="D20" s="143" t="s">
        <v>587</v>
      </c>
      <c r="E20" s="135" t="s">
        <v>293</v>
      </c>
      <c r="F20" s="133" t="s">
        <v>299</v>
      </c>
      <c r="G20" s="143">
        <v>23210</v>
      </c>
      <c r="H20" s="143" t="s">
        <v>588</v>
      </c>
      <c r="I20" s="143" t="s">
        <v>548</v>
      </c>
      <c r="J20" s="143" t="s">
        <v>551</v>
      </c>
      <c r="K20" s="144" t="s">
        <v>160</v>
      </c>
    </row>
    <row r="21" spans="2:11" s="16" customFormat="1" ht="79.5" customHeight="1" x14ac:dyDescent="0.25">
      <c r="B21" s="135" t="s">
        <v>601</v>
      </c>
      <c r="C21" s="142" t="s">
        <v>117</v>
      </c>
      <c r="D21" s="143" t="s">
        <v>558</v>
      </c>
      <c r="E21" s="135" t="s">
        <v>293</v>
      </c>
      <c r="F21" s="133" t="s">
        <v>299</v>
      </c>
      <c r="G21" s="143">
        <v>23210</v>
      </c>
      <c r="H21" s="143" t="s">
        <v>589</v>
      </c>
      <c r="I21" s="143" t="s">
        <v>548</v>
      </c>
      <c r="J21" s="143" t="s">
        <v>551</v>
      </c>
      <c r="K21" s="144" t="s">
        <v>160</v>
      </c>
    </row>
    <row r="22" spans="2:11" s="16" customFormat="1" ht="57" customHeight="1" x14ac:dyDescent="0.25">
      <c r="B22" s="135" t="s">
        <v>590</v>
      </c>
      <c r="C22" s="142" t="s">
        <v>118</v>
      </c>
      <c r="D22" s="143" t="s">
        <v>591</v>
      </c>
      <c r="E22" s="135" t="s">
        <v>291</v>
      </c>
      <c r="F22" s="133" t="s">
        <v>295</v>
      </c>
      <c r="G22" s="143">
        <v>31120</v>
      </c>
      <c r="H22" s="143" t="s">
        <v>592</v>
      </c>
      <c r="I22" s="143" t="s">
        <v>548</v>
      </c>
      <c r="J22" s="143" t="s">
        <v>551</v>
      </c>
      <c r="K22" s="144" t="s">
        <v>160</v>
      </c>
    </row>
    <row r="23" spans="2:11" s="16" customFormat="1" ht="156" x14ac:dyDescent="0.25">
      <c r="B23" s="135" t="s">
        <v>593</v>
      </c>
      <c r="C23" s="142" t="s">
        <v>118</v>
      </c>
      <c r="D23" s="143" t="s">
        <v>594</v>
      </c>
      <c r="E23" s="135" t="s">
        <v>292</v>
      </c>
      <c r="F23" s="133" t="s">
        <v>295</v>
      </c>
      <c r="G23" s="143">
        <v>31120</v>
      </c>
      <c r="H23" s="143" t="s">
        <v>595</v>
      </c>
      <c r="I23" s="143" t="s">
        <v>547</v>
      </c>
      <c r="J23" s="143" t="s">
        <v>551</v>
      </c>
      <c r="K23" s="144" t="s">
        <v>160</v>
      </c>
    </row>
    <row r="24" spans="2:11" s="16" customFormat="1" ht="80.25" customHeight="1" x14ac:dyDescent="0.25">
      <c r="B24" s="133" t="s">
        <v>596</v>
      </c>
      <c r="C24" s="142" t="s">
        <v>117</v>
      </c>
      <c r="D24" s="143" t="s">
        <v>597</v>
      </c>
      <c r="E24" s="135" t="s">
        <v>293</v>
      </c>
      <c r="F24" s="133" t="s">
        <v>333</v>
      </c>
      <c r="G24" s="143">
        <v>11320</v>
      </c>
      <c r="H24" s="143" t="s">
        <v>628</v>
      </c>
      <c r="I24" s="143" t="s">
        <v>547</v>
      </c>
      <c r="J24" s="143" t="s">
        <v>551</v>
      </c>
      <c r="K24" s="144" t="s">
        <v>160</v>
      </c>
    </row>
    <row r="25" spans="2:11" s="16" customFormat="1" ht="25.5" customHeight="1" x14ac:dyDescent="0.25">
      <c r="B25" s="133"/>
      <c r="C25" s="142"/>
      <c r="D25" s="143"/>
      <c r="E25" s="135"/>
      <c r="F25" s="133"/>
      <c r="G25" s="143"/>
      <c r="H25" s="143"/>
      <c r="I25" s="143"/>
      <c r="J25" s="143"/>
      <c r="K25" s="143"/>
    </row>
    <row r="26" spans="2:11" s="16" customFormat="1" ht="25.5" customHeight="1" x14ac:dyDescent="0.25">
      <c r="B26" s="150" t="s">
        <v>556</v>
      </c>
      <c r="C26" s="142"/>
      <c r="D26" s="143"/>
      <c r="E26" s="135"/>
      <c r="F26" s="133"/>
      <c r="G26" s="143"/>
      <c r="H26" s="143"/>
      <c r="I26" s="143"/>
      <c r="J26" s="143"/>
      <c r="K26" s="143"/>
    </row>
    <row r="27" spans="2:11" s="16" customFormat="1" ht="25.5" customHeight="1" x14ac:dyDescent="0.25">
      <c r="B27" s="82"/>
      <c r="C27" s="83"/>
      <c r="D27" s="79"/>
      <c r="E27" s="84"/>
      <c r="F27" s="82"/>
      <c r="G27" s="79"/>
      <c r="H27" s="79"/>
      <c r="I27" s="79"/>
      <c r="J27" s="79"/>
      <c r="K27" s="79"/>
    </row>
    <row r="28" spans="2:11" s="16" customFormat="1" ht="25.5" customHeight="1" x14ac:dyDescent="0.25">
      <c r="B28" s="82"/>
      <c r="C28" s="83"/>
      <c r="D28" s="79"/>
      <c r="E28" s="84"/>
      <c r="F28" s="82"/>
      <c r="G28" s="79"/>
      <c r="H28" s="79"/>
      <c r="I28" s="79"/>
      <c r="J28" s="79"/>
      <c r="K28" s="79"/>
    </row>
    <row r="29" spans="2:11" s="16" customFormat="1" ht="25.5" customHeight="1" x14ac:dyDescent="0.25">
      <c r="B29" s="82"/>
      <c r="C29" s="83"/>
      <c r="D29" s="79"/>
      <c r="E29" s="84"/>
      <c r="F29" s="82"/>
      <c r="G29" s="79"/>
      <c r="H29" s="79"/>
      <c r="I29" s="79"/>
      <c r="J29" s="79"/>
      <c r="K29" s="79"/>
    </row>
    <row r="30" spans="2:11" s="16" customFormat="1" ht="25.5" customHeight="1" x14ac:dyDescent="0.25">
      <c r="B30" s="82"/>
      <c r="C30" s="83"/>
      <c r="D30" s="79"/>
      <c r="E30" s="84"/>
      <c r="F30" s="82"/>
      <c r="G30" s="79"/>
      <c r="H30" s="79"/>
      <c r="I30" s="79"/>
      <c r="J30" s="79"/>
      <c r="K30" s="79"/>
    </row>
    <row r="31" spans="2:11" s="16" customFormat="1" ht="25.5" customHeight="1" x14ac:dyDescent="0.25">
      <c r="B31" s="82"/>
      <c r="C31" s="83"/>
      <c r="D31" s="79"/>
      <c r="E31" s="84"/>
      <c r="F31" s="82"/>
      <c r="G31" s="79"/>
      <c r="H31" s="79"/>
      <c r="I31" s="79"/>
      <c r="J31" s="79"/>
      <c r="K31" s="79"/>
    </row>
    <row r="32" spans="2:11" s="16" customFormat="1" ht="25.5" customHeight="1" x14ac:dyDescent="0.25">
      <c r="B32" s="82"/>
      <c r="C32" s="83"/>
      <c r="D32" s="79"/>
      <c r="E32" s="84"/>
      <c r="F32" s="82"/>
      <c r="G32" s="79"/>
      <c r="H32" s="79"/>
      <c r="I32" s="79"/>
      <c r="J32" s="79"/>
      <c r="K32" s="79"/>
    </row>
    <row r="33" spans="2:11" s="16" customFormat="1" ht="25.5" customHeight="1" x14ac:dyDescent="0.25">
      <c r="B33" s="82"/>
      <c r="C33" s="83"/>
      <c r="D33" s="79"/>
      <c r="E33" s="84"/>
      <c r="F33" s="82"/>
      <c r="G33" s="79"/>
      <c r="H33" s="79"/>
      <c r="I33" s="79"/>
      <c r="J33" s="79"/>
      <c r="K33" s="79"/>
    </row>
    <row r="34" spans="2:11" s="16" customFormat="1" ht="25.5" customHeight="1" x14ac:dyDescent="0.25">
      <c r="B34" s="82"/>
      <c r="C34" s="83"/>
      <c r="D34" s="79"/>
      <c r="E34" s="84"/>
      <c r="F34" s="82"/>
      <c r="G34" s="79"/>
      <c r="H34" s="79"/>
      <c r="I34" s="79"/>
      <c r="J34" s="79"/>
      <c r="K34" s="79"/>
    </row>
    <row r="35" spans="2:11" s="16" customFormat="1" ht="25.5" customHeight="1" x14ac:dyDescent="0.25">
      <c r="B35" s="82"/>
      <c r="C35" s="83"/>
      <c r="D35" s="79"/>
      <c r="E35" s="84"/>
      <c r="F35" s="82"/>
      <c r="G35" s="79"/>
      <c r="H35" s="79"/>
      <c r="I35" s="79"/>
      <c r="J35" s="79"/>
      <c r="K35" s="79"/>
    </row>
    <row r="36" spans="2:11" s="16" customFormat="1" ht="25.5" customHeight="1" x14ac:dyDescent="0.25">
      <c r="B36" s="82"/>
      <c r="C36" s="83"/>
      <c r="D36" s="79"/>
      <c r="E36" s="84"/>
      <c r="F36" s="82"/>
      <c r="G36" s="79"/>
      <c r="H36" s="79"/>
      <c r="I36" s="79"/>
      <c r="J36" s="79"/>
      <c r="K36" s="79"/>
    </row>
    <row r="37" spans="2:11" s="16" customFormat="1" ht="25.5" customHeight="1" x14ac:dyDescent="0.25">
      <c r="B37" s="82"/>
      <c r="C37" s="83"/>
      <c r="D37" s="79"/>
      <c r="E37" s="84"/>
      <c r="F37" s="82"/>
      <c r="G37" s="79"/>
      <c r="H37" s="79"/>
      <c r="I37" s="79"/>
      <c r="J37" s="79"/>
      <c r="K37" s="79"/>
    </row>
    <row r="38" spans="2:11" s="16" customFormat="1" ht="25.5" customHeight="1" x14ac:dyDescent="0.25">
      <c r="B38" s="82"/>
      <c r="C38" s="83"/>
      <c r="D38" s="79"/>
      <c r="E38" s="84"/>
      <c r="F38" s="82"/>
      <c r="G38" s="79"/>
      <c r="H38" s="79"/>
      <c r="I38" s="79"/>
      <c r="J38" s="79"/>
      <c r="K38" s="79"/>
    </row>
    <row r="39" spans="2:11" s="16" customFormat="1" ht="25.5" customHeight="1" x14ac:dyDescent="0.25">
      <c r="B39" s="82"/>
      <c r="C39" s="83"/>
      <c r="D39" s="79"/>
      <c r="E39" s="84"/>
      <c r="F39" s="82"/>
      <c r="G39" s="79"/>
      <c r="H39" s="79"/>
      <c r="I39" s="79"/>
      <c r="J39" s="79"/>
      <c r="K39" s="79"/>
    </row>
    <row r="40" spans="2:11" s="16" customFormat="1" ht="25.5" customHeight="1" x14ac:dyDescent="0.25">
      <c r="B40" s="82"/>
      <c r="C40" s="83"/>
      <c r="D40" s="79"/>
      <c r="E40" s="84"/>
      <c r="F40" s="82"/>
      <c r="G40" s="79"/>
      <c r="H40" s="79"/>
      <c r="I40" s="79"/>
      <c r="J40" s="79"/>
      <c r="K40" s="79"/>
    </row>
    <row r="41" spans="2:11" s="16" customFormat="1" ht="25.5" customHeight="1" x14ac:dyDescent="0.25">
      <c r="B41" s="82"/>
      <c r="C41" s="83"/>
      <c r="D41" s="79"/>
      <c r="E41" s="84"/>
      <c r="F41" s="82"/>
      <c r="G41" s="79"/>
      <c r="H41" s="79"/>
      <c r="I41" s="79"/>
      <c r="J41" s="79"/>
      <c r="K41" s="79"/>
    </row>
    <row r="42" spans="2:11" s="16" customFormat="1" ht="25.5" customHeight="1" x14ac:dyDescent="0.25">
      <c r="B42" s="82"/>
      <c r="C42" s="83"/>
      <c r="D42" s="79"/>
      <c r="E42" s="84"/>
      <c r="F42" s="82"/>
      <c r="G42" s="79"/>
      <c r="H42" s="79"/>
      <c r="I42" s="79"/>
      <c r="J42" s="79"/>
      <c r="K42" s="79"/>
    </row>
    <row r="43" spans="2:11" s="16" customFormat="1" ht="25.5" customHeight="1" x14ac:dyDescent="0.25">
      <c r="B43" s="82"/>
      <c r="C43" s="83"/>
      <c r="D43" s="79"/>
      <c r="E43" s="84"/>
      <c r="F43" s="82"/>
      <c r="G43" s="79"/>
      <c r="H43" s="79"/>
      <c r="I43" s="79"/>
      <c r="J43" s="79"/>
      <c r="K43" s="79"/>
    </row>
    <row r="44" spans="2:11" s="16" customFormat="1" ht="25.5" customHeight="1" x14ac:dyDescent="0.25">
      <c r="B44" s="82"/>
      <c r="C44" s="83"/>
      <c r="D44" s="79"/>
      <c r="E44" s="84"/>
      <c r="F44" s="82"/>
      <c r="G44" s="79"/>
      <c r="H44" s="79"/>
      <c r="I44" s="79"/>
      <c r="J44" s="79"/>
      <c r="K44" s="79"/>
    </row>
    <row r="45" spans="2:11" s="16" customFormat="1" ht="25.5" customHeight="1" x14ac:dyDescent="0.25">
      <c r="B45" s="82"/>
      <c r="C45" s="83"/>
      <c r="D45" s="79"/>
      <c r="E45" s="84"/>
      <c r="F45" s="82"/>
      <c r="G45" s="79"/>
      <c r="H45" s="79"/>
      <c r="I45" s="79"/>
      <c r="J45" s="79"/>
      <c r="K45" s="79"/>
    </row>
    <row r="46" spans="2:11" s="16" customFormat="1" ht="25.5" customHeight="1" x14ac:dyDescent="0.25">
      <c r="B46" s="82"/>
      <c r="C46" s="83"/>
      <c r="D46" s="79"/>
      <c r="E46" s="84"/>
      <c r="F46" s="82"/>
      <c r="G46" s="79"/>
      <c r="H46" s="79"/>
      <c r="I46" s="79"/>
      <c r="J46" s="79"/>
      <c r="K46" s="79"/>
    </row>
    <row r="47" spans="2:11" s="16" customFormat="1" ht="25.5" customHeight="1" x14ac:dyDescent="0.25">
      <c r="B47" s="82"/>
      <c r="C47" s="83"/>
      <c r="D47" s="79"/>
      <c r="E47" s="84"/>
      <c r="F47" s="82"/>
      <c r="G47" s="79"/>
      <c r="H47" s="79"/>
      <c r="I47" s="79"/>
      <c r="J47" s="79"/>
      <c r="K47" s="79"/>
    </row>
    <row r="48" spans="2:11" s="16" customFormat="1" ht="25.5" customHeight="1" x14ac:dyDescent="0.25">
      <c r="B48" s="82"/>
      <c r="C48" s="83"/>
      <c r="D48" s="79"/>
      <c r="E48" s="84"/>
      <c r="F48" s="82"/>
      <c r="G48" s="79"/>
      <c r="H48" s="79"/>
      <c r="I48" s="79"/>
      <c r="J48" s="79"/>
      <c r="K48" s="79"/>
    </row>
    <row r="49" spans="2:11" s="16" customFormat="1" ht="25.5" customHeight="1" x14ac:dyDescent="0.25">
      <c r="B49" s="82"/>
      <c r="C49" s="83"/>
      <c r="D49" s="79"/>
      <c r="E49" s="84"/>
      <c r="F49" s="82"/>
      <c r="G49" s="79"/>
      <c r="H49" s="79"/>
      <c r="I49" s="79"/>
      <c r="J49" s="79"/>
      <c r="K49" s="79"/>
    </row>
    <row r="50" spans="2:11" s="16" customFormat="1" ht="25.5" customHeight="1" x14ac:dyDescent="0.25">
      <c r="B50" s="82"/>
      <c r="C50" s="83"/>
      <c r="D50" s="79"/>
      <c r="E50" s="84"/>
      <c r="F50" s="82"/>
      <c r="G50" s="79"/>
      <c r="H50" s="79"/>
      <c r="I50" s="79"/>
      <c r="J50" s="79"/>
      <c r="K50" s="79"/>
    </row>
    <row r="51" spans="2:11" s="16" customFormat="1" ht="25.5" customHeight="1" x14ac:dyDescent="0.25">
      <c r="B51" s="82"/>
      <c r="C51" s="83"/>
      <c r="D51" s="79"/>
      <c r="E51" s="84"/>
      <c r="F51" s="82"/>
      <c r="G51" s="79"/>
      <c r="H51" s="79"/>
      <c r="I51" s="79"/>
      <c r="J51" s="79"/>
      <c r="K51" s="79"/>
    </row>
    <row r="52" spans="2:11" s="16" customFormat="1" ht="25.5" customHeight="1" x14ac:dyDescent="0.25">
      <c r="B52" s="82"/>
      <c r="C52" s="83"/>
      <c r="D52" s="79"/>
      <c r="E52" s="84"/>
      <c r="F52" s="82"/>
      <c r="G52" s="79"/>
      <c r="H52" s="79"/>
      <c r="I52" s="79"/>
      <c r="J52" s="79"/>
      <c r="K52" s="79"/>
    </row>
    <row r="53" spans="2:11" s="16" customFormat="1" ht="25.5" customHeight="1" x14ac:dyDescent="0.25">
      <c r="B53" s="82"/>
      <c r="C53" s="83"/>
      <c r="D53" s="79"/>
      <c r="E53" s="84"/>
      <c r="F53" s="82"/>
      <c r="G53" s="79"/>
      <c r="H53" s="79"/>
      <c r="I53" s="79"/>
      <c r="J53" s="79"/>
      <c r="K53" s="79"/>
    </row>
    <row r="54" spans="2:11" s="16" customFormat="1" ht="25.5" customHeight="1" x14ac:dyDescent="0.25">
      <c r="B54" s="82"/>
      <c r="C54" s="83"/>
      <c r="D54" s="79"/>
      <c r="E54" s="84"/>
      <c r="F54" s="82"/>
      <c r="G54" s="79"/>
      <c r="H54" s="79"/>
      <c r="I54" s="79"/>
      <c r="J54" s="79"/>
      <c r="K54" s="79"/>
    </row>
    <row r="55" spans="2:11" s="16" customFormat="1" ht="25.5" customHeight="1" x14ac:dyDescent="0.25">
      <c r="B55" s="82"/>
      <c r="C55" s="83"/>
      <c r="D55" s="79"/>
      <c r="E55" s="84"/>
      <c r="F55" s="82"/>
      <c r="G55" s="79"/>
      <c r="H55" s="79"/>
      <c r="I55" s="79"/>
      <c r="J55" s="79"/>
      <c r="K55" s="79"/>
    </row>
    <row r="56" spans="2:11" s="16" customFormat="1" ht="25.5" customHeight="1" x14ac:dyDescent="0.25">
      <c r="B56" s="82"/>
      <c r="C56" s="83"/>
      <c r="D56" s="79"/>
      <c r="E56" s="84"/>
      <c r="F56" s="82"/>
      <c r="G56" s="79"/>
      <c r="H56" s="79"/>
      <c r="I56" s="79"/>
      <c r="J56" s="79"/>
      <c r="K56" s="79"/>
    </row>
    <row r="57" spans="2:11" s="16" customFormat="1" ht="25.5" customHeight="1" x14ac:dyDescent="0.25">
      <c r="B57" s="82"/>
      <c r="C57" s="83"/>
      <c r="D57" s="79"/>
      <c r="E57" s="84"/>
      <c r="F57" s="82"/>
      <c r="G57" s="79"/>
      <c r="H57" s="79"/>
      <c r="I57" s="79"/>
      <c r="J57" s="79"/>
      <c r="K57" s="79"/>
    </row>
    <row r="58" spans="2:11" s="16" customFormat="1" ht="25.5" customHeight="1" x14ac:dyDescent="0.25">
      <c r="B58" s="82"/>
      <c r="C58" s="83"/>
      <c r="D58" s="79"/>
      <c r="E58" s="84"/>
      <c r="F58" s="82"/>
      <c r="G58" s="79"/>
      <c r="H58" s="79"/>
      <c r="I58" s="79"/>
      <c r="J58" s="79"/>
      <c r="K58" s="79"/>
    </row>
    <row r="59" spans="2:11" s="16" customFormat="1" ht="25.5" customHeight="1" x14ac:dyDescent="0.25">
      <c r="B59" s="82"/>
      <c r="C59" s="83"/>
      <c r="D59" s="79"/>
      <c r="E59" s="84"/>
      <c r="F59" s="82"/>
      <c r="G59" s="79"/>
      <c r="H59" s="79"/>
      <c r="I59" s="79"/>
      <c r="J59" s="79"/>
      <c r="K59" s="79"/>
    </row>
    <row r="60" spans="2:11" s="16" customFormat="1" ht="25.5" customHeight="1" x14ac:dyDescent="0.25">
      <c r="B60" s="82"/>
      <c r="C60" s="83"/>
      <c r="D60" s="79"/>
      <c r="E60" s="84"/>
      <c r="F60" s="82"/>
      <c r="G60" s="79"/>
      <c r="H60" s="79"/>
      <c r="I60" s="79"/>
      <c r="J60" s="79"/>
      <c r="K60" s="79"/>
    </row>
    <row r="61" spans="2:11" s="16" customFormat="1" ht="25.5" customHeight="1" x14ac:dyDescent="0.25">
      <c r="B61" s="82"/>
      <c r="C61" s="83"/>
      <c r="D61" s="79"/>
      <c r="E61" s="84"/>
      <c r="F61" s="82"/>
      <c r="G61" s="79"/>
      <c r="H61" s="79"/>
      <c r="I61" s="79"/>
      <c r="J61" s="79"/>
      <c r="K61" s="79"/>
    </row>
    <row r="62" spans="2:11" s="16" customFormat="1" ht="25.5" customHeight="1" x14ac:dyDescent="0.25">
      <c r="B62" s="82"/>
      <c r="C62" s="83"/>
      <c r="D62" s="79"/>
      <c r="E62" s="84"/>
      <c r="F62" s="82"/>
      <c r="G62" s="79"/>
      <c r="H62" s="79"/>
      <c r="I62" s="79"/>
      <c r="J62" s="79"/>
      <c r="K62" s="79"/>
    </row>
    <row r="63" spans="2:11" s="16" customFormat="1" ht="25.5" customHeight="1" x14ac:dyDescent="0.25">
      <c r="B63" s="82"/>
      <c r="C63" s="83"/>
      <c r="D63" s="79"/>
      <c r="E63" s="84"/>
      <c r="F63" s="82"/>
      <c r="G63" s="79"/>
      <c r="H63" s="79"/>
      <c r="I63" s="79"/>
      <c r="J63" s="79"/>
      <c r="K63" s="79"/>
    </row>
    <row r="64" spans="2:11" s="16" customFormat="1" ht="25.5" customHeight="1" x14ac:dyDescent="0.25">
      <c r="B64" s="82"/>
      <c r="C64" s="83"/>
      <c r="D64" s="79"/>
      <c r="E64" s="84"/>
      <c r="F64" s="82"/>
      <c r="G64" s="79"/>
      <c r="H64" s="79"/>
      <c r="I64" s="79"/>
      <c r="J64" s="79"/>
      <c r="K64" s="79"/>
    </row>
    <row r="65" spans="2:11" s="16" customFormat="1" ht="25.5" customHeight="1" x14ac:dyDescent="0.25">
      <c r="B65" s="82"/>
      <c r="C65" s="83"/>
      <c r="D65" s="79"/>
      <c r="E65" s="84"/>
      <c r="F65" s="82"/>
      <c r="G65" s="79"/>
      <c r="H65" s="79"/>
      <c r="I65" s="79"/>
      <c r="J65" s="79"/>
      <c r="K65" s="79"/>
    </row>
    <row r="66" spans="2:11" s="16" customFormat="1" ht="25.5" customHeight="1" x14ac:dyDescent="0.25">
      <c r="B66" s="82"/>
      <c r="C66" s="83"/>
      <c r="D66" s="79"/>
      <c r="E66" s="84"/>
      <c r="F66" s="82"/>
      <c r="G66" s="79"/>
      <c r="H66" s="79"/>
      <c r="I66" s="79"/>
      <c r="J66" s="79"/>
      <c r="K66" s="79"/>
    </row>
    <row r="67" spans="2:11" s="16" customFormat="1" ht="25.5" customHeight="1" x14ac:dyDescent="0.25">
      <c r="B67" s="82"/>
      <c r="C67" s="83"/>
      <c r="D67" s="79"/>
      <c r="E67" s="84"/>
      <c r="F67" s="82"/>
      <c r="G67" s="79"/>
      <c r="H67" s="79"/>
      <c r="I67" s="79"/>
      <c r="J67" s="79"/>
      <c r="K67" s="79"/>
    </row>
    <row r="68" spans="2:11" s="16" customFormat="1" ht="25.5" customHeight="1" x14ac:dyDescent="0.25">
      <c r="B68" s="82"/>
      <c r="C68" s="83"/>
      <c r="D68" s="79"/>
      <c r="E68" s="84"/>
      <c r="F68" s="82"/>
      <c r="G68" s="79"/>
      <c r="H68" s="79"/>
      <c r="I68" s="79"/>
      <c r="J68" s="79"/>
      <c r="K68" s="79"/>
    </row>
    <row r="69" spans="2:11" s="16" customFormat="1" ht="25.5" customHeight="1" x14ac:dyDescent="0.25">
      <c r="B69" s="82"/>
      <c r="C69" s="83"/>
      <c r="D69" s="79"/>
      <c r="E69" s="84"/>
      <c r="F69" s="82"/>
      <c r="G69" s="79"/>
      <c r="H69" s="79"/>
      <c r="I69" s="79"/>
      <c r="J69" s="79"/>
      <c r="K69" s="79"/>
    </row>
    <row r="70" spans="2:11" s="16" customFormat="1" ht="25.5" customHeight="1" x14ac:dyDescent="0.25">
      <c r="B70" s="82"/>
      <c r="C70" s="83"/>
      <c r="D70" s="79"/>
      <c r="E70" s="84"/>
      <c r="F70" s="82"/>
      <c r="G70" s="79"/>
      <c r="H70" s="79"/>
      <c r="I70" s="79"/>
      <c r="J70" s="79"/>
      <c r="K70" s="79"/>
    </row>
    <row r="71" spans="2:11" s="16" customFormat="1" ht="25.5" customHeight="1" x14ac:dyDescent="0.25">
      <c r="B71" s="82"/>
      <c r="C71" s="83"/>
      <c r="D71" s="79"/>
      <c r="E71" s="84"/>
      <c r="F71" s="82"/>
      <c r="G71" s="79"/>
      <c r="H71" s="79"/>
      <c r="I71" s="79"/>
      <c r="J71" s="79"/>
      <c r="K71" s="79"/>
    </row>
    <row r="72" spans="2:11" s="16" customFormat="1" ht="25.5" customHeight="1" x14ac:dyDescent="0.25">
      <c r="B72" s="82"/>
      <c r="C72" s="83"/>
      <c r="D72" s="79"/>
      <c r="E72" s="84"/>
      <c r="F72" s="82"/>
      <c r="G72" s="79"/>
      <c r="H72" s="79"/>
      <c r="I72" s="79"/>
      <c r="J72" s="79"/>
      <c r="K72" s="79"/>
    </row>
    <row r="73" spans="2:11" s="16" customFormat="1" ht="25.5" customHeight="1" x14ac:dyDescent="0.25">
      <c r="B73" s="82"/>
      <c r="C73" s="83"/>
      <c r="D73" s="79"/>
      <c r="E73" s="84"/>
      <c r="F73" s="82"/>
      <c r="G73" s="79"/>
      <c r="H73" s="79"/>
      <c r="I73" s="79"/>
      <c r="J73" s="79"/>
      <c r="K73" s="79"/>
    </row>
    <row r="74" spans="2:11" s="16" customFormat="1" ht="25.5" customHeight="1" x14ac:dyDescent="0.25">
      <c r="B74" s="82"/>
      <c r="C74" s="83"/>
      <c r="D74" s="79"/>
      <c r="E74" s="84"/>
      <c r="F74" s="82"/>
      <c r="G74" s="79"/>
      <c r="H74" s="79"/>
      <c r="I74" s="79"/>
      <c r="J74" s="79"/>
      <c r="K74" s="79"/>
    </row>
    <row r="75" spans="2:11" s="16" customFormat="1" ht="25.5" customHeight="1" x14ac:dyDescent="0.25">
      <c r="B75" s="82"/>
      <c r="C75" s="83"/>
      <c r="D75" s="79"/>
      <c r="E75" s="84"/>
      <c r="F75" s="82"/>
      <c r="G75" s="79"/>
      <c r="H75" s="79"/>
      <c r="I75" s="79"/>
      <c r="J75" s="79"/>
      <c r="K75" s="79"/>
    </row>
    <row r="76" spans="2:11" s="16" customFormat="1" ht="25.5" customHeight="1" x14ac:dyDescent="0.25">
      <c r="B76" s="82"/>
      <c r="C76" s="83"/>
      <c r="D76" s="79"/>
      <c r="E76" s="84"/>
      <c r="F76" s="82"/>
      <c r="G76" s="79"/>
      <c r="H76" s="79"/>
      <c r="I76" s="79"/>
      <c r="J76" s="79"/>
      <c r="K76" s="79"/>
    </row>
    <row r="77" spans="2:11" s="16" customFormat="1" ht="25.5" customHeight="1" x14ac:dyDescent="0.25">
      <c r="B77" s="82"/>
      <c r="C77" s="83"/>
      <c r="D77" s="79"/>
      <c r="E77" s="84"/>
      <c r="F77" s="82"/>
      <c r="G77" s="79"/>
      <c r="H77" s="79"/>
      <c r="I77" s="79"/>
      <c r="J77" s="79"/>
      <c r="K77" s="79"/>
    </row>
    <row r="78" spans="2:11" s="16" customFormat="1" ht="25.5" customHeight="1" x14ac:dyDescent="0.25">
      <c r="B78" s="82"/>
      <c r="C78" s="83"/>
      <c r="D78" s="79"/>
      <c r="E78" s="84"/>
      <c r="F78" s="82"/>
      <c r="G78" s="79"/>
      <c r="H78" s="79"/>
      <c r="I78" s="79"/>
      <c r="J78" s="79"/>
      <c r="K78" s="79"/>
    </row>
    <row r="79" spans="2:11" s="16" customFormat="1" ht="25.5" customHeight="1" x14ac:dyDescent="0.25">
      <c r="B79" s="82"/>
      <c r="C79" s="83"/>
      <c r="D79" s="79"/>
      <c r="E79" s="84"/>
      <c r="F79" s="82"/>
      <c r="G79" s="79"/>
      <c r="H79" s="79"/>
      <c r="I79" s="79"/>
      <c r="J79" s="79"/>
      <c r="K79" s="79"/>
    </row>
    <row r="80" spans="2:11" s="16" customFormat="1" ht="25.5" customHeight="1" x14ac:dyDescent="0.25">
      <c r="B80" s="82"/>
      <c r="C80" s="83"/>
      <c r="D80" s="79"/>
      <c r="E80" s="84"/>
      <c r="F80" s="82"/>
      <c r="G80" s="79"/>
      <c r="H80" s="79"/>
      <c r="I80" s="79"/>
      <c r="J80" s="79"/>
      <c r="K80" s="79"/>
    </row>
    <row r="81" spans="2:11" s="16" customFormat="1" ht="25.5" customHeight="1" x14ac:dyDescent="0.25">
      <c r="B81" s="82"/>
      <c r="C81" s="83"/>
      <c r="D81" s="79"/>
      <c r="E81" s="84"/>
      <c r="F81" s="82"/>
      <c r="G81" s="79"/>
      <c r="H81" s="79"/>
      <c r="I81" s="79"/>
      <c r="J81" s="79"/>
      <c r="K81" s="79"/>
    </row>
    <row r="82" spans="2:11" s="16" customFormat="1" ht="25.5" customHeight="1" x14ac:dyDescent="0.25">
      <c r="B82" s="82"/>
      <c r="C82" s="83"/>
      <c r="D82" s="79"/>
      <c r="E82" s="84"/>
      <c r="F82" s="82"/>
      <c r="G82" s="79"/>
      <c r="H82" s="79"/>
      <c r="I82" s="79"/>
      <c r="J82" s="79"/>
      <c r="K82" s="79"/>
    </row>
    <row r="83" spans="2:11" s="16" customFormat="1" ht="25.5" customHeight="1" x14ac:dyDescent="0.25">
      <c r="B83" s="82"/>
      <c r="C83" s="83"/>
      <c r="D83" s="79"/>
      <c r="E83" s="84"/>
      <c r="F83" s="82"/>
      <c r="G83" s="79"/>
      <c r="H83" s="79"/>
      <c r="I83" s="79"/>
      <c r="J83" s="79"/>
      <c r="K83" s="79"/>
    </row>
    <row r="84" spans="2:11" s="16" customFormat="1" ht="25.5" customHeight="1" x14ac:dyDescent="0.25">
      <c r="B84" s="82"/>
      <c r="C84" s="83"/>
      <c r="D84" s="79"/>
      <c r="E84" s="84"/>
      <c r="F84" s="82"/>
      <c r="G84" s="79"/>
      <c r="H84" s="79"/>
      <c r="I84" s="79"/>
      <c r="J84" s="79"/>
      <c r="K84" s="79"/>
    </row>
    <row r="85" spans="2:11" s="16" customFormat="1" ht="25.5" customHeight="1" x14ac:dyDescent="0.25">
      <c r="B85" s="82"/>
      <c r="C85" s="83"/>
      <c r="D85" s="79"/>
      <c r="E85" s="84"/>
      <c r="F85" s="82"/>
      <c r="G85" s="79"/>
      <c r="H85" s="79"/>
      <c r="I85" s="79"/>
      <c r="J85" s="79"/>
      <c r="K85" s="79"/>
    </row>
    <row r="86" spans="2:11" s="16" customFormat="1" ht="25.5" customHeight="1" x14ac:dyDescent="0.25">
      <c r="B86" s="82"/>
      <c r="C86" s="83"/>
      <c r="D86" s="79"/>
      <c r="E86" s="84"/>
      <c r="F86" s="82"/>
      <c r="G86" s="79"/>
      <c r="H86" s="79"/>
      <c r="I86" s="79"/>
      <c r="J86" s="79"/>
      <c r="K86" s="79"/>
    </row>
    <row r="87" spans="2:11" s="16" customFormat="1" ht="25.5" customHeight="1" x14ac:dyDescent="0.25">
      <c r="B87" s="82"/>
      <c r="C87" s="83"/>
      <c r="D87" s="79"/>
      <c r="E87" s="84"/>
      <c r="F87" s="82"/>
      <c r="G87" s="79"/>
      <c r="H87" s="79"/>
      <c r="I87" s="79"/>
      <c r="J87" s="79"/>
      <c r="K87" s="79"/>
    </row>
    <row r="88" spans="2:11" s="16" customFormat="1" ht="25.5" customHeight="1" x14ac:dyDescent="0.25">
      <c r="B88" s="82"/>
      <c r="C88" s="83"/>
      <c r="D88" s="79"/>
      <c r="E88" s="84"/>
      <c r="F88" s="82"/>
      <c r="G88" s="79"/>
      <c r="H88" s="79"/>
      <c r="I88" s="79"/>
      <c r="J88" s="79"/>
      <c r="K88" s="79"/>
    </row>
    <row r="89" spans="2:11" s="16" customFormat="1" ht="25.5" customHeight="1" x14ac:dyDescent="0.25">
      <c r="B89" s="82"/>
      <c r="C89" s="83"/>
      <c r="D89" s="79"/>
      <c r="E89" s="84"/>
      <c r="F89" s="82"/>
      <c r="G89" s="79"/>
      <c r="H89" s="79"/>
      <c r="I89" s="79"/>
      <c r="J89" s="79"/>
      <c r="K89" s="79"/>
    </row>
    <row r="90" spans="2:11" s="16" customFormat="1" ht="25.5" customHeight="1" x14ac:dyDescent="0.25">
      <c r="B90" s="82"/>
      <c r="C90" s="83"/>
      <c r="D90" s="79"/>
      <c r="E90" s="84"/>
      <c r="F90" s="82"/>
      <c r="G90" s="79"/>
      <c r="H90" s="79"/>
      <c r="I90" s="79"/>
      <c r="J90" s="79"/>
      <c r="K90" s="79"/>
    </row>
    <row r="91" spans="2:11" s="16" customFormat="1" ht="25.5" customHeight="1" x14ac:dyDescent="0.25">
      <c r="B91" s="82"/>
      <c r="C91" s="83"/>
      <c r="D91" s="79"/>
      <c r="E91" s="84"/>
      <c r="F91" s="82"/>
      <c r="G91" s="79"/>
      <c r="H91" s="79"/>
      <c r="I91" s="79"/>
      <c r="J91" s="79"/>
      <c r="K91" s="79"/>
    </row>
    <row r="92" spans="2:11" s="16" customFormat="1" ht="25.5" customHeight="1" x14ac:dyDescent="0.25">
      <c r="B92" s="82"/>
      <c r="C92" s="83"/>
      <c r="D92" s="79"/>
      <c r="E92" s="84"/>
      <c r="F92" s="82"/>
      <c r="G92" s="79"/>
      <c r="H92" s="79"/>
      <c r="I92" s="79"/>
      <c r="J92" s="79"/>
      <c r="K92" s="79"/>
    </row>
    <row r="93" spans="2:11" s="16" customFormat="1" ht="25.5" customHeight="1" x14ac:dyDescent="0.25">
      <c r="B93" s="82"/>
      <c r="C93" s="83"/>
      <c r="D93" s="79"/>
      <c r="E93" s="84"/>
      <c r="F93" s="82"/>
      <c r="G93" s="79"/>
      <c r="H93" s="79"/>
      <c r="I93" s="79"/>
      <c r="J93" s="79"/>
      <c r="K93" s="79"/>
    </row>
    <row r="94" spans="2:11" s="16" customFormat="1" ht="25.5" customHeight="1" x14ac:dyDescent="0.25">
      <c r="B94" s="82"/>
      <c r="C94" s="83"/>
      <c r="D94" s="79"/>
      <c r="E94" s="84"/>
      <c r="F94" s="82"/>
      <c r="G94" s="79"/>
      <c r="H94" s="79"/>
      <c r="I94" s="79"/>
      <c r="J94" s="79"/>
      <c r="K94" s="79"/>
    </row>
    <row r="95" spans="2:11" s="16" customFormat="1" ht="25.5" customHeight="1" x14ac:dyDescent="0.25">
      <c r="B95" s="82"/>
      <c r="C95" s="83"/>
      <c r="D95" s="79"/>
      <c r="E95" s="84"/>
      <c r="F95" s="82"/>
      <c r="G95" s="79"/>
      <c r="H95" s="79"/>
      <c r="I95" s="79"/>
      <c r="J95" s="79"/>
      <c r="K95" s="79"/>
    </row>
    <row r="96" spans="2:11" s="16" customFormat="1" ht="25.5" customHeight="1" x14ac:dyDescent="0.25">
      <c r="B96" s="82"/>
      <c r="C96" s="83"/>
      <c r="D96" s="79"/>
      <c r="E96" s="84"/>
      <c r="F96" s="82"/>
      <c r="G96" s="79"/>
      <c r="H96" s="79"/>
      <c r="I96" s="79"/>
      <c r="J96" s="79"/>
      <c r="K96" s="79"/>
    </row>
    <row r="97" spans="2:11" s="16" customFormat="1" ht="25.5" customHeight="1" x14ac:dyDescent="0.25">
      <c r="B97" s="82"/>
      <c r="C97" s="83"/>
      <c r="D97" s="79"/>
      <c r="E97" s="84"/>
      <c r="F97" s="82"/>
      <c r="G97" s="79"/>
      <c r="H97" s="79"/>
      <c r="I97" s="79"/>
      <c r="J97" s="79"/>
      <c r="K97" s="79"/>
    </row>
    <row r="98" spans="2:11" s="16" customFormat="1" ht="25.5" customHeight="1" x14ac:dyDescent="0.25">
      <c r="B98" s="82"/>
      <c r="C98" s="83"/>
      <c r="D98" s="79"/>
      <c r="E98" s="84"/>
      <c r="F98" s="82"/>
      <c r="G98" s="79"/>
      <c r="H98" s="79"/>
      <c r="I98" s="79"/>
      <c r="J98" s="79"/>
      <c r="K98" s="79"/>
    </row>
    <row r="99" spans="2:11" s="16" customFormat="1" ht="25.5" customHeight="1" x14ac:dyDescent="0.25">
      <c r="B99" s="82"/>
      <c r="C99" s="83"/>
      <c r="D99" s="79"/>
      <c r="E99" s="84"/>
      <c r="F99" s="82"/>
      <c r="G99" s="79"/>
      <c r="H99" s="79"/>
      <c r="I99" s="79"/>
      <c r="J99" s="79"/>
      <c r="K99" s="79"/>
    </row>
    <row r="100" spans="2:11" s="16" customFormat="1" ht="25.5" customHeight="1" x14ac:dyDescent="0.25">
      <c r="B100" s="82"/>
      <c r="C100" s="83"/>
      <c r="D100" s="79"/>
      <c r="E100" s="84"/>
      <c r="F100" s="82"/>
      <c r="G100" s="79"/>
      <c r="H100" s="79"/>
      <c r="I100" s="79"/>
      <c r="J100" s="79"/>
      <c r="K100" s="79"/>
    </row>
    <row r="101" spans="2:11" s="16" customFormat="1" ht="25.5" customHeight="1" x14ac:dyDescent="0.25">
      <c r="B101" s="82"/>
      <c r="C101" s="83"/>
      <c r="D101" s="79"/>
      <c r="E101" s="84"/>
      <c r="F101" s="82"/>
      <c r="G101" s="79"/>
      <c r="H101" s="79"/>
      <c r="I101" s="79"/>
      <c r="J101" s="79"/>
      <c r="K101" s="79"/>
    </row>
    <row r="102" spans="2:11" s="16" customFormat="1" ht="25.5" customHeight="1" x14ac:dyDescent="0.25">
      <c r="B102" s="82"/>
      <c r="C102" s="83"/>
      <c r="D102" s="79"/>
      <c r="E102" s="84"/>
      <c r="F102" s="82"/>
      <c r="G102" s="79"/>
      <c r="H102" s="79"/>
      <c r="I102" s="79"/>
      <c r="J102" s="79"/>
      <c r="K102" s="79"/>
    </row>
    <row r="103" spans="2:11" s="16" customFormat="1" ht="25.5" customHeight="1" x14ac:dyDescent="0.25">
      <c r="B103" s="82"/>
      <c r="C103" s="83"/>
      <c r="D103" s="79"/>
      <c r="E103" s="84"/>
      <c r="F103" s="82"/>
      <c r="G103" s="79"/>
      <c r="H103" s="79"/>
      <c r="I103" s="79"/>
      <c r="J103" s="79"/>
      <c r="K103" s="79"/>
    </row>
    <row r="104" spans="2:11" s="16" customFormat="1" ht="25.5" customHeight="1" x14ac:dyDescent="0.25">
      <c r="B104" s="82"/>
      <c r="C104" s="83"/>
      <c r="D104" s="79"/>
      <c r="E104" s="84"/>
      <c r="F104" s="82"/>
      <c r="G104" s="79"/>
      <c r="H104" s="79"/>
      <c r="I104" s="79"/>
      <c r="J104" s="79"/>
      <c r="K104" s="79"/>
    </row>
    <row r="105" spans="2:11" s="16" customFormat="1" ht="25.5" customHeight="1" x14ac:dyDescent="0.25">
      <c r="B105" s="82"/>
      <c r="C105" s="83"/>
      <c r="D105" s="79"/>
      <c r="E105" s="84"/>
      <c r="F105" s="82"/>
      <c r="G105" s="79"/>
      <c r="H105" s="79"/>
      <c r="I105" s="79"/>
      <c r="J105" s="79"/>
      <c r="K105" s="79"/>
    </row>
    <row r="106" spans="2:11" s="16" customFormat="1" ht="25.5" customHeight="1" x14ac:dyDescent="0.25">
      <c r="B106" s="82"/>
      <c r="C106" s="83"/>
      <c r="D106" s="79"/>
      <c r="E106" s="84"/>
      <c r="F106" s="82"/>
      <c r="G106" s="79"/>
      <c r="H106" s="79"/>
      <c r="I106" s="79"/>
      <c r="J106" s="79"/>
      <c r="K106" s="79"/>
    </row>
    <row r="107" spans="2:11" s="16" customFormat="1" ht="25.5" customHeight="1" x14ac:dyDescent="0.25">
      <c r="B107" s="82"/>
      <c r="C107" s="83"/>
      <c r="D107" s="79"/>
      <c r="E107" s="84"/>
      <c r="F107" s="82"/>
      <c r="G107" s="79"/>
      <c r="H107" s="79"/>
      <c r="I107" s="79"/>
      <c r="J107" s="79"/>
      <c r="K107" s="79"/>
    </row>
    <row r="108" spans="2:11" s="16" customFormat="1" ht="25.5" customHeight="1" x14ac:dyDescent="0.25">
      <c r="B108" s="82"/>
      <c r="C108" s="83"/>
      <c r="D108" s="79"/>
      <c r="E108" s="84"/>
      <c r="F108" s="82"/>
      <c r="G108" s="79"/>
      <c r="H108" s="79"/>
      <c r="I108" s="79"/>
      <c r="J108" s="79"/>
      <c r="K108" s="79"/>
    </row>
    <row r="109" spans="2:11" s="16" customFormat="1" ht="25.5" customHeight="1" x14ac:dyDescent="0.25">
      <c r="B109" s="82"/>
      <c r="C109" s="83"/>
      <c r="D109" s="79"/>
      <c r="E109" s="84"/>
      <c r="F109" s="82"/>
      <c r="G109" s="79"/>
      <c r="H109" s="79"/>
      <c r="I109" s="79"/>
      <c r="J109" s="79"/>
      <c r="K109" s="79"/>
    </row>
    <row r="110" spans="2:11" s="16" customFormat="1" ht="25.5" customHeight="1" x14ac:dyDescent="0.25">
      <c r="B110" s="82"/>
      <c r="C110" s="83"/>
      <c r="D110" s="79"/>
      <c r="E110" s="84"/>
      <c r="F110" s="82"/>
      <c r="G110" s="79"/>
      <c r="H110" s="79"/>
      <c r="I110" s="79"/>
      <c r="J110" s="79"/>
      <c r="K110" s="79"/>
    </row>
    <row r="111" spans="2:11" s="16" customFormat="1" ht="25.5" customHeight="1" x14ac:dyDescent="0.25">
      <c r="B111" s="82"/>
      <c r="C111" s="83"/>
      <c r="D111" s="79"/>
      <c r="E111" s="84"/>
      <c r="F111" s="82"/>
      <c r="G111" s="79"/>
      <c r="H111" s="79"/>
      <c r="I111" s="79"/>
      <c r="J111" s="79"/>
      <c r="K111" s="79"/>
    </row>
    <row r="112" spans="2:11" s="16" customFormat="1" ht="25.5" customHeight="1" x14ac:dyDescent="0.25">
      <c r="B112" s="82"/>
      <c r="C112" s="83"/>
      <c r="D112" s="79"/>
      <c r="E112" s="84"/>
      <c r="F112" s="82"/>
      <c r="G112" s="79"/>
      <c r="H112" s="79"/>
      <c r="I112" s="79"/>
      <c r="J112" s="79"/>
      <c r="K112" s="79"/>
    </row>
    <row r="113" spans="2:11" s="16" customFormat="1" ht="25.5" customHeight="1" x14ac:dyDescent="0.25">
      <c r="B113" s="82"/>
      <c r="C113" s="83"/>
      <c r="D113" s="79"/>
      <c r="E113" s="84"/>
      <c r="F113" s="82"/>
      <c r="G113" s="79"/>
      <c r="H113" s="79"/>
      <c r="I113" s="79"/>
      <c r="J113" s="79"/>
      <c r="K113" s="79"/>
    </row>
    <row r="114" spans="2:11" s="16" customFormat="1" ht="25.5" customHeight="1" x14ac:dyDescent="0.25">
      <c r="B114" s="82"/>
      <c r="C114" s="83"/>
      <c r="D114" s="79"/>
      <c r="E114" s="84"/>
      <c r="F114" s="82"/>
      <c r="G114" s="79"/>
      <c r="H114" s="79"/>
      <c r="I114" s="79"/>
      <c r="J114" s="79"/>
      <c r="K114" s="79"/>
    </row>
    <row r="115" spans="2:11" s="16" customFormat="1" ht="25.5" customHeight="1" x14ac:dyDescent="0.25">
      <c r="B115" s="82"/>
      <c r="C115" s="83"/>
      <c r="D115" s="79"/>
      <c r="E115" s="84"/>
      <c r="F115" s="82"/>
      <c r="G115" s="79"/>
      <c r="H115" s="79"/>
      <c r="I115" s="79"/>
      <c r="J115" s="79"/>
      <c r="K115" s="79"/>
    </row>
    <row r="116" spans="2:11" s="16" customFormat="1" ht="25.5" customHeight="1" x14ac:dyDescent="0.25">
      <c r="B116" s="82"/>
      <c r="C116" s="83"/>
      <c r="D116" s="79"/>
      <c r="E116" s="84"/>
      <c r="F116" s="82"/>
      <c r="G116" s="79"/>
      <c r="H116" s="79"/>
      <c r="I116" s="79"/>
      <c r="J116" s="79"/>
      <c r="K116" s="79"/>
    </row>
    <row r="117" spans="2:11" s="16" customFormat="1" ht="25.5" customHeight="1" x14ac:dyDescent="0.25">
      <c r="B117" s="82"/>
      <c r="C117" s="83"/>
      <c r="D117" s="79"/>
      <c r="E117" s="84"/>
      <c r="F117" s="82"/>
      <c r="G117" s="79"/>
      <c r="H117" s="79"/>
      <c r="I117" s="79"/>
      <c r="J117" s="79"/>
      <c r="K117" s="79"/>
    </row>
    <row r="118" spans="2:11" s="16" customFormat="1" ht="25.5" customHeight="1" x14ac:dyDescent="0.25">
      <c r="B118" s="82"/>
      <c r="C118" s="83"/>
      <c r="D118" s="79"/>
      <c r="E118" s="84"/>
      <c r="F118" s="82"/>
      <c r="G118" s="79"/>
      <c r="H118" s="79"/>
      <c r="I118" s="79"/>
      <c r="J118" s="79"/>
      <c r="K118" s="79"/>
    </row>
    <row r="119" spans="2:11" s="16" customFormat="1" ht="25.5" customHeight="1" x14ac:dyDescent="0.25">
      <c r="B119" s="82"/>
      <c r="C119" s="83"/>
      <c r="D119" s="79"/>
      <c r="E119" s="84"/>
      <c r="F119" s="82"/>
      <c r="G119" s="79"/>
      <c r="H119" s="79"/>
      <c r="I119" s="79"/>
      <c r="J119" s="79"/>
      <c r="K119" s="79"/>
    </row>
    <row r="120" spans="2:11" s="16" customFormat="1" ht="25.5" customHeight="1" x14ac:dyDescent="0.25">
      <c r="B120" s="82"/>
      <c r="C120" s="83"/>
      <c r="D120" s="79"/>
      <c r="E120" s="84"/>
      <c r="F120" s="82"/>
      <c r="G120" s="79"/>
      <c r="H120" s="79"/>
      <c r="I120" s="79"/>
      <c r="J120" s="79"/>
      <c r="K120" s="79"/>
    </row>
    <row r="121" spans="2:11" s="16" customFormat="1" ht="25.5" customHeight="1" x14ac:dyDescent="0.25">
      <c r="B121" s="82"/>
      <c r="C121" s="83"/>
      <c r="D121" s="79"/>
      <c r="E121" s="84"/>
      <c r="F121" s="82"/>
      <c r="G121" s="79"/>
      <c r="H121" s="79"/>
      <c r="I121" s="79"/>
      <c r="J121" s="79"/>
      <c r="K121" s="79"/>
    </row>
    <row r="122" spans="2:11" s="16" customFormat="1" ht="25.5" customHeight="1" x14ac:dyDescent="0.25">
      <c r="B122" s="82"/>
      <c r="C122" s="83"/>
      <c r="D122" s="79"/>
      <c r="E122" s="84"/>
      <c r="F122" s="82"/>
      <c r="G122" s="79"/>
      <c r="H122" s="79"/>
      <c r="I122" s="79"/>
      <c r="J122" s="79"/>
      <c r="K122" s="79"/>
    </row>
    <row r="123" spans="2:11" s="16" customFormat="1" ht="25.5" customHeight="1" x14ac:dyDescent="0.25">
      <c r="B123" s="82"/>
      <c r="C123" s="83"/>
      <c r="D123" s="79"/>
      <c r="E123" s="84"/>
      <c r="F123" s="82"/>
      <c r="G123" s="79"/>
      <c r="H123" s="79"/>
      <c r="I123" s="79"/>
      <c r="J123" s="79"/>
      <c r="K123" s="79"/>
    </row>
    <row r="124" spans="2:11" s="16" customFormat="1" ht="25.5" customHeight="1" x14ac:dyDescent="0.25">
      <c r="B124" s="82"/>
      <c r="C124" s="83"/>
      <c r="D124" s="79"/>
      <c r="E124" s="84"/>
      <c r="F124" s="82"/>
      <c r="G124" s="79"/>
      <c r="H124" s="79"/>
      <c r="I124" s="79"/>
      <c r="J124" s="79"/>
      <c r="K124" s="79"/>
    </row>
    <row r="125" spans="2:11" s="16" customFormat="1" ht="25.5" customHeight="1" x14ac:dyDescent="0.25">
      <c r="B125" s="82"/>
      <c r="C125" s="83"/>
      <c r="D125" s="79"/>
      <c r="E125" s="84"/>
      <c r="F125" s="82"/>
      <c r="G125" s="79"/>
      <c r="H125" s="79"/>
      <c r="I125" s="79"/>
      <c r="J125" s="79"/>
      <c r="K125" s="79"/>
    </row>
    <row r="126" spans="2:11" s="16" customFormat="1" ht="25.5" customHeight="1" x14ac:dyDescent="0.25">
      <c r="B126" s="82"/>
      <c r="C126" s="83"/>
      <c r="D126" s="79"/>
      <c r="E126" s="84"/>
      <c r="F126" s="82"/>
      <c r="G126" s="79"/>
      <c r="H126" s="79"/>
      <c r="I126" s="79"/>
      <c r="J126" s="79"/>
      <c r="K126" s="79"/>
    </row>
    <row r="127" spans="2:11" s="16" customFormat="1" ht="25.5" customHeight="1" x14ac:dyDescent="0.25">
      <c r="B127" s="82"/>
      <c r="C127" s="83"/>
      <c r="D127" s="79"/>
      <c r="E127" s="84"/>
      <c r="F127" s="82"/>
      <c r="G127" s="79"/>
      <c r="H127" s="79"/>
      <c r="I127" s="79"/>
      <c r="J127" s="79"/>
      <c r="K127" s="79"/>
    </row>
    <row r="128" spans="2:11" s="16" customFormat="1" ht="25.5" customHeight="1" x14ac:dyDescent="0.25">
      <c r="B128" s="82"/>
      <c r="C128" s="83"/>
      <c r="D128" s="79"/>
      <c r="E128" s="84"/>
      <c r="F128" s="82"/>
      <c r="G128" s="79"/>
      <c r="H128" s="79"/>
      <c r="I128" s="79"/>
      <c r="J128" s="79"/>
      <c r="K128" s="79"/>
    </row>
    <row r="129" spans="2:11" s="16" customFormat="1" ht="25.5" customHeight="1" x14ac:dyDescent="0.25">
      <c r="B129" s="82"/>
      <c r="C129" s="83"/>
      <c r="D129" s="79"/>
      <c r="E129" s="84"/>
      <c r="F129" s="82"/>
      <c r="G129" s="79"/>
      <c r="H129" s="79"/>
      <c r="I129" s="79"/>
      <c r="J129" s="79"/>
      <c r="K129" s="79"/>
    </row>
    <row r="130" spans="2:11" s="16" customFormat="1" ht="25.5" customHeight="1" x14ac:dyDescent="0.25">
      <c r="B130" s="82"/>
      <c r="C130" s="83"/>
      <c r="D130" s="79"/>
      <c r="E130" s="84"/>
      <c r="F130" s="82"/>
      <c r="G130" s="79"/>
      <c r="H130" s="79"/>
      <c r="I130" s="79"/>
      <c r="J130" s="79"/>
      <c r="K130" s="79"/>
    </row>
    <row r="131" spans="2:11" s="16" customFormat="1" ht="25.5" customHeight="1" x14ac:dyDescent="0.25">
      <c r="B131" s="82"/>
      <c r="C131" s="83"/>
      <c r="D131" s="79"/>
      <c r="E131" s="84"/>
      <c r="F131" s="82"/>
      <c r="G131" s="79"/>
      <c r="H131" s="79"/>
      <c r="I131" s="79"/>
      <c r="J131" s="79"/>
      <c r="K131" s="79"/>
    </row>
    <row r="132" spans="2:11" s="16" customFormat="1" ht="25.5" customHeight="1" x14ac:dyDescent="0.25">
      <c r="B132" s="82"/>
      <c r="C132" s="83"/>
      <c r="D132" s="79"/>
      <c r="E132" s="84"/>
      <c r="F132" s="82"/>
      <c r="G132" s="79"/>
      <c r="H132" s="79"/>
      <c r="I132" s="79"/>
      <c r="J132" s="79"/>
      <c r="K132" s="79"/>
    </row>
    <row r="133" spans="2:11" s="16" customFormat="1" ht="25.5" customHeight="1" x14ac:dyDescent="0.25">
      <c r="B133" s="82"/>
      <c r="C133" s="83"/>
      <c r="D133" s="79"/>
      <c r="E133" s="84"/>
      <c r="F133" s="82"/>
      <c r="G133" s="79"/>
      <c r="H133" s="79"/>
      <c r="I133" s="79"/>
      <c r="J133" s="79"/>
      <c r="K133" s="79"/>
    </row>
    <row r="134" spans="2:11" s="16" customFormat="1" ht="25.5" customHeight="1" x14ac:dyDescent="0.25">
      <c r="B134" s="82"/>
      <c r="C134" s="83"/>
      <c r="D134" s="79"/>
      <c r="E134" s="84"/>
      <c r="F134" s="82"/>
      <c r="G134" s="79"/>
      <c r="H134" s="79"/>
      <c r="I134" s="79"/>
      <c r="J134" s="79"/>
      <c r="K134" s="79"/>
    </row>
    <row r="135" spans="2:11" s="16" customFormat="1" ht="25.5" customHeight="1" x14ac:dyDescent="0.25">
      <c r="B135" s="82"/>
      <c r="C135" s="83"/>
      <c r="D135" s="79"/>
      <c r="E135" s="84"/>
      <c r="F135" s="82"/>
      <c r="G135" s="79"/>
      <c r="H135" s="79"/>
      <c r="I135" s="79"/>
      <c r="J135" s="79"/>
      <c r="K135" s="79"/>
    </row>
    <row r="136" spans="2:11" s="16" customFormat="1" ht="25.5" customHeight="1" x14ac:dyDescent="0.25">
      <c r="B136" s="82"/>
      <c r="C136" s="83"/>
      <c r="D136" s="79"/>
      <c r="E136" s="84"/>
      <c r="F136" s="82"/>
      <c r="G136" s="79"/>
      <c r="H136" s="79"/>
      <c r="I136" s="79"/>
      <c r="J136" s="79"/>
      <c r="K136" s="79"/>
    </row>
    <row r="137" spans="2:11" s="16" customFormat="1" ht="25.5" customHeight="1" x14ac:dyDescent="0.25">
      <c r="B137" s="82"/>
      <c r="C137" s="83"/>
      <c r="D137" s="79"/>
      <c r="E137" s="84"/>
      <c r="F137" s="82"/>
      <c r="G137" s="79"/>
      <c r="H137" s="79"/>
      <c r="I137" s="79"/>
      <c r="J137" s="79"/>
      <c r="K137" s="79"/>
    </row>
    <row r="138" spans="2:11" s="16" customFormat="1" ht="25.5" customHeight="1" x14ac:dyDescent="0.25">
      <c r="B138" s="82"/>
      <c r="C138" s="83"/>
      <c r="D138" s="79"/>
      <c r="E138" s="84"/>
      <c r="F138" s="82"/>
      <c r="G138" s="79"/>
      <c r="H138" s="79"/>
      <c r="I138" s="79"/>
      <c r="J138" s="79"/>
      <c r="K138" s="79"/>
    </row>
    <row r="139" spans="2:11" s="16" customFormat="1" ht="25.5" customHeight="1" x14ac:dyDescent="0.25">
      <c r="B139" s="82"/>
      <c r="C139" s="83"/>
      <c r="D139" s="79"/>
      <c r="E139" s="84"/>
      <c r="F139" s="82"/>
      <c r="G139" s="79"/>
      <c r="H139" s="79"/>
      <c r="I139" s="79"/>
      <c r="J139" s="79"/>
      <c r="K139" s="79"/>
    </row>
    <row r="140" spans="2:11" s="16" customFormat="1" ht="25.5" customHeight="1" x14ac:dyDescent="0.25">
      <c r="B140" s="82"/>
      <c r="C140" s="83"/>
      <c r="D140" s="79"/>
      <c r="E140" s="84"/>
      <c r="F140" s="82"/>
      <c r="G140" s="79"/>
      <c r="H140" s="79"/>
      <c r="I140" s="79"/>
      <c r="J140" s="79"/>
      <c r="K140" s="79"/>
    </row>
    <row r="141" spans="2:11" s="16" customFormat="1" ht="25.5" customHeight="1" x14ac:dyDescent="0.25">
      <c r="B141" s="82"/>
      <c r="C141" s="83"/>
      <c r="D141" s="79"/>
      <c r="E141" s="84"/>
      <c r="F141" s="82"/>
      <c r="G141" s="79"/>
      <c r="H141" s="79"/>
      <c r="I141" s="79"/>
      <c r="J141" s="79"/>
      <c r="K141" s="79"/>
    </row>
    <row r="142" spans="2:11" s="16" customFormat="1" ht="25.5" customHeight="1" x14ac:dyDescent="0.25">
      <c r="B142" s="82"/>
      <c r="C142" s="83"/>
      <c r="D142" s="79"/>
      <c r="E142" s="84"/>
      <c r="F142" s="82"/>
      <c r="G142" s="79"/>
      <c r="H142" s="79"/>
      <c r="I142" s="79"/>
      <c r="J142" s="79"/>
      <c r="K142" s="79"/>
    </row>
    <row r="143" spans="2:11" s="16" customFormat="1" ht="25.5" customHeight="1" x14ac:dyDescent="0.25">
      <c r="B143" s="82"/>
      <c r="C143" s="83"/>
      <c r="D143" s="79"/>
      <c r="E143" s="84"/>
      <c r="F143" s="82"/>
      <c r="G143" s="79"/>
      <c r="H143" s="79"/>
      <c r="I143" s="79"/>
      <c r="J143" s="79"/>
      <c r="K143" s="79"/>
    </row>
    <row r="144" spans="2:11" s="16" customFormat="1" ht="25.5" customHeight="1" x14ac:dyDescent="0.25">
      <c r="B144" s="82"/>
      <c r="C144" s="83"/>
      <c r="D144" s="79"/>
      <c r="E144" s="84"/>
      <c r="F144" s="82"/>
      <c r="G144" s="79"/>
      <c r="H144" s="79"/>
      <c r="I144" s="79"/>
      <c r="J144" s="79"/>
      <c r="K144" s="79"/>
    </row>
    <row r="145" spans="2:11" s="16" customFormat="1" ht="25.5" customHeight="1" x14ac:dyDescent="0.25">
      <c r="B145" s="82"/>
      <c r="C145" s="83"/>
      <c r="D145" s="79"/>
      <c r="E145" s="84"/>
      <c r="F145" s="82"/>
      <c r="G145" s="79"/>
      <c r="H145" s="79"/>
      <c r="I145" s="79"/>
      <c r="J145" s="79"/>
      <c r="K145" s="79"/>
    </row>
    <row r="146" spans="2:11" s="16" customFormat="1" ht="25.5" customHeight="1" x14ac:dyDescent="0.25">
      <c r="B146" s="82"/>
      <c r="C146" s="83"/>
      <c r="D146" s="79"/>
      <c r="E146" s="84"/>
      <c r="F146" s="82"/>
      <c r="G146" s="79"/>
      <c r="H146" s="79"/>
      <c r="I146" s="79"/>
      <c r="J146" s="79"/>
      <c r="K146" s="79"/>
    </row>
    <row r="147" spans="2:11" s="16" customFormat="1" ht="25.5" customHeight="1" x14ac:dyDescent="0.25">
      <c r="B147" s="82"/>
      <c r="C147" s="83"/>
      <c r="D147" s="79"/>
      <c r="E147" s="84"/>
      <c r="F147" s="82"/>
      <c r="G147" s="79"/>
      <c r="H147" s="79"/>
      <c r="I147" s="79"/>
      <c r="J147" s="79"/>
      <c r="K147" s="79"/>
    </row>
    <row r="148" spans="2:11" s="16" customFormat="1" ht="25.5" customHeight="1" x14ac:dyDescent="0.25">
      <c r="B148" s="82"/>
      <c r="C148" s="83"/>
      <c r="D148" s="79"/>
      <c r="E148" s="84"/>
      <c r="F148" s="82"/>
      <c r="G148" s="79"/>
      <c r="H148" s="79"/>
      <c r="I148" s="79"/>
      <c r="J148" s="79"/>
      <c r="K148" s="79"/>
    </row>
    <row r="149" spans="2:11" s="16" customFormat="1" ht="25.5" customHeight="1" x14ac:dyDescent="0.25">
      <c r="B149" s="82"/>
      <c r="C149" s="83"/>
      <c r="D149" s="79"/>
      <c r="E149" s="84"/>
      <c r="F149" s="82"/>
      <c r="G149" s="79"/>
      <c r="H149" s="79"/>
      <c r="I149" s="79"/>
      <c r="J149" s="79"/>
      <c r="K149" s="79"/>
    </row>
    <row r="150" spans="2:11" s="16" customFormat="1" ht="25.5" customHeight="1" x14ac:dyDescent="0.25">
      <c r="B150" s="82"/>
      <c r="C150" s="83"/>
      <c r="D150" s="79"/>
      <c r="E150" s="84"/>
      <c r="F150" s="82"/>
      <c r="G150" s="79"/>
      <c r="H150" s="79"/>
      <c r="I150" s="79"/>
      <c r="J150" s="79"/>
      <c r="K150" s="79"/>
    </row>
    <row r="151" spans="2:11" s="16" customFormat="1" ht="25.5" customHeight="1" x14ac:dyDescent="0.25">
      <c r="B151" s="82"/>
      <c r="C151" s="83"/>
      <c r="D151" s="79"/>
      <c r="E151" s="84"/>
      <c r="F151" s="82"/>
      <c r="G151" s="79"/>
      <c r="H151" s="79"/>
      <c r="I151" s="79"/>
      <c r="J151" s="79"/>
      <c r="K151" s="79"/>
    </row>
    <row r="152" spans="2:11" s="16" customFormat="1" ht="25.5" customHeight="1" x14ac:dyDescent="0.25">
      <c r="B152" s="82"/>
      <c r="C152" s="83"/>
      <c r="D152" s="79"/>
      <c r="E152" s="84"/>
      <c r="F152" s="82"/>
      <c r="G152" s="79"/>
      <c r="H152" s="79"/>
      <c r="I152" s="79"/>
      <c r="J152" s="79"/>
      <c r="K152" s="79"/>
    </row>
    <row r="153" spans="2:11" s="16" customFormat="1" ht="25.5" customHeight="1" x14ac:dyDescent="0.25">
      <c r="B153" s="82"/>
      <c r="C153" s="83"/>
      <c r="D153" s="79"/>
      <c r="E153" s="84"/>
      <c r="F153" s="82"/>
      <c r="G153" s="79"/>
      <c r="H153" s="79"/>
      <c r="I153" s="79"/>
      <c r="J153" s="79"/>
      <c r="K153" s="79"/>
    </row>
    <row r="154" spans="2:11" s="16" customFormat="1" ht="25.5" customHeight="1" x14ac:dyDescent="0.25">
      <c r="B154" s="82"/>
      <c r="C154" s="83"/>
      <c r="D154" s="79"/>
      <c r="E154" s="84"/>
      <c r="F154" s="82"/>
      <c r="G154" s="79"/>
      <c r="H154" s="79"/>
      <c r="I154" s="79"/>
      <c r="J154" s="79"/>
      <c r="K154" s="79"/>
    </row>
    <row r="155" spans="2:11" s="16" customFormat="1" ht="25.5" customHeight="1" x14ac:dyDescent="0.25">
      <c r="B155" s="82"/>
      <c r="C155" s="83"/>
      <c r="D155" s="79"/>
      <c r="E155" s="84"/>
      <c r="F155" s="82"/>
      <c r="G155" s="79"/>
      <c r="H155" s="79"/>
      <c r="I155" s="79"/>
      <c r="J155" s="79"/>
      <c r="K155" s="79"/>
    </row>
    <row r="156" spans="2:11" s="16" customFormat="1" ht="25.5" customHeight="1" x14ac:dyDescent="0.25">
      <c r="B156" s="82"/>
      <c r="C156" s="83"/>
      <c r="D156" s="79"/>
      <c r="E156" s="84"/>
      <c r="F156" s="82"/>
      <c r="G156" s="79"/>
      <c r="H156" s="79"/>
      <c r="I156" s="79"/>
      <c r="J156" s="79"/>
      <c r="K156" s="79"/>
    </row>
    <row r="157" spans="2:11" s="16" customFormat="1" ht="25.5" customHeight="1" x14ac:dyDescent="0.25">
      <c r="B157" s="82"/>
      <c r="C157" s="83"/>
      <c r="D157" s="79"/>
      <c r="E157" s="84"/>
      <c r="F157" s="82"/>
      <c r="G157" s="79"/>
      <c r="H157" s="79"/>
      <c r="I157" s="79"/>
      <c r="J157" s="79"/>
      <c r="K157" s="79"/>
    </row>
    <row r="158" spans="2:11" s="16" customFormat="1" ht="25.5" customHeight="1" x14ac:dyDescent="0.25">
      <c r="B158" s="82"/>
      <c r="C158" s="83"/>
      <c r="D158" s="79"/>
      <c r="E158" s="84"/>
      <c r="F158" s="82"/>
      <c r="G158" s="79"/>
      <c r="H158" s="79"/>
      <c r="I158" s="79"/>
      <c r="J158" s="79"/>
      <c r="K158" s="79"/>
    </row>
    <row r="159" spans="2:11" s="16" customFormat="1" ht="25.5" customHeight="1" x14ac:dyDescent="0.25">
      <c r="B159" s="82"/>
      <c r="C159" s="83"/>
      <c r="D159" s="79"/>
      <c r="E159" s="84"/>
      <c r="F159" s="82"/>
      <c r="G159" s="79"/>
      <c r="H159" s="79"/>
      <c r="I159" s="79"/>
      <c r="J159" s="79"/>
      <c r="K159" s="79"/>
    </row>
    <row r="160" spans="2:11" s="16" customFormat="1" ht="25.5" customHeight="1" x14ac:dyDescent="0.25">
      <c r="B160" s="82"/>
      <c r="C160" s="83"/>
      <c r="D160" s="79"/>
      <c r="E160" s="84"/>
      <c r="F160" s="82"/>
      <c r="G160" s="79"/>
      <c r="H160" s="79"/>
      <c r="I160" s="79"/>
      <c r="J160" s="79"/>
      <c r="K160" s="79"/>
    </row>
    <row r="161" spans="2:11" s="16" customFormat="1" ht="25.5" customHeight="1" x14ac:dyDescent="0.25">
      <c r="B161" s="82"/>
      <c r="C161" s="83"/>
      <c r="D161" s="79"/>
      <c r="E161" s="84"/>
      <c r="F161" s="82"/>
      <c r="G161" s="79"/>
      <c r="H161" s="79"/>
      <c r="I161" s="79"/>
      <c r="J161" s="79"/>
      <c r="K161" s="79"/>
    </row>
    <row r="162" spans="2:11" s="16" customFormat="1" ht="25.5" customHeight="1" x14ac:dyDescent="0.25">
      <c r="B162" s="82"/>
      <c r="C162" s="83"/>
      <c r="D162" s="79"/>
      <c r="E162" s="84"/>
      <c r="F162" s="82"/>
      <c r="G162" s="79"/>
      <c r="H162" s="79"/>
      <c r="I162" s="79"/>
      <c r="J162" s="79"/>
      <c r="K162" s="79"/>
    </row>
    <row r="163" spans="2:11" s="16" customFormat="1" ht="25.5" customHeight="1" x14ac:dyDescent="0.25">
      <c r="B163" s="82"/>
      <c r="C163" s="83"/>
      <c r="D163" s="79"/>
      <c r="E163" s="84"/>
      <c r="F163" s="82"/>
      <c r="G163" s="79"/>
      <c r="H163" s="79"/>
      <c r="I163" s="79"/>
      <c r="J163" s="79"/>
      <c r="K163" s="79"/>
    </row>
    <row r="164" spans="2:11" s="16" customFormat="1" ht="25.5" customHeight="1" x14ac:dyDescent="0.25">
      <c r="B164" s="82"/>
      <c r="C164" s="83"/>
      <c r="D164" s="79"/>
      <c r="E164" s="84"/>
      <c r="F164" s="82"/>
      <c r="G164" s="79"/>
      <c r="H164" s="79"/>
      <c r="I164" s="79"/>
      <c r="J164" s="79"/>
      <c r="K164" s="79"/>
    </row>
    <row r="165" spans="2:11" s="16" customFormat="1" ht="25.5" customHeight="1" x14ac:dyDescent="0.25">
      <c r="B165" s="82"/>
      <c r="C165" s="83"/>
      <c r="D165" s="79"/>
      <c r="E165" s="84"/>
      <c r="F165" s="82"/>
      <c r="G165" s="79"/>
      <c r="H165" s="79"/>
      <c r="I165" s="79"/>
      <c r="J165" s="79"/>
      <c r="K165" s="79"/>
    </row>
    <row r="166" spans="2:11" s="16" customFormat="1" ht="25.5" customHeight="1" x14ac:dyDescent="0.25">
      <c r="B166" s="82"/>
      <c r="C166" s="83"/>
      <c r="D166" s="79"/>
      <c r="E166" s="84"/>
      <c r="F166" s="82"/>
      <c r="G166" s="79"/>
      <c r="H166" s="79"/>
      <c r="I166" s="79"/>
      <c r="J166" s="79"/>
      <c r="K166" s="79"/>
    </row>
    <row r="167" spans="2:11" s="16" customFormat="1" ht="25.5" customHeight="1" x14ac:dyDescent="0.25">
      <c r="B167" s="82"/>
      <c r="C167" s="83"/>
      <c r="D167" s="79"/>
      <c r="E167" s="84"/>
      <c r="F167" s="82"/>
      <c r="G167" s="79"/>
      <c r="H167" s="79"/>
      <c r="I167" s="79"/>
      <c r="J167" s="79"/>
      <c r="K167" s="79"/>
    </row>
    <row r="168" spans="2:11" s="16" customFormat="1" ht="25.5" customHeight="1" x14ac:dyDescent="0.25">
      <c r="B168" s="82"/>
      <c r="C168" s="83"/>
      <c r="D168" s="79"/>
      <c r="E168" s="84"/>
      <c r="F168" s="82"/>
      <c r="G168" s="79"/>
      <c r="H168" s="79"/>
      <c r="I168" s="79"/>
      <c r="J168" s="79"/>
      <c r="K168" s="79"/>
    </row>
    <row r="169" spans="2:11" s="16" customFormat="1" ht="25.5" customHeight="1" x14ac:dyDescent="0.25">
      <c r="B169" s="82"/>
      <c r="C169" s="83"/>
      <c r="D169" s="79"/>
      <c r="E169" s="84"/>
      <c r="F169" s="82"/>
      <c r="G169" s="79"/>
      <c r="H169" s="79"/>
      <c r="I169" s="79"/>
      <c r="J169" s="79"/>
      <c r="K169" s="79"/>
    </row>
    <row r="170" spans="2:11" s="16" customFormat="1" ht="25.5" customHeight="1" x14ac:dyDescent="0.25">
      <c r="B170" s="82"/>
      <c r="C170" s="83"/>
      <c r="D170" s="79"/>
      <c r="E170" s="84"/>
      <c r="F170" s="82"/>
      <c r="G170" s="79"/>
      <c r="H170" s="79"/>
      <c r="I170" s="79"/>
      <c r="J170" s="79"/>
      <c r="K170" s="79"/>
    </row>
    <row r="171" spans="2:11" s="16" customFormat="1" ht="25.5" customHeight="1" x14ac:dyDescent="0.25">
      <c r="B171" s="82"/>
      <c r="C171" s="83"/>
      <c r="D171" s="79"/>
      <c r="E171" s="84"/>
      <c r="F171" s="82"/>
      <c r="G171" s="79"/>
      <c r="H171" s="79"/>
      <c r="I171" s="79"/>
      <c r="J171" s="79"/>
      <c r="K171" s="79"/>
    </row>
    <row r="172" spans="2:11" s="16" customFormat="1" ht="25.5" customHeight="1" x14ac:dyDescent="0.25">
      <c r="B172" s="82"/>
      <c r="C172" s="83"/>
      <c r="D172" s="79"/>
      <c r="E172" s="84"/>
      <c r="F172" s="82"/>
      <c r="G172" s="79"/>
      <c r="H172" s="79"/>
      <c r="I172" s="79"/>
      <c r="J172" s="79"/>
      <c r="K172" s="79"/>
    </row>
    <row r="173" spans="2:11" s="16" customFormat="1" ht="25.5" customHeight="1" x14ac:dyDescent="0.25">
      <c r="B173" s="82"/>
      <c r="C173" s="83"/>
      <c r="D173" s="79"/>
      <c r="E173" s="84"/>
      <c r="F173" s="82"/>
      <c r="G173" s="79"/>
      <c r="H173" s="79"/>
      <c r="I173" s="79"/>
      <c r="J173" s="79"/>
      <c r="K173" s="79"/>
    </row>
    <row r="174" spans="2:11" s="16" customFormat="1" ht="25.5" customHeight="1" x14ac:dyDescent="0.25">
      <c r="B174" s="82"/>
      <c r="C174" s="83"/>
      <c r="D174" s="79"/>
      <c r="E174" s="84"/>
      <c r="F174" s="82"/>
      <c r="G174" s="79"/>
      <c r="H174" s="79"/>
      <c r="I174" s="79"/>
      <c r="J174" s="79"/>
      <c r="K174" s="79"/>
    </row>
    <row r="175" spans="2:11" s="16" customFormat="1" ht="25.5" customHeight="1" x14ac:dyDescent="0.25">
      <c r="B175" s="82"/>
      <c r="C175" s="83"/>
      <c r="D175" s="79"/>
      <c r="E175" s="84"/>
      <c r="F175" s="82"/>
      <c r="G175" s="79"/>
      <c r="H175" s="79"/>
      <c r="I175" s="79"/>
      <c r="J175" s="79"/>
      <c r="K175" s="79"/>
    </row>
    <row r="176" spans="2:11" s="16" customFormat="1" ht="25.5" customHeight="1" x14ac:dyDescent="0.25">
      <c r="B176" s="82"/>
      <c r="C176" s="83"/>
      <c r="D176" s="79"/>
      <c r="E176" s="84"/>
      <c r="F176" s="82"/>
      <c r="G176" s="79"/>
      <c r="H176" s="79"/>
      <c r="I176" s="79"/>
      <c r="J176" s="79"/>
      <c r="K176" s="79"/>
    </row>
    <row r="177" spans="2:11" s="16" customFormat="1" ht="25.5" customHeight="1" x14ac:dyDescent="0.25">
      <c r="B177" s="82"/>
      <c r="C177" s="83"/>
      <c r="D177" s="79"/>
      <c r="E177" s="84"/>
      <c r="F177" s="82"/>
      <c r="G177" s="79"/>
      <c r="H177" s="79"/>
      <c r="I177" s="79"/>
      <c r="J177" s="79"/>
      <c r="K177" s="79"/>
    </row>
    <row r="178" spans="2:11" s="16" customFormat="1" ht="25.5" customHeight="1" x14ac:dyDescent="0.25">
      <c r="B178" s="82"/>
      <c r="C178" s="83"/>
      <c r="D178" s="79"/>
      <c r="E178" s="84"/>
      <c r="F178" s="82"/>
      <c r="G178" s="79"/>
      <c r="H178" s="79"/>
      <c r="I178" s="79"/>
      <c r="J178" s="79"/>
      <c r="K178" s="79"/>
    </row>
    <row r="179" spans="2:11" s="16" customFormat="1" ht="25.5" customHeight="1" x14ac:dyDescent="0.25">
      <c r="B179" s="82"/>
      <c r="C179" s="83"/>
      <c r="D179" s="79"/>
      <c r="E179" s="84"/>
      <c r="F179" s="82"/>
      <c r="G179" s="79"/>
      <c r="H179" s="79"/>
      <c r="I179" s="79"/>
      <c r="J179" s="79"/>
      <c r="K179" s="79"/>
    </row>
    <row r="180" spans="2:11" s="16" customFormat="1" ht="25.5" customHeight="1" x14ac:dyDescent="0.25">
      <c r="B180" s="82"/>
      <c r="C180" s="83"/>
      <c r="D180" s="79"/>
      <c r="E180" s="84"/>
      <c r="F180" s="82"/>
      <c r="G180" s="79"/>
      <c r="H180" s="79"/>
      <c r="I180" s="79"/>
      <c r="J180" s="79"/>
      <c r="K180" s="79"/>
    </row>
    <row r="181" spans="2:11" s="16" customFormat="1" ht="25.5" customHeight="1" x14ac:dyDescent="0.25">
      <c r="B181" s="82"/>
      <c r="C181" s="83"/>
      <c r="D181" s="79"/>
      <c r="E181" s="84"/>
      <c r="F181" s="82"/>
      <c r="G181" s="79"/>
      <c r="H181" s="79"/>
      <c r="I181" s="79"/>
      <c r="J181" s="79"/>
      <c r="K181" s="79"/>
    </row>
    <row r="182" spans="2:11" s="16" customFormat="1" ht="25.5" customHeight="1" x14ac:dyDescent="0.25">
      <c r="B182" s="82"/>
      <c r="C182" s="83"/>
      <c r="D182" s="79"/>
      <c r="E182" s="84"/>
      <c r="F182" s="82"/>
      <c r="G182" s="79"/>
      <c r="H182" s="79"/>
      <c r="I182" s="79"/>
      <c r="J182" s="79"/>
      <c r="K182" s="79"/>
    </row>
    <row r="183" spans="2:11" s="16" customFormat="1" ht="25.5" customHeight="1" x14ac:dyDescent="0.25">
      <c r="B183" s="82"/>
      <c r="C183" s="83"/>
      <c r="D183" s="79"/>
      <c r="E183" s="84"/>
      <c r="F183" s="82"/>
      <c r="G183" s="79"/>
      <c r="H183" s="79"/>
      <c r="I183" s="79"/>
      <c r="J183" s="79"/>
      <c r="K183" s="79"/>
    </row>
    <row r="184" spans="2:11" s="16" customFormat="1" ht="25.5" customHeight="1" x14ac:dyDescent="0.25">
      <c r="B184" s="82"/>
      <c r="C184" s="83"/>
      <c r="D184" s="79"/>
      <c r="E184" s="84"/>
      <c r="F184" s="82"/>
      <c r="G184" s="79"/>
      <c r="H184" s="79"/>
      <c r="I184" s="79"/>
      <c r="J184" s="79"/>
      <c r="K184" s="79"/>
    </row>
    <row r="185" spans="2:11" s="16" customFormat="1" ht="25.5" customHeight="1" x14ac:dyDescent="0.25">
      <c r="B185" s="82"/>
      <c r="C185" s="83"/>
      <c r="D185" s="79"/>
      <c r="E185" s="84"/>
      <c r="F185" s="82"/>
      <c r="G185" s="79"/>
      <c r="H185" s="79"/>
      <c r="I185" s="79"/>
      <c r="J185" s="79"/>
      <c r="K185" s="79"/>
    </row>
    <row r="186" spans="2:11" s="16" customFormat="1" ht="25.5" customHeight="1" x14ac:dyDescent="0.25">
      <c r="B186" s="82"/>
      <c r="C186" s="83"/>
      <c r="D186" s="79"/>
      <c r="E186" s="84"/>
      <c r="F186" s="82"/>
      <c r="G186" s="79"/>
      <c r="H186" s="79"/>
      <c r="I186" s="79"/>
      <c r="J186" s="79"/>
      <c r="K186" s="79"/>
    </row>
    <row r="187" spans="2:11" s="16" customFormat="1" ht="25.5" customHeight="1" x14ac:dyDescent="0.25">
      <c r="B187" s="82"/>
      <c r="C187" s="83"/>
      <c r="D187" s="79"/>
      <c r="E187" s="84"/>
      <c r="F187" s="82"/>
      <c r="G187" s="79"/>
      <c r="H187" s="79"/>
      <c r="I187" s="79"/>
      <c r="J187" s="79"/>
      <c r="K187" s="79"/>
    </row>
    <row r="188" spans="2:11" s="16" customFormat="1" ht="25.5" customHeight="1" x14ac:dyDescent="0.25">
      <c r="B188" s="82"/>
      <c r="C188" s="83"/>
      <c r="D188" s="79"/>
      <c r="E188" s="84"/>
      <c r="F188" s="82"/>
      <c r="G188" s="79"/>
      <c r="H188" s="79"/>
      <c r="I188" s="79"/>
      <c r="J188" s="79"/>
      <c r="K188" s="79"/>
    </row>
    <row r="189" spans="2:11" s="16" customFormat="1" ht="25.5" customHeight="1" x14ac:dyDescent="0.25">
      <c r="B189" s="82"/>
      <c r="C189" s="83"/>
      <c r="D189" s="79"/>
      <c r="E189" s="84"/>
      <c r="F189" s="82"/>
      <c r="G189" s="79"/>
      <c r="H189" s="79"/>
      <c r="I189" s="79"/>
      <c r="J189" s="79"/>
      <c r="K189" s="79"/>
    </row>
    <row r="190" spans="2:11" s="16" customFormat="1" ht="25.5" customHeight="1" x14ac:dyDescent="0.25">
      <c r="B190" s="82"/>
      <c r="C190" s="83"/>
      <c r="D190" s="79"/>
      <c r="E190" s="84"/>
      <c r="F190" s="82"/>
      <c r="G190" s="79"/>
      <c r="H190" s="79"/>
      <c r="I190" s="79"/>
      <c r="J190" s="79"/>
      <c r="K190" s="79"/>
    </row>
    <row r="191" spans="2:11" s="16" customFormat="1" ht="25.5" customHeight="1" x14ac:dyDescent="0.25">
      <c r="B191" s="82"/>
      <c r="C191" s="83"/>
      <c r="D191" s="79"/>
      <c r="E191" s="84"/>
      <c r="F191" s="82"/>
      <c r="G191" s="79"/>
      <c r="H191" s="79"/>
      <c r="I191" s="79"/>
      <c r="J191" s="79"/>
      <c r="K191" s="79"/>
    </row>
    <row r="192" spans="2:11" s="16" customFormat="1" ht="25.5" customHeight="1" x14ac:dyDescent="0.25">
      <c r="B192" s="82"/>
      <c r="C192" s="83"/>
      <c r="D192" s="79"/>
      <c r="E192" s="84"/>
      <c r="F192" s="82"/>
      <c r="G192" s="79"/>
      <c r="H192" s="79"/>
      <c r="I192" s="79"/>
      <c r="J192" s="79"/>
      <c r="K192" s="79"/>
    </row>
    <row r="193" spans="2:11" s="16" customFormat="1" ht="25.5" customHeight="1" x14ac:dyDescent="0.25">
      <c r="B193" s="82"/>
      <c r="C193" s="83"/>
      <c r="D193" s="79"/>
      <c r="E193" s="84"/>
      <c r="F193" s="82"/>
      <c r="G193" s="79"/>
      <c r="H193" s="79"/>
      <c r="I193" s="79"/>
      <c r="J193" s="79"/>
      <c r="K193" s="79"/>
    </row>
    <row r="194" spans="2:11" s="16" customFormat="1" ht="25.5" customHeight="1" x14ac:dyDescent="0.25">
      <c r="B194" s="82"/>
      <c r="C194" s="83"/>
      <c r="D194" s="79"/>
      <c r="E194" s="84"/>
      <c r="F194" s="82"/>
      <c r="G194" s="79"/>
      <c r="H194" s="79"/>
      <c r="I194" s="79"/>
      <c r="J194" s="79"/>
      <c r="K194" s="79"/>
    </row>
    <row r="195" spans="2:11" s="16" customFormat="1" ht="25.5" customHeight="1" x14ac:dyDescent="0.25">
      <c r="B195" s="82"/>
      <c r="C195" s="83"/>
      <c r="D195" s="79"/>
      <c r="E195" s="84"/>
      <c r="F195" s="82"/>
      <c r="G195" s="79"/>
      <c r="H195" s="79"/>
      <c r="I195" s="79"/>
      <c r="J195" s="79"/>
      <c r="K195" s="79"/>
    </row>
    <row r="196" spans="2:11" s="16" customFormat="1" ht="25.5" customHeight="1" x14ac:dyDescent="0.25">
      <c r="B196" s="82"/>
      <c r="C196" s="83"/>
      <c r="D196" s="79"/>
      <c r="E196" s="84"/>
      <c r="F196" s="82"/>
      <c r="G196" s="79"/>
      <c r="H196" s="79"/>
      <c r="I196" s="79"/>
      <c r="J196" s="79"/>
      <c r="K196" s="79"/>
    </row>
    <row r="197" spans="2:11" s="16" customFormat="1" ht="25.5" customHeight="1" x14ac:dyDescent="0.25">
      <c r="B197" s="82"/>
      <c r="C197" s="83"/>
      <c r="D197" s="79"/>
      <c r="E197" s="84"/>
      <c r="F197" s="82"/>
      <c r="G197" s="79"/>
      <c r="H197" s="79"/>
      <c r="I197" s="79"/>
      <c r="J197" s="79"/>
      <c r="K197" s="79"/>
    </row>
    <row r="198" spans="2:11" s="16" customFormat="1" ht="25.5" customHeight="1" x14ac:dyDescent="0.25">
      <c r="B198" s="82"/>
      <c r="C198" s="83"/>
      <c r="D198" s="79"/>
      <c r="E198" s="84"/>
      <c r="F198" s="82"/>
      <c r="G198" s="79"/>
      <c r="H198" s="79"/>
      <c r="I198" s="79"/>
      <c r="J198" s="79"/>
      <c r="K198" s="79"/>
    </row>
    <row r="199" spans="2:11" s="16" customFormat="1" ht="25.5" customHeight="1" x14ac:dyDescent="0.25">
      <c r="B199" s="82"/>
      <c r="C199" s="83"/>
      <c r="D199" s="79"/>
      <c r="E199" s="84"/>
      <c r="F199" s="82"/>
      <c r="G199" s="79"/>
      <c r="H199" s="79"/>
      <c r="I199" s="79"/>
      <c r="J199" s="79"/>
      <c r="K199" s="79"/>
    </row>
    <row r="200" spans="2:11" s="16" customFormat="1" ht="25.5" customHeight="1" x14ac:dyDescent="0.25">
      <c r="B200" s="82"/>
      <c r="C200" s="83"/>
      <c r="D200" s="79"/>
      <c r="E200" s="84"/>
      <c r="F200" s="82"/>
      <c r="G200" s="79"/>
      <c r="H200" s="79"/>
      <c r="I200" s="79"/>
      <c r="J200" s="79"/>
      <c r="K200" s="79"/>
    </row>
    <row r="201" spans="2:11" s="16" customFormat="1" ht="25.5" customHeight="1" x14ac:dyDescent="0.25">
      <c r="B201" s="82"/>
      <c r="C201" s="83"/>
      <c r="D201" s="79"/>
      <c r="E201" s="84"/>
      <c r="F201" s="82"/>
      <c r="G201" s="79"/>
      <c r="H201" s="79"/>
      <c r="I201" s="79"/>
      <c r="J201" s="79"/>
      <c r="K201" s="79"/>
    </row>
    <row r="202" spans="2:11" s="16" customFormat="1" ht="25.5" customHeight="1" x14ac:dyDescent="0.25">
      <c r="B202" s="82"/>
      <c r="C202" s="83"/>
      <c r="D202" s="79"/>
      <c r="E202" s="84"/>
      <c r="F202" s="82"/>
      <c r="G202" s="79"/>
      <c r="H202" s="79"/>
      <c r="I202" s="79"/>
      <c r="J202" s="79"/>
      <c r="K202" s="79"/>
    </row>
    <row r="203" spans="2:11" s="16" customFormat="1" ht="25.5" customHeight="1" x14ac:dyDescent="0.25">
      <c r="B203" s="82"/>
      <c r="C203" s="83"/>
      <c r="D203" s="79"/>
      <c r="E203" s="84"/>
      <c r="F203" s="82"/>
      <c r="G203" s="79"/>
      <c r="H203" s="79"/>
      <c r="I203" s="79"/>
      <c r="J203" s="79"/>
      <c r="K203" s="79"/>
    </row>
    <row r="204" spans="2:11" s="16" customFormat="1" ht="25.5" customHeight="1" x14ac:dyDescent="0.25">
      <c r="B204" s="82"/>
      <c r="C204" s="83"/>
      <c r="D204" s="79"/>
      <c r="E204" s="84"/>
      <c r="F204" s="82"/>
      <c r="G204" s="79"/>
      <c r="H204" s="79"/>
      <c r="I204" s="79"/>
      <c r="J204" s="79"/>
      <c r="K204" s="79"/>
    </row>
    <row r="205" spans="2:11" s="16" customFormat="1" ht="25.5" customHeight="1" x14ac:dyDescent="0.25">
      <c r="B205" s="82"/>
      <c r="C205" s="83"/>
      <c r="D205" s="79"/>
      <c r="E205" s="84"/>
      <c r="F205" s="82"/>
      <c r="G205" s="79"/>
      <c r="H205" s="79"/>
      <c r="I205" s="79"/>
      <c r="J205" s="79"/>
      <c r="K205" s="79"/>
    </row>
    <row r="206" spans="2:11" s="16" customFormat="1" ht="25.5" customHeight="1" x14ac:dyDescent="0.25">
      <c r="B206" s="82"/>
      <c r="C206" s="83"/>
      <c r="D206" s="79"/>
      <c r="E206" s="84"/>
      <c r="F206" s="82"/>
      <c r="G206" s="79"/>
      <c r="H206" s="79"/>
      <c r="I206" s="79"/>
      <c r="J206" s="79"/>
      <c r="K206" s="79"/>
    </row>
    <row r="207" spans="2:11" s="16" customFormat="1" ht="25.5" customHeight="1" x14ac:dyDescent="0.25">
      <c r="B207" s="82"/>
      <c r="C207" s="83"/>
      <c r="D207" s="79"/>
      <c r="E207" s="84"/>
      <c r="F207" s="82"/>
      <c r="G207" s="79"/>
      <c r="H207" s="79"/>
      <c r="I207" s="79"/>
      <c r="J207" s="79"/>
      <c r="K207" s="79"/>
    </row>
    <row r="208" spans="2:11" s="16" customFormat="1" ht="25.5" customHeight="1" x14ac:dyDescent="0.25">
      <c r="B208" s="82"/>
      <c r="C208" s="83"/>
      <c r="D208" s="79"/>
      <c r="E208" s="84"/>
      <c r="F208" s="82"/>
      <c r="G208" s="79"/>
      <c r="H208" s="79"/>
      <c r="I208" s="79"/>
      <c r="J208" s="79"/>
      <c r="K208" s="79"/>
    </row>
    <row r="209" spans="2:11" s="16" customFormat="1" ht="25.5" customHeight="1" x14ac:dyDescent="0.25">
      <c r="B209" s="82"/>
      <c r="C209" s="83"/>
      <c r="D209" s="79"/>
      <c r="E209" s="84"/>
      <c r="F209" s="82"/>
      <c r="G209" s="79"/>
      <c r="H209" s="79"/>
      <c r="I209" s="79"/>
      <c r="J209" s="79"/>
      <c r="K209" s="79"/>
    </row>
    <row r="210" spans="2:11" s="16" customFormat="1" ht="25.5" customHeight="1" x14ac:dyDescent="0.25">
      <c r="B210" s="82"/>
      <c r="C210" s="83"/>
      <c r="D210" s="79"/>
      <c r="E210" s="84"/>
      <c r="F210" s="82"/>
      <c r="G210" s="79"/>
      <c r="H210" s="79"/>
      <c r="I210" s="79"/>
      <c r="J210" s="79"/>
      <c r="K210" s="79"/>
    </row>
    <row r="211" spans="2:11" s="16" customFormat="1" ht="25.5" customHeight="1" x14ac:dyDescent="0.25">
      <c r="B211" s="82"/>
      <c r="C211" s="83"/>
      <c r="D211" s="79"/>
      <c r="E211" s="84"/>
      <c r="F211" s="82"/>
      <c r="G211" s="79"/>
      <c r="H211" s="79"/>
      <c r="I211" s="79"/>
      <c r="J211" s="79"/>
      <c r="K211" s="79"/>
    </row>
    <row r="212" spans="2:11" s="16" customFormat="1" ht="25.5" customHeight="1" x14ac:dyDescent="0.25">
      <c r="B212" s="82"/>
      <c r="C212" s="83"/>
      <c r="D212" s="79"/>
      <c r="E212" s="84"/>
      <c r="F212" s="82"/>
      <c r="G212" s="79"/>
      <c r="H212" s="79"/>
      <c r="I212" s="79"/>
      <c r="J212" s="79"/>
      <c r="K212" s="79"/>
    </row>
    <row r="213" spans="2:11" s="16" customFormat="1" ht="25.5" customHeight="1" x14ac:dyDescent="0.25">
      <c r="B213" s="82"/>
      <c r="C213" s="83"/>
      <c r="D213" s="79"/>
      <c r="E213" s="84"/>
      <c r="F213" s="82"/>
      <c r="G213" s="79"/>
      <c r="H213" s="79"/>
      <c r="I213" s="79"/>
      <c r="J213" s="79"/>
      <c r="K213" s="79"/>
    </row>
    <row r="214" spans="2:11" s="16" customFormat="1" ht="25.5" customHeight="1" x14ac:dyDescent="0.25">
      <c r="B214" s="82"/>
      <c r="C214" s="83"/>
      <c r="D214" s="79"/>
      <c r="E214" s="84"/>
      <c r="F214" s="82"/>
      <c r="G214" s="79"/>
      <c r="H214" s="79"/>
      <c r="I214" s="79"/>
      <c r="J214" s="79"/>
      <c r="K214" s="79"/>
    </row>
    <row r="215" spans="2:11" s="16" customFormat="1" ht="25.5" customHeight="1" x14ac:dyDescent="0.25">
      <c r="B215" s="82"/>
      <c r="C215" s="83"/>
      <c r="D215" s="79"/>
      <c r="E215" s="84"/>
      <c r="F215" s="82"/>
      <c r="G215" s="79"/>
      <c r="H215" s="79"/>
      <c r="I215" s="79"/>
      <c r="J215" s="79"/>
      <c r="K215" s="79"/>
    </row>
    <row r="216" spans="2:11" s="16" customFormat="1" ht="25.5" customHeight="1" x14ac:dyDescent="0.25">
      <c r="B216" s="82"/>
      <c r="C216" s="83"/>
      <c r="D216" s="79"/>
      <c r="E216" s="84"/>
      <c r="F216" s="82"/>
      <c r="G216" s="79"/>
      <c r="H216" s="79"/>
      <c r="I216" s="79"/>
      <c r="J216" s="79"/>
      <c r="K216" s="79"/>
    </row>
    <row r="217" spans="2:11" s="16" customFormat="1" ht="25.5" customHeight="1" x14ac:dyDescent="0.25">
      <c r="B217" s="82"/>
      <c r="C217" s="83"/>
      <c r="D217" s="79"/>
      <c r="E217" s="84"/>
      <c r="F217" s="82"/>
      <c r="G217" s="79"/>
      <c r="H217" s="79"/>
      <c r="I217" s="79"/>
      <c r="J217" s="79"/>
      <c r="K217" s="79"/>
    </row>
    <row r="218" spans="2:11" s="16" customFormat="1" ht="25.5" customHeight="1" x14ac:dyDescent="0.25">
      <c r="B218" s="82"/>
      <c r="C218" s="83"/>
      <c r="D218" s="79"/>
      <c r="E218" s="84"/>
      <c r="F218" s="82"/>
      <c r="G218" s="79"/>
      <c r="H218" s="79"/>
      <c r="I218" s="79"/>
      <c r="J218" s="79"/>
      <c r="K218" s="79"/>
    </row>
    <row r="219" spans="2:11" s="16" customFormat="1" ht="25.5" customHeight="1" x14ac:dyDescent="0.25">
      <c r="B219" s="82"/>
      <c r="C219" s="83"/>
      <c r="D219" s="79"/>
      <c r="E219" s="84"/>
      <c r="F219" s="82"/>
      <c r="G219" s="79"/>
      <c r="H219" s="79"/>
      <c r="I219" s="79"/>
      <c r="J219" s="79"/>
      <c r="K219" s="79"/>
    </row>
    <row r="220" spans="2:11" s="16" customFormat="1" ht="25.5" customHeight="1" x14ac:dyDescent="0.25">
      <c r="B220" s="82"/>
      <c r="C220" s="83"/>
      <c r="D220" s="79"/>
      <c r="E220" s="84"/>
      <c r="F220" s="82"/>
      <c r="G220" s="79"/>
      <c r="H220" s="79"/>
      <c r="I220" s="79"/>
      <c r="J220" s="79"/>
      <c r="K220" s="79"/>
    </row>
    <row r="221" spans="2:11" s="16" customFormat="1" ht="25.5" customHeight="1" x14ac:dyDescent="0.25">
      <c r="B221" s="82"/>
      <c r="C221" s="83"/>
      <c r="D221" s="79"/>
      <c r="E221" s="84"/>
      <c r="F221" s="82"/>
      <c r="G221" s="79"/>
      <c r="H221" s="79"/>
      <c r="I221" s="79"/>
      <c r="J221" s="79"/>
      <c r="K221" s="79"/>
    </row>
    <row r="222" spans="2:11" s="16" customFormat="1" ht="25.5" customHeight="1" x14ac:dyDescent="0.25">
      <c r="B222" s="82"/>
      <c r="C222" s="83"/>
      <c r="D222" s="79"/>
      <c r="E222" s="84"/>
      <c r="F222" s="82"/>
      <c r="G222" s="79"/>
      <c r="H222" s="79"/>
      <c r="I222" s="79"/>
      <c r="J222" s="79"/>
      <c r="K222" s="79"/>
    </row>
    <row r="223" spans="2:11" s="16" customFormat="1" ht="25.5" customHeight="1" x14ac:dyDescent="0.25">
      <c r="B223" s="82"/>
      <c r="C223" s="83"/>
      <c r="D223" s="79"/>
      <c r="E223" s="84"/>
      <c r="F223" s="82"/>
      <c r="G223" s="79"/>
      <c r="H223" s="79"/>
      <c r="I223" s="79"/>
      <c r="J223" s="79"/>
      <c r="K223" s="79"/>
    </row>
    <row r="224" spans="2:11" s="16" customFormat="1" ht="25.5" customHeight="1" x14ac:dyDescent="0.25">
      <c r="B224" s="82"/>
      <c r="C224" s="83"/>
      <c r="D224" s="79"/>
      <c r="E224" s="84"/>
      <c r="F224" s="82"/>
      <c r="G224" s="79"/>
      <c r="H224" s="79"/>
      <c r="I224" s="79"/>
      <c r="J224" s="79"/>
      <c r="K224" s="79"/>
    </row>
    <row r="225" spans="2:11" s="16" customFormat="1" ht="25.5" customHeight="1" x14ac:dyDescent="0.25">
      <c r="B225" s="82"/>
      <c r="C225" s="83"/>
      <c r="D225" s="79"/>
      <c r="E225" s="84"/>
      <c r="F225" s="82"/>
      <c r="G225" s="79"/>
      <c r="H225" s="79"/>
      <c r="I225" s="79"/>
      <c r="J225" s="79"/>
      <c r="K225" s="79"/>
    </row>
    <row r="226" spans="2:11" s="16" customFormat="1" ht="25.5" customHeight="1" x14ac:dyDescent="0.25">
      <c r="B226" s="82"/>
      <c r="C226" s="83"/>
      <c r="D226" s="79"/>
      <c r="E226" s="84"/>
      <c r="F226" s="82"/>
      <c r="G226" s="79"/>
      <c r="H226" s="79"/>
      <c r="I226" s="79"/>
      <c r="J226" s="79"/>
      <c r="K226" s="79"/>
    </row>
    <row r="227" spans="2:11" s="16" customFormat="1" ht="25.5" customHeight="1" x14ac:dyDescent="0.25">
      <c r="B227" s="82"/>
      <c r="C227" s="83"/>
      <c r="D227" s="79"/>
      <c r="E227" s="84"/>
      <c r="F227" s="82"/>
      <c r="G227" s="79"/>
      <c r="H227" s="79"/>
      <c r="I227" s="79"/>
      <c r="J227" s="79"/>
      <c r="K227" s="79"/>
    </row>
    <row r="228" spans="2:11" s="16" customFormat="1" ht="25.5" customHeight="1" x14ac:dyDescent="0.25">
      <c r="B228" s="82"/>
      <c r="C228" s="83"/>
      <c r="D228" s="79"/>
      <c r="E228" s="84"/>
      <c r="F228" s="82"/>
      <c r="G228" s="79"/>
      <c r="H228" s="79"/>
      <c r="I228" s="79"/>
      <c r="J228" s="79"/>
      <c r="K228" s="79"/>
    </row>
    <row r="229" spans="2:11" s="16" customFormat="1" ht="25.5" customHeight="1" x14ac:dyDescent="0.25">
      <c r="B229" s="82"/>
      <c r="C229" s="83"/>
      <c r="D229" s="79"/>
      <c r="E229" s="84"/>
      <c r="F229" s="82"/>
      <c r="G229" s="79"/>
      <c r="H229" s="79"/>
      <c r="I229" s="79"/>
      <c r="J229" s="79"/>
      <c r="K229" s="79"/>
    </row>
    <row r="230" spans="2:11" s="16" customFormat="1" ht="25.5" customHeight="1" x14ac:dyDescent="0.25">
      <c r="B230" s="82"/>
      <c r="C230" s="83"/>
      <c r="D230" s="79"/>
      <c r="E230" s="84"/>
      <c r="F230" s="82"/>
      <c r="G230" s="79"/>
      <c r="H230" s="79"/>
      <c r="I230" s="79"/>
      <c r="J230" s="79"/>
      <c r="K230" s="79"/>
    </row>
    <row r="231" spans="2:11" s="16" customFormat="1" ht="25.5" customHeight="1" x14ac:dyDescent="0.25">
      <c r="B231" s="82"/>
      <c r="C231" s="83"/>
      <c r="D231" s="79"/>
      <c r="E231" s="84"/>
      <c r="F231" s="82"/>
      <c r="G231" s="79"/>
      <c r="H231" s="79"/>
      <c r="I231" s="79"/>
      <c r="J231" s="79"/>
      <c r="K231" s="79"/>
    </row>
    <row r="232" spans="2:11" s="16" customFormat="1" ht="25.5" customHeight="1" x14ac:dyDescent="0.25">
      <c r="B232" s="82"/>
      <c r="C232" s="83"/>
      <c r="D232" s="79"/>
      <c r="E232" s="84"/>
      <c r="F232" s="82"/>
      <c r="G232" s="79"/>
      <c r="H232" s="79"/>
      <c r="I232" s="79"/>
      <c r="J232" s="79"/>
      <c r="K232" s="79"/>
    </row>
    <row r="233" spans="2:11" s="16" customFormat="1" ht="25.5" customHeight="1" x14ac:dyDescent="0.25">
      <c r="B233" s="82"/>
      <c r="C233" s="83"/>
      <c r="D233" s="79"/>
      <c r="E233" s="84"/>
      <c r="F233" s="82"/>
      <c r="G233" s="79"/>
      <c r="H233" s="79"/>
      <c r="I233" s="79"/>
      <c r="J233" s="79"/>
      <c r="K233" s="79"/>
    </row>
    <row r="234" spans="2:11" s="16" customFormat="1" ht="25.5" customHeight="1" x14ac:dyDescent="0.25">
      <c r="B234" s="82"/>
      <c r="C234" s="83"/>
      <c r="D234" s="79"/>
      <c r="E234" s="84"/>
      <c r="F234" s="82"/>
      <c r="G234" s="79"/>
      <c r="H234" s="79"/>
      <c r="I234" s="79"/>
      <c r="J234" s="79"/>
      <c r="K234" s="79"/>
    </row>
    <row r="235" spans="2:11" s="16" customFormat="1" ht="25.5" customHeight="1" x14ac:dyDescent="0.25">
      <c r="B235" s="82"/>
      <c r="C235" s="83"/>
      <c r="D235" s="79"/>
      <c r="E235" s="84"/>
      <c r="F235" s="82"/>
      <c r="G235" s="79"/>
      <c r="H235" s="79"/>
      <c r="I235" s="79"/>
      <c r="J235" s="79"/>
      <c r="K235" s="79"/>
    </row>
    <row r="236" spans="2:11" s="16" customFormat="1" ht="25.5" customHeight="1" x14ac:dyDescent="0.25">
      <c r="B236" s="82"/>
      <c r="C236" s="83"/>
      <c r="D236" s="79"/>
      <c r="E236" s="84"/>
      <c r="F236" s="82"/>
      <c r="G236" s="79"/>
      <c r="H236" s="79"/>
      <c r="I236" s="79"/>
      <c r="J236" s="79"/>
      <c r="K236" s="79"/>
    </row>
    <row r="237" spans="2:11" s="16" customFormat="1" ht="25.5" customHeight="1" x14ac:dyDescent="0.25">
      <c r="B237" s="82"/>
      <c r="C237" s="83"/>
      <c r="D237" s="79"/>
      <c r="E237" s="84"/>
      <c r="F237" s="82"/>
      <c r="G237" s="79"/>
      <c r="H237" s="79"/>
      <c r="I237" s="79"/>
      <c r="J237" s="79"/>
      <c r="K237" s="79"/>
    </row>
    <row r="238" spans="2:11" s="16" customFormat="1" ht="25.5" customHeight="1" x14ac:dyDescent="0.25">
      <c r="B238" s="82"/>
      <c r="C238" s="83"/>
      <c r="D238" s="79"/>
      <c r="E238" s="84"/>
      <c r="F238" s="82"/>
      <c r="G238" s="79"/>
      <c r="H238" s="79"/>
      <c r="I238" s="79"/>
      <c r="J238" s="79"/>
      <c r="K238" s="79"/>
    </row>
    <row r="239" spans="2:11" s="16" customFormat="1" ht="25.5" customHeight="1" x14ac:dyDescent="0.25">
      <c r="B239" s="82"/>
      <c r="C239" s="83"/>
      <c r="D239" s="79"/>
      <c r="E239" s="84"/>
      <c r="F239" s="82"/>
      <c r="G239" s="79"/>
      <c r="H239" s="79"/>
      <c r="I239" s="79"/>
      <c r="J239" s="79"/>
      <c r="K239" s="79"/>
    </row>
    <row r="240" spans="2:11" s="16" customFormat="1" ht="25.5" customHeight="1" x14ac:dyDescent="0.25">
      <c r="B240" s="82"/>
      <c r="C240" s="83"/>
      <c r="D240" s="79"/>
      <c r="E240" s="84"/>
      <c r="F240" s="82"/>
      <c r="G240" s="79"/>
      <c r="H240" s="79"/>
      <c r="I240" s="79"/>
      <c r="J240" s="79"/>
      <c r="K240" s="79"/>
    </row>
    <row r="241" spans="2:11" s="16" customFormat="1" ht="25.5" customHeight="1" x14ac:dyDescent="0.25">
      <c r="B241" s="82"/>
      <c r="C241" s="83"/>
      <c r="D241" s="79"/>
      <c r="E241" s="84"/>
      <c r="F241" s="82"/>
      <c r="G241" s="79"/>
      <c r="H241" s="79"/>
      <c r="I241" s="79"/>
      <c r="J241" s="79"/>
      <c r="K241" s="79"/>
    </row>
    <row r="242" spans="2:11" s="16" customFormat="1" ht="25.5" customHeight="1" x14ac:dyDescent="0.25">
      <c r="B242" s="82"/>
      <c r="C242" s="83"/>
      <c r="D242" s="79"/>
      <c r="E242" s="84"/>
      <c r="F242" s="82"/>
      <c r="G242" s="79"/>
      <c r="H242" s="79"/>
      <c r="I242" s="79"/>
      <c r="J242" s="79"/>
      <c r="K242" s="79"/>
    </row>
    <row r="243" spans="2:11" s="16" customFormat="1" ht="25.5" customHeight="1" x14ac:dyDescent="0.25">
      <c r="B243" s="82"/>
      <c r="C243" s="83"/>
      <c r="D243" s="79"/>
      <c r="E243" s="84"/>
      <c r="F243" s="82"/>
      <c r="G243" s="79"/>
      <c r="H243" s="79"/>
      <c r="I243" s="79"/>
      <c r="J243" s="79"/>
      <c r="K243" s="79"/>
    </row>
    <row r="244" spans="2:11" s="16" customFormat="1" ht="25.5" customHeight="1" x14ac:dyDescent="0.25">
      <c r="B244" s="82"/>
      <c r="C244" s="83"/>
      <c r="D244" s="79"/>
      <c r="E244" s="84"/>
      <c r="F244" s="82"/>
      <c r="G244" s="79"/>
      <c r="H244" s="79"/>
      <c r="I244" s="79"/>
      <c r="J244" s="79"/>
      <c r="K244" s="79"/>
    </row>
    <row r="245" spans="2:11" s="16" customFormat="1" ht="25.5" customHeight="1" x14ac:dyDescent="0.25">
      <c r="B245" s="82"/>
      <c r="C245" s="83"/>
      <c r="D245" s="79"/>
      <c r="E245" s="84"/>
      <c r="F245" s="82"/>
      <c r="G245" s="79"/>
      <c r="H245" s="79"/>
      <c r="I245" s="79"/>
      <c r="J245" s="79"/>
      <c r="K245" s="79"/>
    </row>
    <row r="246" spans="2:11" s="16" customFormat="1" ht="25.5" customHeight="1" x14ac:dyDescent="0.25">
      <c r="B246" s="82"/>
      <c r="C246" s="83"/>
      <c r="D246" s="79"/>
      <c r="E246" s="84"/>
      <c r="F246" s="82"/>
      <c r="G246" s="79"/>
      <c r="H246" s="79"/>
      <c r="I246" s="79"/>
      <c r="J246" s="79"/>
      <c r="K246" s="79"/>
    </row>
    <row r="247" spans="2:11" s="16" customFormat="1" ht="25.5" customHeight="1" x14ac:dyDescent="0.25">
      <c r="B247" s="82"/>
      <c r="C247" s="83"/>
      <c r="D247" s="79"/>
      <c r="E247" s="84"/>
      <c r="F247" s="82"/>
      <c r="G247" s="79"/>
      <c r="H247" s="79"/>
      <c r="I247" s="79"/>
      <c r="J247" s="79"/>
      <c r="K247" s="79"/>
    </row>
    <row r="248" spans="2:11" s="16" customFormat="1" ht="25.5" customHeight="1" x14ac:dyDescent="0.25">
      <c r="B248" s="82"/>
      <c r="C248" s="83"/>
      <c r="D248" s="79"/>
      <c r="E248" s="84"/>
      <c r="F248" s="82"/>
      <c r="G248" s="79"/>
      <c r="H248" s="79"/>
      <c r="I248" s="79"/>
      <c r="J248" s="79"/>
      <c r="K248" s="79"/>
    </row>
    <row r="249" spans="2:11" s="16" customFormat="1" ht="25.5" customHeight="1" x14ac:dyDescent="0.25">
      <c r="B249" s="82"/>
      <c r="C249" s="83"/>
      <c r="D249" s="79"/>
      <c r="E249" s="84"/>
      <c r="F249" s="82"/>
      <c r="G249" s="79"/>
      <c r="H249" s="79"/>
      <c r="I249" s="79"/>
      <c r="J249" s="79"/>
      <c r="K249" s="79"/>
    </row>
    <row r="250" spans="2:11" s="16" customFormat="1" ht="25.5" customHeight="1" x14ac:dyDescent="0.25">
      <c r="B250" s="82"/>
      <c r="C250" s="83"/>
      <c r="D250" s="79"/>
      <c r="E250" s="84"/>
      <c r="F250" s="82"/>
      <c r="G250" s="79"/>
      <c r="H250" s="79"/>
      <c r="I250" s="79"/>
      <c r="J250" s="79"/>
      <c r="K250" s="79"/>
    </row>
    <row r="251" spans="2:11" s="16" customFormat="1" ht="25.5" customHeight="1" x14ac:dyDescent="0.25">
      <c r="B251" s="82"/>
      <c r="C251" s="83"/>
      <c r="D251" s="79"/>
      <c r="E251" s="84"/>
      <c r="F251" s="82"/>
      <c r="G251" s="79"/>
      <c r="H251" s="79"/>
      <c r="I251" s="79"/>
      <c r="J251" s="79"/>
      <c r="K251" s="79"/>
    </row>
    <row r="252" spans="2:11" s="16" customFormat="1" ht="25.5" customHeight="1" x14ac:dyDescent="0.25">
      <c r="B252" s="82"/>
      <c r="C252" s="83"/>
      <c r="D252" s="79"/>
      <c r="E252" s="84"/>
      <c r="F252" s="82"/>
      <c r="G252" s="79"/>
      <c r="H252" s="79"/>
      <c r="I252" s="79"/>
      <c r="J252" s="79"/>
      <c r="K252" s="79"/>
    </row>
    <row r="253" spans="2:11" s="16" customFormat="1" ht="25.5" customHeight="1" x14ac:dyDescent="0.25">
      <c r="B253" s="82"/>
      <c r="C253" s="83"/>
      <c r="D253" s="79"/>
      <c r="E253" s="84"/>
      <c r="F253" s="82"/>
      <c r="G253" s="79"/>
      <c r="H253" s="79"/>
      <c r="I253" s="79"/>
      <c r="J253" s="79"/>
      <c r="K253" s="79"/>
    </row>
    <row r="255" spans="2:11" ht="12" x14ac:dyDescent="0.25">
      <c r="B255" s="16" t="s">
        <v>38</v>
      </c>
      <c r="C255" s="68"/>
      <c r="D255" s="68"/>
      <c r="E255" s="68"/>
      <c r="F255" s="68"/>
      <c r="G255" s="68"/>
      <c r="H255" s="68"/>
      <c r="I255" s="68"/>
      <c r="J255" s="68"/>
      <c r="K255" s="68"/>
    </row>
    <row r="256" spans="2:11" ht="14.1" customHeight="1" x14ac:dyDescent="0.25">
      <c r="B256" s="69" t="s">
        <v>107</v>
      </c>
      <c r="C256" s="69"/>
      <c r="D256" s="69"/>
      <c r="E256" s="69"/>
      <c r="F256" s="69"/>
      <c r="G256" s="69"/>
      <c r="H256" s="69"/>
      <c r="I256" s="69"/>
      <c r="J256" s="69"/>
      <c r="K256" s="69"/>
    </row>
    <row r="257" spans="2:19" ht="14.1" customHeight="1" x14ac:dyDescent="0.25">
      <c r="B257" s="1" t="s">
        <v>108</v>
      </c>
      <c r="C257" s="70"/>
      <c r="D257" s="70"/>
      <c r="E257" s="70"/>
      <c r="F257" s="70"/>
      <c r="G257" s="70"/>
      <c r="H257" s="70"/>
      <c r="I257" s="70"/>
      <c r="J257" s="70"/>
      <c r="K257" s="70"/>
    </row>
    <row r="258" spans="2:19" ht="14.1" customHeight="1" x14ac:dyDescent="0.25">
      <c r="B258" s="1" t="s">
        <v>109</v>
      </c>
      <c r="C258" s="70"/>
      <c r="D258" s="70"/>
      <c r="E258" s="70"/>
      <c r="F258" s="70"/>
      <c r="G258" s="70"/>
      <c r="H258" s="70"/>
      <c r="I258" s="70"/>
      <c r="J258" s="70"/>
      <c r="K258" s="70"/>
    </row>
    <row r="259" spans="2:19" ht="14.1" customHeight="1" x14ac:dyDescent="0.25">
      <c r="B259" s="1" t="s">
        <v>110</v>
      </c>
      <c r="C259" s="70"/>
      <c r="D259" s="70"/>
      <c r="E259" s="70"/>
      <c r="F259" s="70"/>
      <c r="G259" s="70"/>
      <c r="H259" s="70"/>
      <c r="I259" s="70"/>
      <c r="J259" s="70"/>
      <c r="K259" s="70"/>
    </row>
    <row r="260" spans="2:19" ht="14.1" customHeight="1" x14ac:dyDescent="0.25">
      <c r="B260" s="1" t="s">
        <v>111</v>
      </c>
    </row>
    <row r="261" spans="2:19" ht="12" x14ac:dyDescent="0.25">
      <c r="B261" s="70"/>
      <c r="C261" s="70"/>
      <c r="D261" s="70"/>
      <c r="E261" s="70"/>
      <c r="F261" s="70"/>
      <c r="G261" s="70"/>
      <c r="H261" s="70"/>
      <c r="I261" s="70"/>
      <c r="J261" s="70"/>
      <c r="K261" s="70"/>
      <c r="R261" s="64"/>
      <c r="S261" s="62"/>
    </row>
    <row r="262" spans="2:19" ht="12" x14ac:dyDescent="0.25">
      <c r="B262" s="2" t="s">
        <v>51</v>
      </c>
      <c r="C262" s="2"/>
      <c r="D262" s="2"/>
      <c r="E262" s="2"/>
      <c r="F262" s="2"/>
      <c r="G262" s="2"/>
      <c r="H262" s="2"/>
      <c r="I262" s="2"/>
      <c r="J262" s="2"/>
      <c r="K262" s="2"/>
    </row>
    <row r="263" spans="2:19" ht="14.1" customHeight="1" x14ac:dyDescent="0.25">
      <c r="B263" s="1" t="s">
        <v>52</v>
      </c>
    </row>
    <row r="264" spans="2:19" ht="14.1" customHeight="1" x14ac:dyDescent="0.25"/>
    <row r="265" spans="2:19" ht="14.1" customHeight="1" x14ac:dyDescent="0.25"/>
    <row r="266" spans="2:19" ht="14.1" customHeight="1" x14ac:dyDescent="0.25"/>
    <row r="267" spans="2:19" ht="14.1" customHeight="1" x14ac:dyDescent="0.25"/>
    <row r="268" spans="2:19" ht="14.1" customHeight="1" x14ac:dyDescent="0.25"/>
    <row r="269" spans="2:19" ht="14.1" customHeight="1" x14ac:dyDescent="0.25"/>
    <row r="270" spans="2:19" ht="14.1" customHeight="1" x14ac:dyDescent="0.25"/>
  </sheetData>
  <hyperlinks>
    <hyperlink ref="B4" location="'Index sheet'!A1" display="Back to index" xr:uid="{00000000-0004-0000-0700-000000000000}"/>
  </hyperlinks>
  <pageMargins left="0.7" right="0.7" top="0.75" bottom="0.75" header="0.3" footer="0.3"/>
  <pageSetup paperSize="9" orientation="portrait" r:id="rId1"/>
  <ignoredErrors>
    <ignoredError sqref="A254:S270 A1:S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140"/>
  <sheetViews>
    <sheetView showGridLines="0" zoomScaleNormal="100" workbookViewId="0"/>
  </sheetViews>
  <sheetFormatPr defaultColWidth="8.5546875" defaultRowHeight="11.4" customHeight="1" x14ac:dyDescent="0.25"/>
  <cols>
    <col min="1" max="1" width="2.88671875" style="1" customWidth="1"/>
    <col min="2" max="2" width="48.109375" style="1" customWidth="1"/>
    <col min="3" max="3" width="37.6640625" style="1" customWidth="1"/>
    <col min="4" max="4" width="99" style="1" customWidth="1"/>
    <col min="5" max="5" width="22.44140625" style="1" customWidth="1"/>
    <col min="6" max="6" width="16.109375" style="1" customWidth="1"/>
    <col min="7" max="7" width="20.44140625" style="1" customWidth="1"/>
    <col min="8" max="8" width="8.5546875" style="1" customWidth="1"/>
    <col min="9" max="16384" width="8.5546875" style="1"/>
  </cols>
  <sheetData>
    <row r="1" spans="2:15" ht="15" customHeight="1" x14ac:dyDescent="0.3">
      <c r="B1" s="6" t="s">
        <v>112</v>
      </c>
      <c r="C1" s="6"/>
      <c r="D1" s="6"/>
      <c r="E1" s="6"/>
      <c r="F1" s="6"/>
      <c r="G1" s="6"/>
      <c r="I1" s="62"/>
      <c r="J1" s="62"/>
      <c r="K1" s="63"/>
      <c r="L1" s="63"/>
      <c r="N1" s="64"/>
      <c r="O1" s="62"/>
    </row>
    <row r="2" spans="2:15" ht="18" customHeight="1" x14ac:dyDescent="0.3">
      <c r="B2" s="6" t="s">
        <v>113</v>
      </c>
      <c r="C2" s="6"/>
      <c r="D2" s="6"/>
      <c r="E2" s="6"/>
      <c r="F2" s="6"/>
      <c r="G2" s="6"/>
    </row>
    <row r="3" spans="2:15" ht="12" x14ac:dyDescent="0.25">
      <c r="B3" s="71"/>
      <c r="C3" s="71"/>
      <c r="D3" s="71"/>
      <c r="E3" s="71"/>
      <c r="F3" s="71"/>
      <c r="G3" s="71"/>
    </row>
    <row r="4" spans="2:15" ht="12" x14ac:dyDescent="0.25">
      <c r="B4" s="13" t="s">
        <v>19</v>
      </c>
      <c r="C4" s="13"/>
      <c r="D4" s="72"/>
      <c r="E4" s="13"/>
      <c r="F4" s="13"/>
      <c r="G4" s="13"/>
    </row>
    <row r="5" spans="2:15" ht="12" x14ac:dyDescent="0.25">
      <c r="B5" s="13"/>
      <c r="C5" s="13"/>
      <c r="D5" s="13"/>
      <c r="E5" s="13"/>
      <c r="F5" s="13"/>
      <c r="G5" s="13"/>
    </row>
    <row r="6" spans="2:15" ht="25.5" customHeight="1" x14ac:dyDescent="0.25">
      <c r="B6" s="134" t="s">
        <v>617</v>
      </c>
      <c r="C6" s="139" t="s">
        <v>618</v>
      </c>
      <c r="D6" s="139" t="s">
        <v>619</v>
      </c>
      <c r="E6" s="140" t="s">
        <v>620</v>
      </c>
      <c r="F6" s="141" t="s">
        <v>621</v>
      </c>
      <c r="G6" s="141" t="s">
        <v>622</v>
      </c>
    </row>
    <row r="7" spans="2:15" ht="50.25" customHeight="1" x14ac:dyDescent="0.25">
      <c r="B7" s="133" t="s">
        <v>550</v>
      </c>
      <c r="C7" s="142" t="s">
        <v>366</v>
      </c>
      <c r="D7" s="143" t="s">
        <v>546</v>
      </c>
      <c r="E7" s="135" t="s">
        <v>292</v>
      </c>
      <c r="F7" s="143" t="s">
        <v>547</v>
      </c>
      <c r="G7" s="144" t="s">
        <v>160</v>
      </c>
    </row>
    <row r="8" spans="2:15" ht="40.5" customHeight="1" x14ac:dyDescent="0.25">
      <c r="B8" s="135" t="s">
        <v>278</v>
      </c>
      <c r="C8" s="143" t="s">
        <v>533</v>
      </c>
      <c r="D8" s="143" t="s">
        <v>534</v>
      </c>
      <c r="E8" s="135" t="s">
        <v>291</v>
      </c>
      <c r="F8" s="143" t="s">
        <v>547</v>
      </c>
      <c r="G8" s="144" t="s">
        <v>160</v>
      </c>
    </row>
    <row r="9" spans="2:15" ht="72" x14ac:dyDescent="0.25">
      <c r="B9" s="135" t="s">
        <v>261</v>
      </c>
      <c r="C9" s="142" t="s">
        <v>158</v>
      </c>
      <c r="D9" s="145" t="s">
        <v>570</v>
      </c>
      <c r="E9" s="135" t="s">
        <v>292</v>
      </c>
      <c r="F9" s="143" t="s">
        <v>548</v>
      </c>
      <c r="G9" s="144" t="s">
        <v>160</v>
      </c>
    </row>
    <row r="10" spans="2:15" ht="42.75" customHeight="1" x14ac:dyDescent="0.25">
      <c r="B10" s="135" t="s">
        <v>265</v>
      </c>
      <c r="C10" s="143" t="s">
        <v>151</v>
      </c>
      <c r="D10" s="143" t="s">
        <v>537</v>
      </c>
      <c r="E10" s="135" t="s">
        <v>292</v>
      </c>
      <c r="F10" s="143" t="s">
        <v>548</v>
      </c>
      <c r="G10" s="144" t="s">
        <v>160</v>
      </c>
    </row>
    <row r="11" spans="2:15" ht="73.5" customHeight="1" x14ac:dyDescent="0.25">
      <c r="B11" s="135" t="s">
        <v>367</v>
      </c>
      <c r="C11" s="142" t="s">
        <v>368</v>
      </c>
      <c r="D11" s="143" t="s">
        <v>538</v>
      </c>
      <c r="E11" s="135" t="s">
        <v>291</v>
      </c>
      <c r="F11" s="143" t="s">
        <v>548</v>
      </c>
      <c r="G11" s="144" t="s">
        <v>160</v>
      </c>
    </row>
    <row r="12" spans="2:15" ht="72.75" customHeight="1" x14ac:dyDescent="0.25">
      <c r="B12" s="135" t="s">
        <v>262</v>
      </c>
      <c r="C12" s="142" t="s">
        <v>159</v>
      </c>
      <c r="D12" s="143" t="s">
        <v>539</v>
      </c>
      <c r="E12" s="135" t="s">
        <v>292</v>
      </c>
      <c r="F12" s="143" t="s">
        <v>548</v>
      </c>
      <c r="G12" s="144" t="s">
        <v>160</v>
      </c>
    </row>
    <row r="13" spans="2:15" ht="84.75" customHeight="1" x14ac:dyDescent="0.25">
      <c r="B13" s="135" t="s">
        <v>263</v>
      </c>
      <c r="C13" s="142" t="s">
        <v>125</v>
      </c>
      <c r="D13" s="143" t="s">
        <v>540</v>
      </c>
      <c r="E13" s="135" t="s">
        <v>292</v>
      </c>
      <c r="F13" s="143" t="s">
        <v>548</v>
      </c>
      <c r="G13" s="144" t="s">
        <v>160</v>
      </c>
    </row>
    <row r="14" spans="2:15" ht="45.75" customHeight="1" x14ac:dyDescent="0.25">
      <c r="B14" s="135" t="s">
        <v>250</v>
      </c>
      <c r="C14" s="142" t="s">
        <v>155</v>
      </c>
      <c r="D14" s="143" t="s">
        <v>541</v>
      </c>
      <c r="E14" s="135" t="s">
        <v>291</v>
      </c>
      <c r="F14" s="143" t="s">
        <v>547</v>
      </c>
      <c r="G14" s="144" t="s">
        <v>160</v>
      </c>
    </row>
    <row r="15" spans="2:15" ht="48" x14ac:dyDescent="0.25">
      <c r="B15" s="135" t="s">
        <v>251</v>
      </c>
      <c r="C15" s="142" t="s">
        <v>156</v>
      </c>
      <c r="D15" s="143" t="s">
        <v>572</v>
      </c>
      <c r="E15" s="135" t="s">
        <v>291</v>
      </c>
      <c r="F15" s="143" t="s">
        <v>548</v>
      </c>
      <c r="G15" s="144" t="s">
        <v>160</v>
      </c>
    </row>
    <row r="16" spans="2:15" ht="63" customHeight="1" x14ac:dyDescent="0.25">
      <c r="B16" s="135" t="s">
        <v>370</v>
      </c>
      <c r="C16" s="143" t="s">
        <v>151</v>
      </c>
      <c r="D16" s="143" t="s">
        <v>542</v>
      </c>
      <c r="E16" s="135" t="s">
        <v>292</v>
      </c>
      <c r="F16" s="143" t="s">
        <v>547</v>
      </c>
      <c r="G16" s="144" t="s">
        <v>160</v>
      </c>
    </row>
    <row r="17" spans="2:7" ht="58.5" customHeight="1" x14ac:dyDescent="0.25">
      <c r="B17" s="133" t="s">
        <v>281</v>
      </c>
      <c r="C17" s="143" t="s">
        <v>168</v>
      </c>
      <c r="D17" s="143" t="s">
        <v>543</v>
      </c>
      <c r="E17" s="135" t="s">
        <v>292</v>
      </c>
      <c r="F17" s="143" t="s">
        <v>547</v>
      </c>
      <c r="G17" s="144" t="s">
        <v>160</v>
      </c>
    </row>
    <row r="18" spans="2:7" ht="84" x14ac:dyDescent="0.25">
      <c r="B18" s="135" t="s">
        <v>269</v>
      </c>
      <c r="C18" s="142" t="s">
        <v>122</v>
      </c>
      <c r="D18" s="143" t="s">
        <v>571</v>
      </c>
      <c r="E18" s="135" t="s">
        <v>293</v>
      </c>
      <c r="F18" s="143" t="s">
        <v>548</v>
      </c>
      <c r="G18" s="144" t="s">
        <v>160</v>
      </c>
    </row>
    <row r="19" spans="2:7" ht="48.75" customHeight="1" x14ac:dyDescent="0.25">
      <c r="B19" s="135" t="s">
        <v>574</v>
      </c>
      <c r="C19" s="142" t="s">
        <v>117</v>
      </c>
      <c r="D19" s="143" t="s">
        <v>580</v>
      </c>
      <c r="E19" s="135" t="s">
        <v>291</v>
      </c>
      <c r="F19" s="143" t="s">
        <v>547</v>
      </c>
      <c r="G19" s="144" t="s">
        <v>160</v>
      </c>
    </row>
    <row r="20" spans="2:7" ht="72" customHeight="1" x14ac:dyDescent="0.25">
      <c r="B20" s="135" t="s">
        <v>573</v>
      </c>
      <c r="C20" s="142" t="s">
        <v>117</v>
      </c>
      <c r="D20" s="143" t="s">
        <v>581</v>
      </c>
      <c r="E20" s="135" t="s">
        <v>292</v>
      </c>
      <c r="F20" s="143" t="s">
        <v>547</v>
      </c>
      <c r="G20" s="144" t="s">
        <v>160</v>
      </c>
    </row>
    <row r="21" spans="2:7" ht="81.75" customHeight="1" x14ac:dyDescent="0.25">
      <c r="B21" s="133" t="s">
        <v>276</v>
      </c>
      <c r="C21" s="143" t="s">
        <v>164</v>
      </c>
      <c r="D21" s="143" t="s">
        <v>575</v>
      </c>
      <c r="E21" s="135" t="s">
        <v>291</v>
      </c>
      <c r="F21" s="143" t="s">
        <v>547</v>
      </c>
      <c r="G21" s="144" t="s">
        <v>160</v>
      </c>
    </row>
    <row r="22" spans="2:7" ht="71.25" customHeight="1" x14ac:dyDescent="0.25">
      <c r="B22" s="133" t="s">
        <v>264</v>
      </c>
      <c r="C22" s="142" t="s">
        <v>158</v>
      </c>
      <c r="D22" s="143" t="s">
        <v>544</v>
      </c>
      <c r="E22" s="135" t="s">
        <v>292</v>
      </c>
      <c r="F22" s="143" t="s">
        <v>548</v>
      </c>
      <c r="G22" s="144" t="s">
        <v>160</v>
      </c>
    </row>
    <row r="23" spans="2:7" ht="49.5" customHeight="1" x14ac:dyDescent="0.25">
      <c r="B23" s="135" t="s">
        <v>403</v>
      </c>
      <c r="C23" s="142" t="s">
        <v>151</v>
      </c>
      <c r="D23" s="143" t="s">
        <v>545</v>
      </c>
      <c r="E23" s="135" t="s">
        <v>292</v>
      </c>
      <c r="F23" s="143" t="s">
        <v>547</v>
      </c>
      <c r="G23" s="144" t="s">
        <v>160</v>
      </c>
    </row>
    <row r="24" spans="2:7" ht="25.5" customHeight="1" x14ac:dyDescent="0.25">
      <c r="B24" s="133" t="s">
        <v>245</v>
      </c>
      <c r="C24" s="142" t="s">
        <v>154</v>
      </c>
      <c r="D24" s="143" t="s">
        <v>535</v>
      </c>
      <c r="E24" s="135" t="s">
        <v>291</v>
      </c>
      <c r="F24" s="143" t="s">
        <v>548</v>
      </c>
      <c r="G24" s="144" t="s">
        <v>160</v>
      </c>
    </row>
    <row r="25" spans="2:7" ht="48.75" customHeight="1" x14ac:dyDescent="0.25">
      <c r="B25" s="133" t="s">
        <v>279</v>
      </c>
      <c r="C25" s="143" t="s">
        <v>410</v>
      </c>
      <c r="D25" s="143" t="s">
        <v>579</v>
      </c>
      <c r="E25" s="135" t="s">
        <v>292</v>
      </c>
      <c r="F25" s="143" t="s">
        <v>547</v>
      </c>
      <c r="G25" s="144" t="s">
        <v>160</v>
      </c>
    </row>
    <row r="26" spans="2:7" ht="60" x14ac:dyDescent="0.25">
      <c r="B26" s="135" t="s">
        <v>257</v>
      </c>
      <c r="C26" s="142" t="s">
        <v>125</v>
      </c>
      <c r="D26" s="143" t="s">
        <v>629</v>
      </c>
      <c r="E26" s="135" t="s">
        <v>292</v>
      </c>
      <c r="F26" s="143" t="s">
        <v>547</v>
      </c>
      <c r="G26" s="144" t="s">
        <v>160</v>
      </c>
    </row>
    <row r="27" spans="2:7" ht="68.25" customHeight="1" x14ac:dyDescent="0.25">
      <c r="B27" s="135" t="s">
        <v>549</v>
      </c>
      <c r="C27" s="142" t="s">
        <v>366</v>
      </c>
      <c r="D27" s="143" t="s">
        <v>555</v>
      </c>
      <c r="E27" s="135" t="s">
        <v>292</v>
      </c>
      <c r="F27" s="143" t="s">
        <v>547</v>
      </c>
      <c r="G27" s="144" t="s">
        <v>160</v>
      </c>
    </row>
    <row r="28" spans="2:7" ht="25.5" customHeight="1" x14ac:dyDescent="0.25">
      <c r="B28" s="146"/>
      <c r="C28" s="147"/>
      <c r="D28" s="147"/>
      <c r="E28" s="148"/>
      <c r="F28" s="149"/>
      <c r="G28" s="149"/>
    </row>
    <row r="29" spans="2:7" ht="64.5" customHeight="1" x14ac:dyDescent="0.25">
      <c r="B29" s="135" t="s">
        <v>598</v>
      </c>
      <c r="C29" s="142" t="s">
        <v>122</v>
      </c>
      <c r="D29" s="143" t="s">
        <v>569</v>
      </c>
      <c r="E29" s="135" t="s">
        <v>292</v>
      </c>
      <c r="F29" s="143" t="s">
        <v>548</v>
      </c>
      <c r="G29" s="144" t="s">
        <v>160</v>
      </c>
    </row>
    <row r="30" spans="2:7" ht="72" customHeight="1" x14ac:dyDescent="0.25">
      <c r="B30" s="135" t="s">
        <v>599</v>
      </c>
      <c r="C30" s="142" t="s">
        <v>122</v>
      </c>
      <c r="D30" s="143" t="s">
        <v>600</v>
      </c>
      <c r="E30" s="135" t="s">
        <v>292</v>
      </c>
      <c r="F30" s="143" t="s">
        <v>547</v>
      </c>
      <c r="G30" s="144" t="s">
        <v>160</v>
      </c>
    </row>
    <row r="31" spans="2:7" ht="60" x14ac:dyDescent="0.25">
      <c r="B31" s="133" t="s">
        <v>583</v>
      </c>
      <c r="C31" s="142" t="s">
        <v>117</v>
      </c>
      <c r="D31" s="143" t="str">
        <f>[1]Table4!D21</f>
        <v>The CVE/082 programme supports the Ministry of Agriculture and Environment, ANAS, municipalities, and private sector actors in improving water and sanitation services on the islands of Fogo, Brava, and Santiago. It focuses on enhancing financial sustainability, increasing operational efficiency in service delivery, and strengthening the capacity of sanitation institutions by building on successful methodologies from previous Luxembourg-funded projects. The programme aims to optimize financial resource mobilization, improve energy efficiency, and ensure better service provision through targeted institutional support and capacity-building efforts.</v>
      </c>
      <c r="E31" s="135" t="s">
        <v>291</v>
      </c>
      <c r="F31" s="143" t="s">
        <v>548</v>
      </c>
      <c r="G31" s="144" t="s">
        <v>160</v>
      </c>
    </row>
    <row r="32" spans="2:7" ht="60" x14ac:dyDescent="0.25">
      <c r="B32" s="133" t="s">
        <v>585</v>
      </c>
      <c r="C32" s="142" t="s">
        <v>117</v>
      </c>
      <c r="D32" s="143" t="s">
        <v>560</v>
      </c>
      <c r="E32" s="135" t="s">
        <v>292</v>
      </c>
      <c r="F32" s="143" t="s">
        <v>547</v>
      </c>
      <c r="G32" s="144" t="s">
        <v>160</v>
      </c>
    </row>
    <row r="33" spans="2:7" ht="54.6" customHeight="1" x14ac:dyDescent="0.25">
      <c r="B33" s="135" t="s">
        <v>586</v>
      </c>
      <c r="C33" s="142" t="s">
        <v>117</v>
      </c>
      <c r="D33" s="143" t="s">
        <v>568</v>
      </c>
      <c r="E33" s="135" t="s">
        <v>293</v>
      </c>
      <c r="F33" s="143" t="s">
        <v>548</v>
      </c>
      <c r="G33" s="144" t="s">
        <v>160</v>
      </c>
    </row>
    <row r="34" spans="2:7" ht="76.5" customHeight="1" x14ac:dyDescent="0.25">
      <c r="B34" s="135" t="s">
        <v>601</v>
      </c>
      <c r="C34" s="142" t="s">
        <v>117</v>
      </c>
      <c r="D34" s="143" t="s">
        <v>558</v>
      </c>
      <c r="E34" s="135" t="s">
        <v>293</v>
      </c>
      <c r="F34" s="143" t="s">
        <v>548</v>
      </c>
      <c r="G34" s="144" t="s">
        <v>160</v>
      </c>
    </row>
    <row r="35" spans="2:7" s="136" customFormat="1" ht="90.6" customHeight="1" x14ac:dyDescent="0.25">
      <c r="B35" s="133" t="s">
        <v>596</v>
      </c>
      <c r="C35" s="142" t="s">
        <v>117</v>
      </c>
      <c r="D35" s="143" t="s">
        <v>597</v>
      </c>
      <c r="E35" s="135" t="s">
        <v>293</v>
      </c>
      <c r="F35" s="133" t="s">
        <v>547</v>
      </c>
      <c r="G35" s="144" t="s">
        <v>160</v>
      </c>
    </row>
    <row r="36" spans="2:7" ht="66.75" customHeight="1" x14ac:dyDescent="0.25">
      <c r="B36" s="135" t="s">
        <v>590</v>
      </c>
      <c r="C36" s="142" t="s">
        <v>118</v>
      </c>
      <c r="D36" s="143" t="s">
        <v>591</v>
      </c>
      <c r="E36" s="135" t="s">
        <v>291</v>
      </c>
      <c r="F36" s="143" t="s">
        <v>548</v>
      </c>
      <c r="G36" s="144" t="s">
        <v>160</v>
      </c>
    </row>
    <row r="37" spans="2:7" ht="72" customHeight="1" x14ac:dyDescent="0.25">
      <c r="B37" s="135" t="s">
        <v>593</v>
      </c>
      <c r="C37" s="142" t="s">
        <v>118</v>
      </c>
      <c r="D37" s="143" t="s">
        <v>594</v>
      </c>
      <c r="E37" s="135" t="s">
        <v>292</v>
      </c>
      <c r="F37" s="143" t="s">
        <v>547</v>
      </c>
      <c r="G37" s="144" t="s">
        <v>160</v>
      </c>
    </row>
    <row r="38" spans="2:7" s="136" customFormat="1" ht="48" customHeight="1" x14ac:dyDescent="0.25">
      <c r="B38" s="135" t="s">
        <v>609</v>
      </c>
      <c r="C38" s="142" t="s">
        <v>118</v>
      </c>
      <c r="D38" s="143" t="s">
        <v>610</v>
      </c>
      <c r="E38" s="135" t="s">
        <v>291</v>
      </c>
      <c r="F38" s="143" t="s">
        <v>547</v>
      </c>
      <c r="G38" s="144" t="s">
        <v>160</v>
      </c>
    </row>
    <row r="39" spans="2:7" ht="39.6" customHeight="1" x14ac:dyDescent="0.25">
      <c r="B39" s="135" t="s">
        <v>577</v>
      </c>
      <c r="C39" s="142" t="s">
        <v>119</v>
      </c>
      <c r="D39" s="143" t="s">
        <v>576</v>
      </c>
      <c r="E39" s="135" t="s">
        <v>291</v>
      </c>
      <c r="F39" s="143" t="s">
        <v>548</v>
      </c>
      <c r="G39" s="144" t="s">
        <v>160</v>
      </c>
    </row>
    <row r="40" spans="2:7" ht="47.1" customHeight="1" x14ac:dyDescent="0.25">
      <c r="B40" s="135" t="s">
        <v>602</v>
      </c>
      <c r="C40" s="142" t="s">
        <v>156</v>
      </c>
      <c r="D40" s="143" t="s">
        <v>578</v>
      </c>
      <c r="E40" s="135" t="s">
        <v>291</v>
      </c>
      <c r="F40" s="143" t="s">
        <v>548</v>
      </c>
      <c r="G40" s="144" t="s">
        <v>160</v>
      </c>
    </row>
    <row r="41" spans="2:7" ht="60" x14ac:dyDescent="0.25">
      <c r="B41" s="135" t="s">
        <v>603</v>
      </c>
      <c r="C41" s="142" t="s">
        <v>138</v>
      </c>
      <c r="D41" s="143" t="s">
        <v>604</v>
      </c>
      <c r="E41" s="135" t="s">
        <v>291</v>
      </c>
      <c r="F41" s="143" t="s">
        <v>547</v>
      </c>
      <c r="G41" s="144" t="s">
        <v>160</v>
      </c>
    </row>
    <row r="42" spans="2:7" ht="96" x14ac:dyDescent="0.25">
      <c r="B42" s="135" t="s">
        <v>605</v>
      </c>
      <c r="C42" s="142" t="s">
        <v>138</v>
      </c>
      <c r="D42" s="143" t="s">
        <v>606</v>
      </c>
      <c r="E42" s="135" t="s">
        <v>292</v>
      </c>
      <c r="F42" s="143" t="s">
        <v>547</v>
      </c>
      <c r="G42" s="144" t="s">
        <v>160</v>
      </c>
    </row>
    <row r="43" spans="2:7" ht="60" x14ac:dyDescent="0.25">
      <c r="B43" s="135" t="s">
        <v>607</v>
      </c>
      <c r="C43" s="142" t="s">
        <v>405</v>
      </c>
      <c r="D43" s="143" t="s">
        <v>608</v>
      </c>
      <c r="E43" s="135" t="s">
        <v>292</v>
      </c>
      <c r="F43" s="143" t="s">
        <v>547</v>
      </c>
      <c r="G43" s="144" t="s">
        <v>160</v>
      </c>
    </row>
    <row r="44" spans="2:7" ht="72" x14ac:dyDescent="0.25">
      <c r="B44" s="135" t="s">
        <v>611</v>
      </c>
      <c r="C44" s="142" t="s">
        <v>121</v>
      </c>
      <c r="D44" s="143" t="s">
        <v>612</v>
      </c>
      <c r="E44" s="135" t="s">
        <v>291</v>
      </c>
      <c r="F44" s="143" t="s">
        <v>548</v>
      </c>
      <c r="G44" s="144" t="s">
        <v>160</v>
      </c>
    </row>
    <row r="45" spans="2:7" ht="60" x14ac:dyDescent="0.25">
      <c r="B45" s="133" t="s">
        <v>613</v>
      </c>
      <c r="C45" s="142" t="s">
        <v>121</v>
      </c>
      <c r="D45" s="143" t="s">
        <v>614</v>
      </c>
      <c r="E45" s="135" t="s">
        <v>292</v>
      </c>
      <c r="F45" s="143" t="s">
        <v>547</v>
      </c>
      <c r="G45" s="144" t="s">
        <v>160</v>
      </c>
    </row>
    <row r="46" spans="2:7" ht="72" x14ac:dyDescent="0.25">
      <c r="B46" s="135" t="s">
        <v>615</v>
      </c>
      <c r="C46" s="142" t="s">
        <v>159</v>
      </c>
      <c r="D46" s="143" t="s">
        <v>616</v>
      </c>
      <c r="E46" s="135" t="s">
        <v>291</v>
      </c>
      <c r="F46" s="143" t="s">
        <v>547</v>
      </c>
      <c r="G46" s="144" t="s">
        <v>160</v>
      </c>
    </row>
    <row r="47" spans="2:7" ht="25.5" customHeight="1" x14ac:dyDescent="0.25">
      <c r="B47" s="133"/>
      <c r="C47" s="142"/>
      <c r="D47" s="142"/>
      <c r="E47" s="135"/>
      <c r="F47" s="143"/>
      <c r="G47" s="143"/>
    </row>
    <row r="48" spans="2:7" ht="25.5" customHeight="1" x14ac:dyDescent="0.25">
      <c r="B48" s="150" t="s">
        <v>557</v>
      </c>
      <c r="C48" s="142"/>
      <c r="D48" s="142"/>
      <c r="E48" s="135"/>
      <c r="F48" s="143"/>
      <c r="G48" s="143"/>
    </row>
    <row r="49" spans="2:7" ht="25.5" customHeight="1" x14ac:dyDescent="0.25">
      <c r="B49" s="82"/>
      <c r="C49" s="83"/>
      <c r="D49" s="83"/>
      <c r="E49" s="84"/>
      <c r="F49" s="79"/>
      <c r="G49" s="79"/>
    </row>
    <row r="50" spans="2:7" ht="25.5" customHeight="1" x14ac:dyDescent="0.25">
      <c r="B50" s="82"/>
      <c r="C50" s="83"/>
      <c r="D50" s="83"/>
      <c r="E50" s="84"/>
      <c r="F50" s="79"/>
      <c r="G50" s="79"/>
    </row>
    <row r="51" spans="2:7" ht="25.5" customHeight="1" x14ac:dyDescent="0.25">
      <c r="B51" s="82"/>
      <c r="C51" s="83"/>
      <c r="D51" s="83"/>
      <c r="E51" s="84"/>
      <c r="F51" s="79"/>
      <c r="G51" s="79"/>
    </row>
    <row r="52" spans="2:7" ht="25.5" customHeight="1" x14ac:dyDescent="0.25">
      <c r="B52" s="82"/>
      <c r="C52" s="83"/>
      <c r="D52" s="83"/>
      <c r="E52" s="84"/>
      <c r="F52" s="79"/>
      <c r="G52" s="79"/>
    </row>
    <row r="53" spans="2:7" ht="25.5" customHeight="1" x14ac:dyDescent="0.25">
      <c r="B53" s="82"/>
      <c r="C53" s="83"/>
      <c r="D53" s="83"/>
      <c r="E53" s="84"/>
      <c r="F53" s="79"/>
      <c r="G53" s="79"/>
    </row>
    <row r="54" spans="2:7" ht="25.5" customHeight="1" x14ac:dyDescent="0.25">
      <c r="B54" s="82"/>
      <c r="C54" s="83"/>
      <c r="D54" s="83"/>
      <c r="E54" s="84"/>
      <c r="F54" s="79"/>
      <c r="G54" s="79"/>
    </row>
    <row r="55" spans="2:7" ht="25.5" customHeight="1" x14ac:dyDescent="0.25">
      <c r="B55" s="82"/>
      <c r="C55" s="83"/>
      <c r="D55" s="83"/>
      <c r="E55" s="84"/>
      <c r="F55" s="79"/>
      <c r="G55" s="79"/>
    </row>
    <row r="56" spans="2:7" ht="25.5" customHeight="1" x14ac:dyDescent="0.25">
      <c r="B56" s="82"/>
      <c r="C56" s="83"/>
      <c r="D56" s="83"/>
      <c r="E56" s="84"/>
      <c r="F56" s="79"/>
      <c r="G56" s="79"/>
    </row>
    <row r="57" spans="2:7" ht="25.5" customHeight="1" x14ac:dyDescent="0.25">
      <c r="B57" s="82"/>
      <c r="C57" s="83"/>
      <c r="D57" s="83"/>
      <c r="E57" s="84"/>
      <c r="F57" s="79"/>
      <c r="G57" s="79"/>
    </row>
    <row r="58" spans="2:7" ht="25.5" customHeight="1" x14ac:dyDescent="0.25">
      <c r="B58" s="82"/>
      <c r="C58" s="83"/>
      <c r="D58" s="83"/>
      <c r="E58" s="84"/>
      <c r="F58" s="79"/>
      <c r="G58" s="79"/>
    </row>
    <row r="59" spans="2:7" ht="25.5" customHeight="1" x14ac:dyDescent="0.25">
      <c r="B59" s="82"/>
      <c r="C59" s="83"/>
      <c r="D59" s="83"/>
      <c r="E59" s="84"/>
      <c r="F59" s="79"/>
      <c r="G59" s="79"/>
    </row>
    <row r="60" spans="2:7" ht="25.5" customHeight="1" x14ac:dyDescent="0.25">
      <c r="B60" s="82"/>
      <c r="C60" s="83"/>
      <c r="D60" s="83"/>
      <c r="E60" s="84"/>
      <c r="F60" s="79"/>
      <c r="G60" s="79"/>
    </row>
    <row r="61" spans="2:7" ht="25.5" customHeight="1" x14ac:dyDescent="0.25">
      <c r="B61" s="82"/>
      <c r="C61" s="83"/>
      <c r="D61" s="83"/>
      <c r="E61" s="84"/>
      <c r="F61" s="79"/>
      <c r="G61" s="79"/>
    </row>
    <row r="62" spans="2:7" ht="25.5" customHeight="1" x14ac:dyDescent="0.25">
      <c r="B62" s="82"/>
      <c r="C62" s="83"/>
      <c r="D62" s="83"/>
      <c r="E62" s="84"/>
      <c r="F62" s="79"/>
      <c r="G62" s="79"/>
    </row>
    <row r="63" spans="2:7" ht="25.5" customHeight="1" x14ac:dyDescent="0.25">
      <c r="B63" s="82"/>
      <c r="C63" s="83"/>
      <c r="D63" s="83"/>
      <c r="E63" s="84"/>
      <c r="F63" s="79"/>
      <c r="G63" s="79"/>
    </row>
    <row r="64" spans="2:7" ht="25.5" customHeight="1" x14ac:dyDescent="0.25">
      <c r="B64" s="82"/>
      <c r="C64" s="83"/>
      <c r="D64" s="83"/>
      <c r="E64" s="84"/>
      <c r="F64" s="79"/>
      <c r="G64" s="79"/>
    </row>
    <row r="65" spans="2:7" ht="25.5" customHeight="1" x14ac:dyDescent="0.25">
      <c r="B65" s="82"/>
      <c r="C65" s="83"/>
      <c r="D65" s="83"/>
      <c r="E65" s="84"/>
      <c r="F65" s="79"/>
      <c r="G65" s="79"/>
    </row>
    <row r="66" spans="2:7" ht="25.5" customHeight="1" x14ac:dyDescent="0.25">
      <c r="B66" s="82"/>
      <c r="C66" s="83"/>
      <c r="D66" s="83"/>
      <c r="E66" s="84"/>
      <c r="F66" s="79"/>
      <c r="G66" s="79"/>
    </row>
    <row r="67" spans="2:7" ht="25.5" customHeight="1" x14ac:dyDescent="0.25">
      <c r="B67" s="82"/>
      <c r="C67" s="83"/>
      <c r="D67" s="83"/>
      <c r="E67" s="84"/>
      <c r="F67" s="79"/>
      <c r="G67" s="79"/>
    </row>
    <row r="68" spans="2:7" ht="25.5" customHeight="1" x14ac:dyDescent="0.25">
      <c r="B68" s="82"/>
      <c r="C68" s="83"/>
      <c r="D68" s="83"/>
      <c r="E68" s="84"/>
      <c r="F68" s="79"/>
      <c r="G68" s="79"/>
    </row>
    <row r="69" spans="2:7" ht="25.5" customHeight="1" x14ac:dyDescent="0.25">
      <c r="B69" s="82"/>
      <c r="C69" s="83"/>
      <c r="D69" s="83"/>
      <c r="E69" s="84"/>
      <c r="F69" s="79"/>
      <c r="G69" s="79"/>
    </row>
    <row r="70" spans="2:7" ht="25.5" customHeight="1" x14ac:dyDescent="0.25">
      <c r="B70" s="82"/>
      <c r="C70" s="83"/>
      <c r="D70" s="83"/>
      <c r="E70" s="84"/>
      <c r="F70" s="79"/>
      <c r="G70" s="79"/>
    </row>
    <row r="71" spans="2:7" ht="25.5" customHeight="1" x14ac:dyDescent="0.25">
      <c r="B71" s="82"/>
      <c r="C71" s="83"/>
      <c r="D71" s="83"/>
      <c r="E71" s="84"/>
      <c r="F71" s="79"/>
      <c r="G71" s="79"/>
    </row>
    <row r="72" spans="2:7" ht="25.5" customHeight="1" x14ac:dyDescent="0.25">
      <c r="B72" s="82"/>
      <c r="C72" s="83"/>
      <c r="D72" s="83"/>
      <c r="E72" s="84"/>
      <c r="F72" s="79"/>
      <c r="G72" s="79"/>
    </row>
    <row r="73" spans="2:7" ht="25.5" customHeight="1" x14ac:dyDescent="0.25">
      <c r="B73" s="82"/>
      <c r="C73" s="83"/>
      <c r="D73" s="83"/>
      <c r="E73" s="84"/>
      <c r="F73" s="79"/>
      <c r="G73" s="79"/>
    </row>
    <row r="74" spans="2:7" ht="25.5" customHeight="1" x14ac:dyDescent="0.25">
      <c r="B74" s="82"/>
      <c r="C74" s="83"/>
      <c r="D74" s="83"/>
      <c r="E74" s="84"/>
      <c r="F74" s="79"/>
      <c r="G74" s="79"/>
    </row>
    <row r="75" spans="2:7" ht="25.5" customHeight="1" x14ac:dyDescent="0.25">
      <c r="B75" s="82"/>
      <c r="C75" s="83"/>
      <c r="D75" s="83"/>
      <c r="E75" s="84"/>
      <c r="F75" s="79"/>
      <c r="G75" s="79"/>
    </row>
    <row r="76" spans="2:7" ht="25.5" customHeight="1" x14ac:dyDescent="0.25">
      <c r="B76" s="82"/>
      <c r="C76" s="83"/>
      <c r="D76" s="83"/>
      <c r="E76" s="84"/>
      <c r="F76" s="79"/>
      <c r="G76" s="79"/>
    </row>
    <row r="77" spans="2:7" ht="25.5" customHeight="1" x14ac:dyDescent="0.25">
      <c r="B77" s="82"/>
      <c r="C77" s="83"/>
      <c r="D77" s="83"/>
      <c r="E77" s="84"/>
      <c r="F77" s="79"/>
      <c r="G77" s="79"/>
    </row>
    <row r="78" spans="2:7" ht="25.5" customHeight="1" x14ac:dyDescent="0.25">
      <c r="B78" s="82"/>
      <c r="C78" s="83"/>
      <c r="D78" s="83"/>
      <c r="E78" s="84"/>
      <c r="F78" s="79"/>
      <c r="G78" s="79"/>
    </row>
    <row r="79" spans="2:7" ht="25.5" customHeight="1" x14ac:dyDescent="0.25">
      <c r="B79" s="82"/>
      <c r="C79" s="83"/>
      <c r="D79" s="83"/>
      <c r="E79" s="84"/>
      <c r="F79" s="79"/>
      <c r="G79" s="79"/>
    </row>
    <row r="80" spans="2:7" ht="25.5" customHeight="1" x14ac:dyDescent="0.25">
      <c r="B80" s="82"/>
      <c r="C80" s="83"/>
      <c r="D80" s="83"/>
      <c r="E80" s="84"/>
      <c r="F80" s="79"/>
      <c r="G80" s="79"/>
    </row>
    <row r="81" spans="2:7" ht="25.5" customHeight="1" x14ac:dyDescent="0.25">
      <c r="B81" s="82"/>
      <c r="C81" s="83"/>
      <c r="D81" s="83"/>
      <c r="E81" s="84"/>
      <c r="F81" s="79"/>
      <c r="G81" s="79"/>
    </row>
    <row r="82" spans="2:7" ht="25.5" customHeight="1" x14ac:dyDescent="0.25">
      <c r="B82" s="82"/>
      <c r="C82" s="83"/>
      <c r="D82" s="83"/>
      <c r="E82" s="84"/>
      <c r="F82" s="79"/>
      <c r="G82" s="79"/>
    </row>
    <row r="83" spans="2:7" ht="25.5" customHeight="1" x14ac:dyDescent="0.25">
      <c r="B83" s="82"/>
      <c r="C83" s="83"/>
      <c r="D83" s="83"/>
      <c r="E83" s="84"/>
      <c r="F83" s="79"/>
      <c r="G83" s="79"/>
    </row>
    <row r="84" spans="2:7" ht="25.5" customHeight="1" x14ac:dyDescent="0.25">
      <c r="B84" s="82"/>
      <c r="C84" s="83"/>
      <c r="D84" s="83"/>
      <c r="E84" s="84"/>
      <c r="F84" s="79"/>
      <c r="G84" s="79"/>
    </row>
    <row r="85" spans="2:7" ht="25.5" customHeight="1" x14ac:dyDescent="0.25">
      <c r="B85" s="82"/>
      <c r="C85" s="83"/>
      <c r="D85" s="83"/>
      <c r="E85" s="84"/>
      <c r="F85" s="79"/>
      <c r="G85" s="79"/>
    </row>
    <row r="86" spans="2:7" ht="25.5" customHeight="1" x14ac:dyDescent="0.25">
      <c r="B86" s="82"/>
      <c r="C86" s="83"/>
      <c r="D86" s="83"/>
      <c r="E86" s="84"/>
      <c r="F86" s="79"/>
      <c r="G86" s="79"/>
    </row>
    <row r="87" spans="2:7" ht="25.5" customHeight="1" x14ac:dyDescent="0.25">
      <c r="B87" s="82"/>
      <c r="C87" s="83"/>
      <c r="D87" s="83"/>
      <c r="E87" s="84"/>
      <c r="F87" s="79"/>
      <c r="G87" s="79"/>
    </row>
    <row r="88" spans="2:7" ht="25.5" customHeight="1" x14ac:dyDescent="0.25">
      <c r="B88" s="82"/>
      <c r="C88" s="83"/>
      <c r="D88" s="83"/>
      <c r="E88" s="84"/>
      <c r="F88" s="79"/>
      <c r="G88" s="79"/>
    </row>
    <row r="89" spans="2:7" ht="25.5" customHeight="1" x14ac:dyDescent="0.25">
      <c r="B89" s="82"/>
      <c r="C89" s="83"/>
      <c r="D89" s="83"/>
      <c r="E89" s="84"/>
      <c r="F89" s="79"/>
      <c r="G89" s="79"/>
    </row>
    <row r="90" spans="2:7" ht="25.5" customHeight="1" x14ac:dyDescent="0.25">
      <c r="B90" s="82"/>
      <c r="C90" s="83"/>
      <c r="D90" s="83"/>
      <c r="E90" s="84"/>
      <c r="F90" s="79"/>
      <c r="G90" s="79"/>
    </row>
    <row r="91" spans="2:7" ht="25.5" customHeight="1" x14ac:dyDescent="0.25">
      <c r="B91" s="82"/>
      <c r="C91" s="83"/>
      <c r="D91" s="83"/>
      <c r="E91" s="84"/>
      <c r="F91" s="79"/>
      <c r="G91" s="79"/>
    </row>
    <row r="92" spans="2:7" ht="25.5" customHeight="1" x14ac:dyDescent="0.25">
      <c r="B92" s="82"/>
      <c r="C92" s="83"/>
      <c r="D92" s="83"/>
      <c r="E92" s="84"/>
      <c r="F92" s="79"/>
      <c r="G92" s="79"/>
    </row>
    <row r="93" spans="2:7" ht="25.5" customHeight="1" x14ac:dyDescent="0.25">
      <c r="B93" s="82"/>
      <c r="C93" s="83"/>
      <c r="D93" s="83"/>
      <c r="E93" s="84"/>
      <c r="F93" s="79"/>
      <c r="G93" s="79"/>
    </row>
    <row r="94" spans="2:7" ht="25.5" customHeight="1" x14ac:dyDescent="0.25">
      <c r="B94" s="82"/>
      <c r="C94" s="83"/>
      <c r="D94" s="83"/>
      <c r="E94" s="84"/>
      <c r="F94" s="79"/>
      <c r="G94" s="79"/>
    </row>
    <row r="95" spans="2:7" ht="25.5" customHeight="1" x14ac:dyDescent="0.25">
      <c r="B95" s="82"/>
      <c r="C95" s="83"/>
      <c r="D95" s="83"/>
      <c r="E95" s="84"/>
      <c r="F95" s="79"/>
      <c r="G95" s="79"/>
    </row>
    <row r="96" spans="2:7" ht="25.5" customHeight="1" x14ac:dyDescent="0.25">
      <c r="B96" s="82"/>
      <c r="C96" s="83"/>
      <c r="D96" s="83"/>
      <c r="E96" s="84"/>
      <c r="F96" s="79"/>
      <c r="G96" s="79"/>
    </row>
    <row r="97" spans="2:7" ht="25.5" customHeight="1" x14ac:dyDescent="0.25">
      <c r="B97" s="82"/>
      <c r="C97" s="83"/>
      <c r="D97" s="83"/>
      <c r="E97" s="84"/>
      <c r="F97" s="79"/>
      <c r="G97" s="79"/>
    </row>
    <row r="98" spans="2:7" ht="25.5" customHeight="1" x14ac:dyDescent="0.25">
      <c r="B98" s="82"/>
      <c r="C98" s="83"/>
      <c r="D98" s="83"/>
      <c r="E98" s="84"/>
      <c r="F98" s="79"/>
      <c r="G98" s="79"/>
    </row>
    <row r="99" spans="2:7" ht="25.5" customHeight="1" x14ac:dyDescent="0.25">
      <c r="B99" s="82"/>
      <c r="C99" s="83"/>
      <c r="D99" s="83"/>
      <c r="E99" s="84"/>
      <c r="F99" s="79"/>
      <c r="G99" s="79"/>
    </row>
    <row r="100" spans="2:7" ht="25.5" customHeight="1" x14ac:dyDescent="0.25">
      <c r="B100" s="82"/>
      <c r="C100" s="83"/>
      <c r="D100" s="83"/>
      <c r="E100" s="84"/>
      <c r="F100" s="79"/>
      <c r="G100" s="79"/>
    </row>
    <row r="101" spans="2:7" ht="25.5" customHeight="1" x14ac:dyDescent="0.25">
      <c r="B101" s="82"/>
      <c r="C101" s="83"/>
      <c r="D101" s="83"/>
      <c r="E101" s="84"/>
      <c r="F101" s="79"/>
      <c r="G101" s="79"/>
    </row>
    <row r="102" spans="2:7" ht="25.5" customHeight="1" x14ac:dyDescent="0.25">
      <c r="B102" s="82"/>
      <c r="C102" s="83"/>
      <c r="D102" s="83"/>
      <c r="E102" s="84"/>
      <c r="F102" s="79"/>
      <c r="G102" s="79"/>
    </row>
    <row r="103" spans="2:7" ht="25.5" customHeight="1" x14ac:dyDescent="0.25">
      <c r="B103" s="82"/>
      <c r="C103" s="83"/>
      <c r="D103" s="83"/>
      <c r="E103" s="84"/>
      <c r="F103" s="79"/>
      <c r="G103" s="79"/>
    </row>
    <row r="104" spans="2:7" ht="25.5" customHeight="1" x14ac:dyDescent="0.25">
      <c r="B104" s="82"/>
      <c r="C104" s="83"/>
      <c r="D104" s="83"/>
      <c r="E104" s="84"/>
      <c r="F104" s="79"/>
      <c r="G104" s="79"/>
    </row>
    <row r="105" spans="2:7" ht="25.5" customHeight="1" x14ac:dyDescent="0.25">
      <c r="B105" s="82"/>
      <c r="C105" s="83"/>
      <c r="D105" s="83"/>
      <c r="E105" s="84"/>
      <c r="F105" s="79"/>
      <c r="G105" s="79"/>
    </row>
    <row r="106" spans="2:7" ht="25.5" customHeight="1" x14ac:dyDescent="0.25">
      <c r="B106" s="82"/>
      <c r="C106" s="83"/>
      <c r="D106" s="83"/>
      <c r="E106" s="84"/>
      <c r="F106" s="79"/>
      <c r="G106" s="79"/>
    </row>
    <row r="107" spans="2:7" ht="25.5" customHeight="1" x14ac:dyDescent="0.25">
      <c r="B107" s="82"/>
      <c r="C107" s="83"/>
      <c r="D107" s="83"/>
      <c r="E107" s="84"/>
      <c r="F107" s="79"/>
      <c r="G107" s="79"/>
    </row>
    <row r="108" spans="2:7" ht="25.5" customHeight="1" x14ac:dyDescent="0.25">
      <c r="B108" s="82"/>
      <c r="C108" s="83"/>
      <c r="D108" s="83"/>
      <c r="E108" s="84"/>
      <c r="F108" s="79"/>
      <c r="G108" s="79"/>
    </row>
    <row r="109" spans="2:7" ht="25.5" customHeight="1" x14ac:dyDescent="0.25">
      <c r="B109" s="82"/>
      <c r="C109" s="83"/>
      <c r="D109" s="83"/>
      <c r="E109" s="84"/>
      <c r="F109" s="79"/>
      <c r="G109" s="79"/>
    </row>
    <row r="110" spans="2:7" ht="25.5" customHeight="1" x14ac:dyDescent="0.25">
      <c r="B110" s="82"/>
      <c r="C110" s="83"/>
      <c r="D110" s="83"/>
      <c r="E110" s="84"/>
      <c r="F110" s="79"/>
      <c r="G110" s="79"/>
    </row>
    <row r="111" spans="2:7" ht="25.5" customHeight="1" x14ac:dyDescent="0.25">
      <c r="B111" s="82"/>
      <c r="C111" s="83"/>
      <c r="D111" s="83"/>
      <c r="E111" s="84"/>
      <c r="F111" s="79"/>
      <c r="G111" s="79"/>
    </row>
    <row r="112" spans="2:7" ht="25.5" customHeight="1" x14ac:dyDescent="0.25">
      <c r="B112" s="82"/>
      <c r="C112" s="83"/>
      <c r="D112" s="83"/>
      <c r="E112" s="84"/>
      <c r="F112" s="79"/>
      <c r="G112" s="79"/>
    </row>
    <row r="113" spans="2:7" ht="25.5" customHeight="1" x14ac:dyDescent="0.25">
      <c r="B113" s="82"/>
      <c r="C113" s="83"/>
      <c r="D113" s="83"/>
      <c r="E113" s="84"/>
      <c r="F113" s="79"/>
      <c r="G113" s="79"/>
    </row>
    <row r="114" spans="2:7" ht="25.5" customHeight="1" x14ac:dyDescent="0.25">
      <c r="B114" s="82"/>
      <c r="C114" s="83"/>
      <c r="D114" s="83"/>
      <c r="E114" s="84"/>
      <c r="F114" s="79"/>
      <c r="G114" s="79"/>
    </row>
    <row r="115" spans="2:7" ht="25.5" customHeight="1" x14ac:dyDescent="0.25">
      <c r="B115" s="82"/>
      <c r="C115" s="83"/>
      <c r="D115" s="83"/>
      <c r="E115" s="84"/>
      <c r="F115" s="79"/>
      <c r="G115" s="79"/>
    </row>
    <row r="116" spans="2:7" ht="25.5" customHeight="1" x14ac:dyDescent="0.25">
      <c r="B116" s="82"/>
      <c r="C116" s="83"/>
      <c r="D116" s="83"/>
      <c r="E116" s="84"/>
      <c r="F116" s="79"/>
      <c r="G116" s="79"/>
    </row>
    <row r="117" spans="2:7" ht="25.5" customHeight="1" x14ac:dyDescent="0.25">
      <c r="B117" s="82"/>
      <c r="C117" s="83"/>
      <c r="D117" s="83"/>
      <c r="E117" s="84"/>
      <c r="F117" s="79"/>
      <c r="G117" s="79"/>
    </row>
    <row r="118" spans="2:7" ht="25.5" customHeight="1" x14ac:dyDescent="0.25">
      <c r="B118" s="82"/>
      <c r="C118" s="83"/>
      <c r="D118" s="83"/>
      <c r="E118" s="84"/>
      <c r="F118" s="79"/>
      <c r="G118" s="79"/>
    </row>
    <row r="119" spans="2:7" ht="25.5" customHeight="1" x14ac:dyDescent="0.25">
      <c r="B119" s="82"/>
      <c r="C119" s="83"/>
      <c r="D119" s="83"/>
      <c r="E119" s="84"/>
      <c r="F119" s="79"/>
      <c r="G119" s="79"/>
    </row>
    <row r="120" spans="2:7" ht="25.5" customHeight="1" x14ac:dyDescent="0.25">
      <c r="B120" s="82"/>
      <c r="C120" s="83"/>
      <c r="D120" s="83"/>
      <c r="E120" s="84"/>
      <c r="F120" s="79"/>
      <c r="G120" s="79"/>
    </row>
    <row r="121" spans="2:7" ht="25.5" customHeight="1" x14ac:dyDescent="0.25">
      <c r="B121" s="82"/>
      <c r="C121" s="83"/>
      <c r="D121" s="83"/>
      <c r="E121" s="84"/>
      <c r="F121" s="79"/>
      <c r="G121" s="79"/>
    </row>
    <row r="122" spans="2:7" ht="25.5" customHeight="1" x14ac:dyDescent="0.25">
      <c r="B122" s="82"/>
      <c r="C122" s="83"/>
      <c r="D122" s="83"/>
      <c r="E122" s="84"/>
      <c r="F122" s="79"/>
      <c r="G122" s="79"/>
    </row>
    <row r="123" spans="2:7" ht="25.5" customHeight="1" x14ac:dyDescent="0.25">
      <c r="B123" s="82"/>
      <c r="C123" s="83"/>
      <c r="D123" s="83"/>
      <c r="E123" s="84"/>
      <c r="F123" s="79"/>
      <c r="G123" s="79"/>
    </row>
    <row r="124" spans="2:7" ht="25.5" customHeight="1" x14ac:dyDescent="0.25">
      <c r="B124" s="82"/>
      <c r="C124" s="83"/>
      <c r="D124" s="83"/>
      <c r="E124" s="84"/>
      <c r="F124" s="79"/>
      <c r="G124" s="79"/>
    </row>
    <row r="125" spans="2:7" ht="25.5" customHeight="1" x14ac:dyDescent="0.25">
      <c r="B125" s="82"/>
      <c r="C125" s="83"/>
      <c r="D125" s="83"/>
      <c r="E125" s="84"/>
      <c r="F125" s="79"/>
      <c r="G125" s="79"/>
    </row>
    <row r="126" spans="2:7" ht="25.5" customHeight="1" x14ac:dyDescent="0.25">
      <c r="B126" s="82"/>
      <c r="C126" s="83"/>
      <c r="D126" s="83"/>
      <c r="E126" s="84"/>
      <c r="F126" s="79"/>
      <c r="G126" s="79"/>
    </row>
    <row r="127" spans="2:7" ht="25.5" customHeight="1" x14ac:dyDescent="0.25">
      <c r="B127" s="82"/>
      <c r="C127" s="83"/>
      <c r="D127" s="83"/>
      <c r="E127" s="84"/>
      <c r="F127" s="79"/>
      <c r="G127" s="79"/>
    </row>
    <row r="128" spans="2:7" ht="25.5" customHeight="1" x14ac:dyDescent="0.25">
      <c r="B128" s="82"/>
      <c r="C128" s="83"/>
      <c r="D128" s="83"/>
      <c r="E128" s="84"/>
      <c r="F128" s="79"/>
      <c r="G128" s="79"/>
    </row>
    <row r="129" spans="2:7" ht="12" x14ac:dyDescent="0.25">
      <c r="B129" s="73"/>
      <c r="C129" s="73"/>
    </row>
    <row r="130" spans="2:7" ht="12" x14ac:dyDescent="0.25">
      <c r="B130" s="16" t="s">
        <v>38</v>
      </c>
      <c r="C130" s="73"/>
    </row>
    <row r="131" spans="2:7" ht="14.1" customHeight="1" x14ac:dyDescent="0.25">
      <c r="B131" s="1" t="s">
        <v>114</v>
      </c>
    </row>
    <row r="132" spans="2:7" ht="14.1" customHeight="1" x14ac:dyDescent="0.25">
      <c r="B132" s="1" t="s">
        <v>108</v>
      </c>
      <c r="C132" s="70"/>
      <c r="D132" s="70"/>
      <c r="E132" s="70"/>
      <c r="F132" s="70"/>
      <c r="G132" s="70"/>
    </row>
    <row r="133" spans="2:7" ht="14.1" customHeight="1" x14ac:dyDescent="0.25">
      <c r="B133" s="1" t="s">
        <v>115</v>
      </c>
      <c r="C133" s="70"/>
      <c r="D133" s="70"/>
      <c r="E133" s="70"/>
      <c r="F133" s="70"/>
      <c r="G133" s="70"/>
    </row>
    <row r="134" spans="2:7" ht="14.1" customHeight="1" x14ac:dyDescent="0.25">
      <c r="B134" s="1" t="s">
        <v>116</v>
      </c>
    </row>
    <row r="135" spans="2:7" ht="12" x14ac:dyDescent="0.25">
      <c r="B135" s="70"/>
      <c r="C135" s="70"/>
      <c r="D135" s="70"/>
      <c r="E135" s="70"/>
      <c r="F135" s="70"/>
      <c r="G135" s="70"/>
    </row>
    <row r="136" spans="2:7" ht="12" x14ac:dyDescent="0.25">
      <c r="B136" s="2" t="s">
        <v>51</v>
      </c>
      <c r="C136" s="2"/>
      <c r="D136" s="2"/>
      <c r="E136" s="2"/>
      <c r="F136" s="2"/>
      <c r="G136" s="2"/>
    </row>
    <row r="137" spans="2:7" ht="14.1" customHeight="1" x14ac:dyDescent="0.25">
      <c r="B137" s="1" t="s">
        <v>52</v>
      </c>
    </row>
    <row r="138" spans="2:7" ht="14.1" customHeight="1" x14ac:dyDescent="0.25"/>
    <row r="140" spans="2:7" ht="12" x14ac:dyDescent="0.25">
      <c r="G140" s="38"/>
    </row>
  </sheetData>
  <hyperlinks>
    <hyperlink ref="B4" location="'Index sheet'!A1" display="Back to index" xr:uid="{00000000-0004-0000-0800-000000000000}"/>
  </hyperlinks>
  <pageMargins left="0.7" right="0.7" top="0.75" bottom="0.75" header="0.3" footer="0.3"/>
  <pageSetup paperSize="9" orientation="portrait" r:id="rId1"/>
  <ignoredErrors>
    <ignoredError sqref="B129:O147 B1:O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AF3FDAF50B0848BCA9B49AFA21072C" ma:contentTypeVersion="2" ma:contentTypeDescription="Create a new document." ma:contentTypeScope="" ma:versionID="f7cb5c4957d6a05ae2ebadea1f9323bf">
  <xsd:schema xmlns:xsd="http://www.w3.org/2001/XMLSchema" xmlns:xs="http://www.w3.org/2001/XMLSchema" xmlns:p="http://schemas.microsoft.com/office/2006/metadata/properties" xmlns:ns3="http://schemas.microsoft.com/sharepoint/v4" xmlns:ns4="3b23351c-6ed6-444c-a66b-e3c1876fb1b1" targetNamespace="http://schemas.microsoft.com/office/2006/metadata/properties" ma:root="true" ma:fieldsID="95ca6ac30b05db7b739f025125b0a8a4" ns3:_="" ns4:_="">
    <xsd:import namespace="http://schemas.microsoft.com/sharepoint/v4"/>
    <xsd:import namespace="3b23351c-6ed6-444c-a66b-e3c1876fb1b1"/>
    <xsd:element name="properties">
      <xsd:complexType>
        <xsd:sequence>
          <xsd:element name="documentManagement">
            <xsd:complexType>
              <xsd:all>
                <xsd:element ref="ns3:IconOverlay"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23351c-6ed6-444c-a66b-e3c1876fb1b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F0F5DC-3D20-4852-ABAF-CEFD912D7A9E}">
  <ds:schemaRefs>
    <ds:schemaRef ds:uri="http://schemas.microsoft.com/sharepoint/v3/contenttype/forms"/>
  </ds:schemaRefs>
</ds:datastoreItem>
</file>

<file path=customXml/itemProps2.xml><?xml version="1.0" encoding="utf-8"?>
<ds:datastoreItem xmlns:ds="http://schemas.openxmlformats.org/officeDocument/2006/customXml" ds:itemID="{9094383F-C1A3-4A6E-88F9-B0282E5D8A0C}">
  <ds:schemaRefs>
    <ds:schemaRef ds:uri="http://schemas.microsoft.com/office/2006/metadata/properties"/>
    <ds:schemaRef ds:uri="http://schemas.microsoft.com/office/infopath/2007/PartnerControls"/>
    <ds:schemaRef ds:uri="http://schemas.microsoft.com/sharepoint/v4"/>
  </ds:schemaRefs>
</ds:datastoreItem>
</file>

<file path=customXml/itemProps3.xml><?xml version="1.0" encoding="utf-8"?>
<ds:datastoreItem xmlns:ds="http://schemas.openxmlformats.org/officeDocument/2006/customXml" ds:itemID="{8A483C27-2668-40E7-B5D4-AD2AD1E905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4"/>
    <ds:schemaRef ds:uri="3b23351c-6ed6-444c-a66b-e3c1876fb1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 sheet</vt:lpstr>
      <vt:lpstr>Table1_2021</vt:lpstr>
      <vt:lpstr>Table1_2022</vt:lpstr>
      <vt:lpstr>Table2_2021</vt:lpstr>
      <vt:lpstr>Table2_2022</vt:lpstr>
      <vt:lpstr>Table3_2021</vt:lpstr>
      <vt:lpstr>Table3_2022</vt:lpstr>
      <vt:lpstr>Table4</vt:lpstr>
      <vt:lpstr>Table5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to be used for BTR1 submission</dc:title>
  <dc:subject/>
  <dc:creator>Pedro Torres</dc:creator>
  <cp:keywords/>
  <dc:description/>
  <cp:lastModifiedBy>Eric Debrabanter</cp:lastModifiedBy>
  <cp:revision/>
  <dcterms:created xsi:type="dcterms:W3CDTF">2021-11-26T12:02:15Z</dcterms:created>
  <dcterms:modified xsi:type="dcterms:W3CDTF">2025-07-16T14:34:40Z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0x0101007CAF3FDAF50B0848BCA9B49AFA21072C</vt:lpwstr>
  </property>
  <property fmtid="{D5CDD505-2E9C-101B-9397-08002B2CF9AE}" pid="3" name="MediaServiceImageTags">
    <vt:lpwstr/>
  </property>
</Properties>
</file>