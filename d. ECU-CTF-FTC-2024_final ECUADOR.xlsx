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C:\Users\gabriela.vargas\Documents\1. Proyecto Quinta Comunicación Nacional\Implementación del Proyecto\Documentos para enviar\"/>
    </mc:Choice>
  </mc:AlternateContent>
  <xr:revisionPtr revIDLastSave="0" documentId="13_ncr:1_{B0893232-FFFE-4232-9399-C3F92FCA0618}" xr6:coauthVersionLast="47" xr6:coauthVersionMax="47" xr10:uidLastSave="{00000000-0000-0000-0000-000000000000}"/>
  <bookViews>
    <workbookView xWindow="-110" yWindow="-110" windowWidth="19420" windowHeight="10300" firstSheet="1" activeTab="8" xr2:uid="{00000000-000D-0000-FFFF-FFFF00000000}"/>
  </bookViews>
  <sheets>
    <sheet name="Index sheet" sheetId="1" r:id="rId1"/>
    <sheet name="Table6" sheetId="2" r:id="rId2"/>
    <sheet name="Table7" sheetId="3" r:id="rId3"/>
    <sheet name="Table8" sheetId="4" r:id="rId4"/>
    <sheet name="Table9" sheetId="5" r:id="rId5"/>
    <sheet name="Table10" sheetId="6" r:id="rId6"/>
    <sheet name="Table11" sheetId="7" r:id="rId7"/>
    <sheet name="Table12" sheetId="8" r:id="rId8"/>
    <sheet name="Table13"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9" l="1"/>
  <c r="G135" i="2"/>
</calcChain>
</file>

<file path=xl/sharedStrings.xml><?xml version="1.0" encoding="utf-8"?>
<sst xmlns="http://schemas.openxmlformats.org/spreadsheetml/2006/main" count="8695" uniqueCount="1599">
  <si>
    <t>Index</t>
  </si>
  <si>
    <t>TABLE</t>
  </si>
  <si>
    <t>Explanatory information</t>
  </si>
  <si>
    <t>Tables for developed country Parties and other Parties that provide support</t>
  </si>
  <si>
    <t>Tables for developing country Parties</t>
  </si>
  <si>
    <t>Table6</t>
  </si>
  <si>
    <t>Table7</t>
  </si>
  <si>
    <t>Table8</t>
  </si>
  <si>
    <t>Table9</t>
  </si>
  <si>
    <t>Table10</t>
  </si>
  <si>
    <t>Table11</t>
  </si>
  <si>
    <t>Table12</t>
  </si>
  <si>
    <t>Table13</t>
  </si>
  <si>
    <t>TABLE  III.6</t>
  </si>
  <si>
    <r>
      <t xml:space="preserve">Information on financial support needed by developing country Parties under Article 9 of the Paris Agreement </t>
    </r>
    <r>
      <rPr>
        <b/>
        <vertAlign val="superscript"/>
        <sz val="12"/>
        <rFont val="Times New Roman"/>
        <family val="1"/>
      </rPr>
      <t>a, b</t>
    </r>
  </si>
  <si>
    <t>Exchange rate used:</t>
  </si>
  <si>
    <t>Back to index</t>
  </si>
  <si>
    <t>Domestic
currency</t>
  </si>
  <si>
    <t>USD</t>
  </si>
  <si>
    <r>
      <t xml:space="preserve">Notation keys: </t>
    </r>
    <r>
      <rPr>
        <sz val="9"/>
        <rFont val="Times New Roman"/>
        <family val="1"/>
      </rPr>
      <t>NA = not applicable; UA = information not available at the time of reporting; NR = not reported (to indicate the voluntary character of the information).</t>
    </r>
  </si>
  <si>
    <r>
      <rPr>
        <i/>
        <vertAlign val="superscript"/>
        <sz val="9"/>
        <rFont val="Times New Roman"/>
        <family val="1"/>
      </rPr>
      <t>a</t>
    </r>
    <r>
      <rPr>
        <sz val="9"/>
        <rFont val="Times New Roman"/>
        <family val="1"/>
      </rPr>
      <t xml:space="preserve">  Developing country Parties should provide, in a common tabular format, information on financial support needed, to the extent possible, as available and as applicable.</t>
    </r>
  </si>
  <si>
    <r>
      <rPr>
        <i/>
        <vertAlign val="superscript"/>
        <sz val="9"/>
        <rFont val="Times New Roman"/>
        <family val="1"/>
      </rPr>
      <t>b</t>
    </r>
    <r>
      <rPr>
        <sz val="9"/>
        <rFont val="Times New Roman"/>
        <family val="1"/>
      </rPr>
      <t xml:space="preserve">  Parties include information on support needed from the reporting year of the BTR.</t>
    </r>
  </si>
  <si>
    <r>
      <rPr>
        <i/>
        <vertAlign val="superscript"/>
        <sz val="9"/>
        <rFont val="Times New Roman"/>
        <family val="1"/>
      </rPr>
      <t>c</t>
    </r>
    <r>
      <rPr>
        <sz val="9"/>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</si>
  <si>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rFont val="Times New Roman"/>
        <family val="1"/>
      </rPr>
      <t>d</t>
    </r>
    <r>
      <rPr>
        <sz val="9"/>
        <rFont val="Times New Roman"/>
        <family val="1"/>
      </rPr>
      <t xml:space="preserve">  If “other”, Parties should specify this information.</t>
    </r>
  </si>
  <si>
    <r>
      <rPr>
        <i/>
        <vertAlign val="superscript"/>
        <sz val="9"/>
        <rFont val="Times New Roman"/>
        <family val="1"/>
      </rPr>
      <t>e</t>
    </r>
    <r>
      <rPr>
        <sz val="9"/>
        <rFont val="Times New Roman"/>
        <family val="1"/>
      </rPr>
      <t xml:space="preserve">  This refers to funding for activities that have both mitigation and adaptation components.</t>
    </r>
  </si>
  <si>
    <r>
      <rPr>
        <i/>
        <vertAlign val="superscript"/>
        <sz val="9"/>
        <rFont val="Times New Roman"/>
        <family val="1"/>
      </rPr>
      <t xml:space="preserve">f </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</si>
  <si>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Custom footnotes:</t>
  </si>
  <si>
    <r>
      <rPr>
        <vertAlign val="superscript"/>
        <sz val="9"/>
        <rFont val="Times New Roman"/>
        <family val="1"/>
      </rPr>
      <t>(1)</t>
    </r>
    <r>
      <rPr>
        <sz val="9"/>
        <rFont val="Times New Roman"/>
        <family val="1"/>
      </rPr>
      <t xml:space="preserve"> </t>
    </r>
    <r>
      <rPr>
        <i/>
        <sz val="9"/>
        <rFont val="Times New Roman"/>
        <family val="1"/>
      </rPr>
      <t>The underlying assumptions, definitions and methodologies of the information in this CTF is available at:</t>
    </r>
  </si>
  <si>
    <t>TABLE III.7</t>
  </si>
  <si>
    <r>
      <rPr>
        <i/>
        <vertAlign val="superscript"/>
        <sz val="9"/>
        <rFont val="Times New Roman"/>
        <family val="1"/>
      </rPr>
      <t>a</t>
    </r>
    <r>
      <rPr>
        <sz val="9"/>
        <rFont val="Times New Roman"/>
        <family val="1"/>
      </rPr>
      <t xml:space="preserve">  Developing country Parties should provide, in common tabular format, information on financial support received, to the extent possible, as available and as applicable.</t>
    </r>
  </si>
  <si>
    <r>
      <rPr>
        <i/>
        <vertAlign val="superscript"/>
        <sz val="9"/>
        <rFont val="Times New Roman"/>
        <family val="1"/>
      </rPr>
      <t>b</t>
    </r>
    <r>
      <rPr>
        <sz val="9"/>
        <rFont val="Times New Roman"/>
        <family val="1"/>
      </rPr>
      <t xml:space="preserve">  Parties include information on support received, ongoing or planned since the previous BTR.</t>
    </r>
  </si>
  <si>
    <r>
      <rPr>
        <i/>
        <vertAlign val="superscript"/>
        <sz val="9"/>
        <rFont val="Times New Roman"/>
        <family val="1"/>
      </rPr>
      <t>f</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</si>
  <si>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rFont val="Times New Roman"/>
        <family val="1"/>
      </rPr>
      <t>(1)</t>
    </r>
    <r>
      <rPr>
        <sz val="9"/>
        <rFont val="Times New Roman"/>
        <family val="1"/>
      </rPr>
      <t xml:space="preserve"> </t>
    </r>
    <r>
      <rPr>
        <i/>
        <sz val="9"/>
        <rFont val="Times New Roman"/>
        <family val="1"/>
      </rPr>
      <t>The underlying assumptions, definitions and methodologies of the information in this CTF is available at: Section of the BTR Page number of the BTR</t>
    </r>
  </si>
  <si>
    <t>TABLE III.8</t>
  </si>
  <si>
    <r>
      <t xml:space="preserve">Information on technology development and transfer support needed by developing country Parties under Article 10 of the Paris Agreement </t>
    </r>
    <r>
      <rPr>
        <b/>
        <vertAlign val="superscript"/>
        <sz val="12"/>
        <rFont val="Times New Roman"/>
        <family val="1"/>
      </rPr>
      <t>a, b</t>
    </r>
  </si>
  <si>
    <r>
      <rPr>
        <i/>
        <vertAlign val="superscript"/>
        <sz val="9"/>
        <rFont val="Times New Roman"/>
        <family val="1"/>
      </rPr>
      <t>a</t>
    </r>
    <r>
      <rPr>
        <sz val="9"/>
        <rFont val="Times New Roman"/>
        <family val="1"/>
      </rPr>
      <t xml:space="preserve">  Developing country Parties should provide, in a common tabular format, information on technology development and transfer support needed, to the extent possible, as available and as applicable.</t>
    </r>
  </si>
  <si>
    <r>
      <rPr>
        <i/>
        <vertAlign val="superscript"/>
        <sz val="9"/>
        <rFont val="Times New Roman"/>
        <family val="1"/>
      </rPr>
      <t>e</t>
    </r>
    <r>
      <rPr>
        <sz val="9"/>
        <rFont val="Times New Roman"/>
        <family val="1"/>
      </rPr>
      <t xml:space="preserve">  This refers to activities that have both mitigation and adaptation components.</t>
    </r>
  </si>
  <si>
    <t>TABLE III.9</t>
  </si>
  <si>
    <r>
      <t xml:space="preserve">Information on technology development and transfer support received by developing country Parties under Article 10 of the Paris Agreement </t>
    </r>
    <r>
      <rPr>
        <b/>
        <vertAlign val="superscript"/>
        <sz val="12"/>
        <rFont val="Times New Roman"/>
        <family val="1"/>
      </rPr>
      <t>a, b</t>
    </r>
  </si>
  <si>
    <r>
      <rPr>
        <i/>
        <vertAlign val="superscript"/>
        <sz val="9"/>
        <rFont val="Times New Roman"/>
        <family val="1"/>
      </rPr>
      <t>a</t>
    </r>
    <r>
      <rPr>
        <sz val="9"/>
        <rFont val="Times New Roman"/>
        <family val="1"/>
      </rPr>
      <t xml:space="preserve">  Developing country Parties should provide, in common tabular format, information on technology development and transfer support received, to the extent possible, as available and as applicable.</t>
    </r>
  </si>
  <si>
    <t>TABLE  III.10</t>
  </si>
  <si>
    <r>
      <t xml:space="preserve">Information on capacity-building support needed by developing country Parties under Article 11 of the Paris Agreement </t>
    </r>
    <r>
      <rPr>
        <b/>
        <vertAlign val="superscript"/>
        <sz val="12"/>
        <rFont val="Times New Roman"/>
        <family val="1"/>
      </rPr>
      <t>a, b</t>
    </r>
  </si>
  <si>
    <r>
      <rPr>
        <i/>
        <vertAlign val="superscript"/>
        <sz val="9"/>
        <rFont val="Times New Roman"/>
        <family val="1"/>
      </rPr>
      <t>a</t>
    </r>
    <r>
      <rPr>
        <sz val="9"/>
        <rFont val="Times New Roman"/>
        <family val="1"/>
      </rPr>
      <t xml:space="preserve">  Developing country Parties should provide, in common tabular format, information on capacity-building support needed, to the extent possible, as available and as applicable.</t>
    </r>
  </si>
  <si>
    <t>TABLE  III.11</t>
  </si>
  <si>
    <r>
      <t xml:space="preserve">Information on capacity-building support received by developing country Parties under Article 11 of the Paris Agreement </t>
    </r>
    <r>
      <rPr>
        <b/>
        <vertAlign val="superscript"/>
        <sz val="12"/>
        <rFont val="Times New Roman"/>
        <family val="1"/>
      </rPr>
      <t>a, b</t>
    </r>
  </si>
  <si>
    <r>
      <t>Title of activity, programme, project or other</t>
    </r>
    <r>
      <rPr>
        <b/>
        <i/>
        <vertAlign val="superscript"/>
        <sz val="9"/>
        <rFont val="Times New Roman"/>
        <family val="1"/>
      </rPr>
      <t>c, d</t>
    </r>
  </si>
  <si>
    <r>
      <rPr>
        <i/>
        <vertAlign val="superscript"/>
        <sz val="9"/>
        <rFont val="Times New Roman"/>
        <family val="1"/>
      </rPr>
      <t>a</t>
    </r>
    <r>
      <rPr>
        <sz val="9"/>
        <rFont val="Times New Roman"/>
        <family val="1"/>
      </rPr>
      <t xml:space="preserve">  Developing country Parties should provide, in common tabular format, information on capacity-building support received, to the extent possible, as available and as applicable.</t>
    </r>
  </si>
  <si>
    <r>
      <rPr>
        <i/>
        <vertAlign val="superscript"/>
        <sz val="9"/>
        <rFont val="Times New Roman"/>
        <family val="1"/>
      </rPr>
      <t>e</t>
    </r>
    <r>
      <rPr>
        <sz val="9"/>
        <rFont val="Times New Roman"/>
        <family val="1"/>
      </rPr>
      <t xml:space="preserve">  This refers to activities that have both mitigation and adaptation components</t>
    </r>
  </si>
  <si>
    <t>TABLE  III.12</t>
  </si>
  <si>
    <r>
      <t xml:space="preserve">Information on support needed by developing country Parties for the implementation of Article 13 of the Paris Agreement and transparency-related activities, including for transparency-related capacity-building </t>
    </r>
    <r>
      <rPr>
        <b/>
        <vertAlign val="superscript"/>
        <sz val="12"/>
        <rFont val="Times New Roman"/>
        <family val="1"/>
      </rPr>
      <t>a, b</t>
    </r>
  </si>
  <si>
    <t>Additional information</t>
  </si>
  <si>
    <r>
      <rPr>
        <i/>
        <vertAlign val="superscript"/>
        <sz val="9"/>
        <rFont val="Times New Roman"/>
        <family val="1"/>
      </rPr>
      <t>a</t>
    </r>
    <r>
      <rPr>
        <sz val="9"/>
        <rFont val="Times New Roman"/>
        <family val="1"/>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</si>
  <si>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t>TABLE  III.13</t>
  </si>
  <si>
    <t>Information on support received by developing country Parties for the implementation of Article 13 of the Paris Agreement and transparency-related activities, including for transparency-related capacity-building a, b</t>
  </si>
  <si>
    <r>
      <rPr>
        <i/>
        <vertAlign val="superscript"/>
        <sz val="9"/>
        <rFont val="Times New Roman"/>
        <family val="1"/>
      </rPr>
      <t>a</t>
    </r>
    <r>
      <rPr>
        <sz val="9"/>
        <rFont val="Times New Roman"/>
        <family val="1"/>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</si>
  <si>
    <t>Agricultura</t>
  </si>
  <si>
    <t>Determinación de factores de emisión de GEI, como herramienta para la generación de estrategias para la adaptación de los principales rubros agrícolas al cambio climático</t>
  </si>
  <si>
    <t>A nivel de país se requiere evaluar los factores de emisión de GEI de manera experimental, para lo cual se ha desarrollado en el Instituto Nacional de investigaciones Agropecuarias (INIAP), una metodología experimental utilizando cámaras estáticas y cromatografía de gases GC para la determinación de la emisión de GEI en los sistemas agroproductivos a nivel nacional. Mediante la evaluación de estas emisiones, se generará datos experimentales que permitan establecer prácticas de agricultura sostenible para reducir el impacto de las emisiones en el cambio climático.</t>
  </si>
  <si>
    <t>NR</t>
  </si>
  <si>
    <t>2026 al 2030</t>
  </si>
  <si>
    <t>Subvenciones / Donaciones</t>
  </si>
  <si>
    <t>Mitigación</t>
  </si>
  <si>
    <t xml:space="preserve">Los productores y entes de control, con el proyecto podrán acceder a información experimental medida en campo, que permita generar información científica de la Emisión de GEI por labores culturales en los principales rubros agrícolas, a partir de esta información se podrán implementar procesos de investigación para reducir las emisiones de GEI al ambiente y contribuir con la adaptación de la producción agrícola al cambio climático.   </t>
  </si>
  <si>
    <t>Necesidades específicas, nacionalmente determinadas</t>
  </si>
  <si>
    <t>Evaluación de la contaminación por metales pesados en suelos agrícolas.</t>
  </si>
  <si>
    <t>Identificar las fuentes de contaminación por metales pesados en áreas agrícolas.</t>
  </si>
  <si>
    <t xml:space="preserve">Zonificación de zonas </t>
  </si>
  <si>
    <t xml:space="preserve">Gestionar los procesos de importación de productos agropecuarios y analizar el impacto de la producción nacional en los procesos de producción. </t>
  </si>
  <si>
    <t xml:space="preserve">Conocer los procesos de labores culturales con el fin de capacitar en nuevas iniciativas para mitigar los impactos que genera la agricultura.  </t>
  </si>
  <si>
    <t>al 2025</t>
  </si>
  <si>
    <t>UA</t>
  </si>
  <si>
    <t>Implementación a nivel nacional de 5.000 hectáreas de sistemas agroforestales en sistemas de producción sostenibles de personas productoras de la agricultura familiar campesina.</t>
  </si>
  <si>
    <t>El proyecto constará de tres componentes: i) Fortalecimiento de capacidades a personas productoras de la agricultura familiar campesina en la elaboración de diseños prediales en agricultura sostenible con énfasis en la implementación de acciones de adaptación al cambio climático ii) Implementación de sistemas agroforestales (árbol+frutal+arbusto) para control de erosión del suelo o conducción del agua para reservorios o infiltración in situ bajo la técncia de terrazas de formación lenta (barreras vivas) y/o keyline iii)  Dotación de material y equipos para la elaboración de diseños prediales y la implementación de las acciones de adaptación al cambio climático (SAF) iv) Seguimiento, evaluación y monitories de las actividades del proyecto.</t>
  </si>
  <si>
    <t>Control de erosión hídrica, manejo y conservación del agua, incremento de la fertilidad natural del suelo, disminución de costos de producción, decremento de uso de agroquímicos, incremento de resiliencia de las personas productoras de la AFC.</t>
  </si>
  <si>
    <t>Ganadería</t>
  </si>
  <si>
    <t>Prácticas de Ganadería Climáticamente Inteligente (Promoción del manejo ganadero climáticamente inteligente, integrando la reversión de la degradación de tierras, y reduciendo los riesgos de desertificación en provincias vulnerables)</t>
  </si>
  <si>
    <t>Mejorar la infraestructura tecnológica -plataforma virtual que fue desarrollada para la medición de gases de efecto invernadero en ganadería, en la cual se incluya la medición de captura de carbono en sistemas silvopastoriles.</t>
  </si>
  <si>
    <t>Asentamientos humanos</t>
  </si>
  <si>
    <t>Gestión de riesgos asociados a desastres</t>
  </si>
  <si>
    <t>Actualización y socialización de estudios sobre zonas de alta incidencia de eventos peligrosos, identificando las vulnerabilidades de las comunidades de las subcuencas de los ríos León, San Francisco y Vivar (Azuay)</t>
  </si>
  <si>
    <t>Se propone contar con estudios sobre que permitan conocer el riesgo de desastres naturales (deslizamientos en masa y otros eventos peligrosos), así como las vulnerabilidades de las familias y comunidades; identificar e implementar procesos de fortalecimiento de capacidades de respuesta y recuperación de medios de vida afectados.</t>
  </si>
  <si>
    <t>Adaptación</t>
  </si>
  <si>
    <t>Con la implementación de la actividad se espera vincular a los actores clave: GAD Municipales, comunidades, Ministerios y fortalecer las capacidades para la sostenibilidad de la iniciativa.</t>
  </si>
  <si>
    <t>Planeación y desarrollo urbano sostenible</t>
  </si>
  <si>
    <t>Análisis de la pobreza energética en viviendas del Ecuador: línea base, impacto del cambio climático y soluciones de mitigación para poblaciones vulnerables</t>
  </si>
  <si>
    <t>Prevención de riesgos</t>
  </si>
  <si>
    <t>Consultoría para la Actualización del Manual Técnico para la Preparación de Agendas de Reducción de Riesgos</t>
  </si>
  <si>
    <t>Se propone establecer un documento que brinde los lineamientos para vincular las acciones contempladas en los instrumentos de planificación local, especialmente los relacionados con los planes de desarrollo y ordenamiento territorial; uso y gestión del suelo, adaptación al cambio climático, ambientales, de manejo de cuencas, planes complementarios y la incorporación de las acciones estratégicas para el fortalecimiento de la gobernanza de la gestión del riesgo de desastres, para que los Gobiernos Autónomos Descentralizados Municipales y Metropolitanos  fortalezcan la gobernanza del riesgo de desastres, comprendiendo los riesgos e invirtiendo en proyectos que disminuyan las vulnerabilidades existentes; así como también para mejorar la implementación de los Planes de Desarrollo y Ordenamiento Territorial,  con una visión de gestión prospectiva del riesgo, teniendo una consideración especial en su propuesta y modelo de gestión. Del mismo modo, se fortalece la gobernanza de gestión del riesgo de desastres en el nivel local, la adaptación al cambio climático, contribuyendo a la construcción de sociedades más seguras y resilientes, a través de la articulación de estrategias integrales y participativas de las distintas instancias territoriales que comparten responsabilidades en esta temática.</t>
  </si>
  <si>
    <t>Consiste en mejorar la capacidad de planificación, ejecución y evaluación de medidas orientadas a la reducción de riesgos. A través de estas acciones, se espera fortalecer la resiliencia de las instituciones y comunidades frente a posibles desastres, optimizando los recursos disponibles para la prevención y mitigación de riesgos. Esto permitirá una mayor coordinación interinstitucional, la participación activa de la sociedad civil y una respuesta oportuna ante emergencias, con base en planes estructurados que prioricen la seguridad y el bienestar de la población.</t>
  </si>
  <si>
    <t>Empaques de asistencia humanitaria amigable con el medio ambiente después de su uso.</t>
  </si>
  <si>
    <t>Adaptación de los empaques de asistencia humanitaria amigo ambientales</t>
  </si>
  <si>
    <t xml:space="preserve">Infraestructura, vivienda y saneamiento básico </t>
  </si>
  <si>
    <t>Mejoramiento de la productividad agrícola de los usuarios del canal de riego ´´Acequia Comunaria de Quisapincha´´ con la utilización de insumos y materiales de la propia finca.</t>
  </si>
  <si>
    <t xml:space="preserve">Una de las razones de la contaminación de los suelos, el agua y los productos de los consumidores, es la utilización masiva de agrotóxicos - plaguicidas, a nivel de finca en campo de agricultores se disponen de importantes recursos: materia orgánica de origen animal y vegetal, microorganismos, cenizas, harina de piedra, pumita, sal marina, huesos, estiércol, sangre, orines, suero de leche, frutos y verduras maduras etc., a partir de estos materiales se fomentaran espacios de fabricación de bioinsumos (abonos edáficos, abonos foliares, caldos minerales, insecticidas botánicos, insecticidas biológicos (trichoderma spp.), estos productos serán elaborados con la participación de los regantes-agricultores del canal de riego y utilizados por todos los usuarios del canal previo un aporte simbólico por el valor de los materiales, lo cual permitirá seguir produciendo en el transcurso del tiempo. </t>
  </si>
  <si>
    <t>Transversal</t>
  </si>
  <si>
    <t>Proceso de mejoramiento de la productividad del campo mediante la implementacion de sistemas de riego y tecnificacion con herramientas de tecnología 4.0</t>
  </si>
  <si>
    <t xml:space="preserve">Implementación de sistemas de riego parcelario y tecnificación 4.0 en si menos 4 provincias, busca optimizar el uso del agua en el campo y el uso técnico de los insumos para el agro. </t>
  </si>
  <si>
    <t>Proyecto Normativo regulación de AH y Proyecto Normativo para regularización de construcciones informales.</t>
  </si>
  <si>
    <t>Proyecto normativo para la regularización de asentamientos humanos. Programas de hábitat y espacio público para contener los procesos de expiación urbana de los GADM. Disminuir en la exposición de AHH en zonas de alta vulnerabilidad</t>
  </si>
  <si>
    <t>Se espera disminuir la proliferación de AH y construcciones inseguras a nivel nacional.</t>
  </si>
  <si>
    <t>REPOTENCACIÓN DEL MONITOREO 24/7 DE EVENTOS ADVERSOS RELACIONADOS CON LA GESTIÓN DEL RIESGO DE DESASTRES Y EVENTOS CLIMÁTICOS EXTREMOS EN TODO EL ECUADOR.</t>
  </si>
  <si>
    <t>La SNGR tuvo en sus inicios personal 24/7 para el monitoreo del impacto de eventos adversos recurrentes con alrededor de 145 funcionarios a nivel de 20 provincias y 2 Salas de Situación Nacionales. Por la austeridad esta red fue reducida a la tercera parte y cada vez se ha vuelto más difícil efectivizar el monitoreo debido a la austeridad gubernamental. Actualmente solo tenemos 45 personas de un nivel de conocimientos básicos, por lo que es indispensable cubrir de un monitoreo 24/7 a todo el país con personal altamente capacitado y profesionales en las ramas de gestión del riesgo, medio ambiente y cambio climático para que puedan analizar y procesar información de todo lo que sucede en el país referente al incremento de amenazas naturales y el impacto de los eventos adversos. Los 145 profesionales sería mínimo SP4 y de contratación permanente. esta red permitirá levantar información de patrones cuantitativos y cualitativos de cada territorio, basado en los pronósticos y comunicaciones permanentes a cada comunidad.</t>
  </si>
  <si>
    <t>FORTALECIMIENTO DE CAPACIDADES AL PERSONAL DE LA RED DE MONITOREO DE LA SNGR Y DE LOS GAD CANTONALES, EN PROCESOS DE MONITOREO DE EVENTOS ADVERSOS Y EVENTOS CLIMÁTICOS EXTREMOS EN TODO EL ECUADOR</t>
  </si>
  <si>
    <t>La SNGR cuenta con un personal que trata de monitorear la situación de las amenazas naturales y eventos adversos del Ecuador y necesita de solidos conocimientos para poder mejorar su trabajo operativo e identificar parámetros relacionados con el cambio climático y su relación con la gestión del riesgo de desastres. También el personal de monitoreo mantiene comunicación permanente con el personal de las UGR y con las salas de situación existentes, por lo que es necesario que todos se encuentren capacitados y con los conocimientos estandarizados. Para esto se desarrollarían 20 talleres provinciales de 5 días de duración, cada uno, por lo que es necesario obtener fondos para estos fortalecimientos.</t>
  </si>
  <si>
    <t xml:space="preserve">Fortalecimiento de la la economías comunitarias mediante el aprovechamiento de las semillas de los bosques amazónicos </t>
  </si>
  <si>
    <t>La Evaluación a las medidas tomadas por el Deslizamiento de La Josefina en el año 1993, y el impacto que estas medidas han tenido en relación al cambio climatico, y analizando la mitigación para proteger la cuenca del río Paute aguas arriba y aguas abajo del dique residual de la Josefina.</t>
  </si>
  <si>
    <t xml:space="preserve">En el análisis el propósito es evaluar la infraestructura construida por las siguientes instituciones en la cuenca baja del río Paute, la cual tenia el propósito de reducir el impacto de acumular sedimentos en las represas de los proyectos Hidroelectricos Mazar y Molino lo que acorta la vida util de estos proyectos, también permitían recuperar el cauce del río Paute desde el dique residual ubicado en la zona de La Josefina, hasta la ciudad de Paute.
Los impactos al cambio climático están produciendo que las margenes se estén erosionando aguas abajo del dique residual y aguas arriba  inundaciones anualmente, este levantamiento de información permitirá tomar medidas de adaptación al cambio climático ya que estos criterios no fueron considerados en los modelos iniciales, a lo cual tampoco se considero el crecimiento de la ciudad de cuenca (cambio de uso de Suelo) asi como perdidas de Paramos.
 </t>
  </si>
  <si>
    <t>Definir un  nuevo Plan para de Gestión para la Cuenca del río Paute, para los próximos años, con el fin de  adaptar el plan inicial al cambio climatico, reduciendo riesgos hidricos en la zonas de los GADs de Cuenca, Paute y Gualaceo, permitiendo la implementación de este plan.</t>
  </si>
  <si>
    <t>REPOTENCIACIÓN DEL SISTEMA DE INFORMACIÓN PARA LOS REGISTROS HISTÓRICOS DE DATOS DE MONITOREO CUALITATIVO Y CUANTITATIVO DE AMENAZAS NATURALES (CLIMÁTICAS, OCEANOGRÁFICAS, GEOLÓGICAS, HIDROMETEOROLÓGICAS) Y DATOS DE AFECTACIONES Y EJECUCIÓN DE PLANES DE RESPUESTA Y RECUPERACIÓN PARA LA TOMA DE DECISIONES Y ATENCIÓN A LA POBLACIÓN</t>
  </si>
  <si>
    <t>La SNGR cuanta con un sistema web que levantó en el 2022 y que conserva gran parte de las funcionalidades para la administración y manejo de información para monitorear, alertar y registro para la toma de decisiones en un solo aplicativo, lo que permite a todos los actores, tener la información consolidada y centralizada para que se pueda utilizar para la toma de decisiones o para la actualizaciones de PDyOT, Planes de Respuesta, Planes de Emergencia, entre otros documentos donde es importante tener la información histórica para saber como un territorio se encuentra adaptándose y siendo resiliente. este sistema se lo quiere repotenciar y adaptar nuevas funcionalidades que nos han pedido los actores locales en donde el mismo ya fue socializado.</t>
  </si>
  <si>
    <t>Servicio de consultoría para la evaluación y fortalecimiento de políticas públicas sectoriales para la gestión de riesgos.</t>
  </si>
  <si>
    <t>La consultoría abarcará a los GAD Provinciales y un grupo focal de GAD parroquiales para el levantamiento de información e identificación de todas las posibles acciones que ejecutan actualmente en gestión de riesgos en base a sus competencias considerando los componentes de Gestión de riesgos.  Así como el documento que contenga la propuesta de lineamientos de Gobernanza a nivel provincial y parroquial.</t>
  </si>
  <si>
    <t>Busca dotar a estos gobiernos de directrices claras y herramientas prácticas para mejorar su capacidad de gestión de riesgos de desastres, facilitando la implementación de políticas y estrategias locales adecuadas a su contexto. A través del uso de un paquete metodológico e instrumentos, los GAD podrán desarrollar planes de acción efectivos, mejorar la coordinación interinstitucional, promover la participación comunitaria y fortalecer la resiliencia local, integrando la gestión de riesgos en su planificación territorial y desarrollo sostenible.</t>
  </si>
  <si>
    <t>al 2025al 2025</t>
  </si>
  <si>
    <t>Energía</t>
  </si>
  <si>
    <t>Inclusión de la variable de riesgos climáticos en el sector productivo de hidrocarburos; minería y electricidad</t>
  </si>
  <si>
    <t xml:space="preserve">Apoyo de un consultor para el manejo de temas de adaptación y mitigación de Cambio Climático del sector de energía.
</t>
  </si>
  <si>
    <t>Colaboración con el punto focal de Cambio climático del Ministerio de Energía y Minas.</t>
  </si>
  <si>
    <t>El consultor deberá respaldar las acciones realizadas por el punto focal de esta Cartera de Estado.</t>
  </si>
  <si>
    <t>Generación de energía por fuentes renovables</t>
  </si>
  <si>
    <t xml:space="preserve">CONSTRUCCIÓN SOSTENIBLE, SISTEMA DE MANEJO DE AGUAS RESIDUALES Y BIODIGESTORES, PANELES SOLARES, CULTIVO SINTRÓPICO EN MANEJO DE CAÑA DE AZÚCAR </t>
  </si>
  <si>
    <t>Convenio de cooperación interinstitucional aplicaciones en el dominio espacio temporal como soporte a la toma de decisiones para proyectos de energías renovables y medidas de adaptación al cambio climático para CELEC SUR 2023-2028</t>
  </si>
  <si>
    <t>Aplicaciones en el dominio espacio temporal como soporte a la toma de decisiones para proyectos de energías renovables y medidas de adaptación al cambio climático para CELEC SUR</t>
  </si>
  <si>
    <t xml:space="preserve">Eficiencia energética en el sector de hidrocarburos </t>
  </si>
  <si>
    <t>Detección y medición de emisiones de metano L4 y L5 para las instalaciones de UPSTREAM de EPPETROECUADOR según las directrices de OGMP 2.0</t>
  </si>
  <si>
    <t xml:space="preserve">Se encuentra en ejecución mediciones de metano hasta nivel 3. Una vez levantada la información completamente, se deberá realizar mediciones nivel L4 y nivel 5. </t>
  </si>
  <si>
    <t>Proporcionar una imagen completa de las emisiones de metano a nivel de campo y la transparencia en la reporte de emisiones.</t>
  </si>
  <si>
    <t>Eficiencia energética en el transporte y uso de energía renovable</t>
  </si>
  <si>
    <t>Determinación del consumo energético de combustible y factores de emisión en el sector transporte en Ecuador para promover la eficiencia energética y uso de energía renovable</t>
  </si>
  <si>
    <t>El proyecto titulado "Determinación del consumo energético de combustible y factores de emisión en el sector transporte de Ecuador para promover la eficiencia energética y uso de energía renovable" tiene como objetivo principal cuantificar el consumo de combustibles fósiles y determinar los factores de emisión de gases de efecto invernadero (GEI) en el sector transporte, principal consumidor de energía del país. Para ello, se llevará a cabo un exhaustivo levantamiento de datos mediante la implementación de tecnologías avanzadas de telemetría y sistemas portátiles de medición de emisiones (PEMS).
Las mediciones se realizarán en condiciones reales de operación, considerando variables como la geografía, altitud y el comportamiento del tránsito en diferentes regiones del país. Se utilizarán PEMS para medir directamente las emisiones de dióxido de carbono (CO₂), óxidos de nitrógeno (NOx) y material particulado (PM) durante la operación normal de vehículos representativos del parque automotor ecuatoriano. Estos equipos portátiles proporcionarán datos precisos sobre el desempeño energético de cada vehículo bajo diversas condiciones operativas, como tráfico urbano y periurbano, así como en rutas interprovinciales.
La telemetría permitirá monitorear el consumo de combustible, las velocidades de operación y otros parámetros operativos que influencian la eficiencia energética. Este enfoque garantizará una evaluación robusta y contextualizada de los patrones de consumo y emisión en el sector transporte, generando un conjunto de datos clave para la formulación de políticas públicas dirigidas a la mitigación de GEI y la transición hacia tecnologías más limpias y renovables, como la electrificación del transporte y el uso de biocombustibles.
Los resultados obtenidos servirán como base para el desarrollo de propuestas regulatorias y la identificación de oportunidades de financiamiento y transferencia de tecnología, en el marco del Acuerdo de París y las prioridades nacionales de Ecuador en materia de cambio climático.</t>
  </si>
  <si>
    <t>El proyecto "Determinación del consumo energético de combustible y factores de emisión en el sector transporte de Ecuador" proporcionará un conjunto de herramientas y resultados que serán utilizados para múltiples fines estratégicos en el ámbito de la mitigación del cambio climático y la modernización del transporte. Uno de los principales usos esperados es la mejora en la precisión de los inventarios nacionales de emisiones, mediante la recopilación de datos actualizados y detallados sobre el consumo de combustibles y las emisiones de gases de efecto invernadero (GEI) en diferentes categorías de vehículos y condiciones operativas. Estos datos serán fundamentales para fortalecer la capacidad de reporte del país en el marco de la Contribución Determinada a Nivel Nacional (NDC) y el Acuerdo de París.
Asimismo, los resultados del proyecto servirán como insumo clave para el desarrollo de políticas públicas que promuevan la eficiencia energética en el sector transporte. Las mediciones y análisis permitirán identificar áreas prioritarias donde se puedan aplicar tecnologías de baja emisión, como vehículos eléctricos e híbridos, y se podrán diseñar incentivos para la renovación del parque automotor y la adopción de energías renovables, como los biocombustibles.
El proyecto también tiene un componente educativo, donde los datos generados y la experiencia adquirida en el uso de sistemas avanzados de telemetría y equipos portátiles de medición de emisiones (PEMS) serán utilizados para capacitar a técnicos y profesionales en la medición de emisiones y eficiencia energética. Esta transferencia de conocimiento fortalecerá las capacidades técnicas locales, garantizando la sostenibilidad de las acciones de mitigación a largo plazo.
Finalmente, los resultados serán integrados en informes nacionales como la Quinta Comunicación Nacional sobre Cambio Climático y el Primer Informe Bienal de Transparencia, consolidando el rol de Ecuador como un actor activo en los esfuerzos globales para mitigar el cambio climático.</t>
  </si>
  <si>
    <t>Elaboración de mapas escala 1:25000, para el diagnóstivo de energía geotermal.</t>
  </si>
  <si>
    <t>No estoy en ninguna institución en el cual pueda colaborar.</t>
  </si>
  <si>
    <t>Estudio para la implementación de micromovilidad eléctrica como complemento de la movilidad sostenible en ciudades intermedias.</t>
  </si>
  <si>
    <t xml:space="preserve">Determinar una zona de influencia para establecer el uso de micromovilidad eléctrica como complemento al sistema de transporte público existente en el hipercentro de ciudades intermedias </t>
  </si>
  <si>
    <t>Modelo que determina una zona de influencia para establecer el uso de micromovilidad eléctrica como complemento al sistema de transporte público existente en el hipercentro de ciudades intermedia.</t>
  </si>
  <si>
    <t>Evaluación de la integración del hidrógeno verde en el sistema energético del Ecuador.</t>
  </si>
  <si>
    <t xml:space="preserve">El alcance del proyecto consistirá en la determinación de los principales usos potenciales de hidrógeno en función de sus requerimientos energéticos y comparación con las alternativas de combustibles existentes, con énfasis en la reducción en el consumo de combustibles fósiles y la reducción de emisiones de gases de efecto invernadero. 
Adicionalmente, se el proyecto busca identificar los requerimientos para la producción de hidrógeno verde en el Ecuador y su integración con el sistema energético del país, tomando en cuenta las tecnologías de hidrógeno existentes en las etapas de producción, almacenamiento, transporte y distribución de energía.
</t>
  </si>
  <si>
    <t xml:space="preserve">Mediante la  se aportará con la descripción y el análisis de los usos potenciales de hidrógeno verde en el país, tanto desde el lado de la oferta como de la demanda de energía. Así, se tendrá una perspectiva de en qué actividades energéticas presentes en el país es más eficiente el uso de hidrógeno verde en comparación con otras alternativas de electrificación.
Adicionalmente, se obtendrá la identificación y análisis de las tecnologías actuales disponibles de producción, transporte y almacenamiento de hidrógeno. En este sentido se ubicarán estas tecnologías en el contexto del país mediante el estudio de determinación de requerimientos para implementar un sistema de hidrógeno verde en el país integrado con el sistema energético actual.
</t>
  </si>
  <si>
    <t xml:space="preserve">Mitigación cambio climático implementando energías sostenibles en procesos productivos agrícolas </t>
  </si>
  <si>
    <t>Sistemas híbridos de energía solar y biogás: Integrar paneles solares con biodigestores. La energía solar puede usarse para alimentar bombas de calor que aceleren el proceso de fermentación en los biodigestores, haciendo que la descomposición de desechos de cuyes y café sea más eficiente
Secado de residuos mediante energía solar: Instalar colectores solares que calienten el aire para secar los residuos de los cuyes y los restos de la cosecha de café. Los residuos secos pueden ser más fácilmente procesados en el biodigestor, aumentando la producción de biogás.
Invernaderos solares combinados con biodigestores: Utilizar la energía solar para calentar invernaderos donde se cultiven plantas o cultivos complementarios al café o los aceites esenciales. El calor residual de los invernaderos también puede ser canalizado hacia los biodigestores, mejorando la temperatura interna y optimizando la producción de biogás.
Sistemas de riego solar y fertilización con biol: Aprovechar la energía solar para sistemas de riego automatizados y eficientes que usen el biol (líquido residual del biodigestor rico en nutrientes) para fertilizar las plantas de café. Esto cerraría el ciclo entre la producción de biogás y el uso de desechos agrícolas.
Capacitación comunitaria en tecnologías solares y biogás: Implementar programas educativos donde los agricultores aprendan a instalar y mantener sistemas solares y biodigestores, asegurando que la tecnología se adapte a las necesidades locales y sea sostenible a largo plazo. y también complementar con acciones de metodología de Gestión del agua, también vinculada</t>
  </si>
  <si>
    <t xml:space="preserve">Energías alternativas 
Reducción carbono </t>
  </si>
  <si>
    <t>Eficiencia energética e incorporación de energía renovable en el sector comercial, residencial e instituciones públicas</t>
  </si>
  <si>
    <t>Proyección de los efectos del cambio climático en el comportamiento energético del parque edificado para la identificación de estrategias de eficiencia energética.</t>
  </si>
  <si>
    <t>El proyecto se centra en el análisis prospectivo del consumo energético de los sectores residencial, comercial y servicios públicos, bajo diferentes escenarios del cambio climático, para proponer estrategias de mitigación y adaptación a través de potenciales normativas de eficiencia energética. Uno de los principales pasos a seguir, es el análisis de la influencia climática sobre el comportamiento energético del parque edificado, seguido de la cuantificación de GEI bajo los escenarios del IPCC. Esto se realizará mediante la recopilación y análisis de información histórica real acerca del consumo energético y las condiciones meteorológicas de la costa ecuatoriana.</t>
  </si>
  <si>
    <t>El IIGE ha desarrollado proyectos de investigación en el ámbito de eficiencia energética con diversas universidades e instituciones públicas y privadas a nivel nacional e internacional, por lo que, el primer paso consiste en el acercamiento a las instituciones con competencia en el campo de estudio para potenciar la propuesta y elaborar el documento de formulación final. Además, se formalizarán alianzas de cooperación interinstitucional que permitan viabilizar el cumplimiento del objetivo planteado para el proyecto y se integrarán las experiencias previamente desarrolladas por las organizaciones e investigadores participantes.</t>
  </si>
  <si>
    <t>Proyecto eólico El Pimo</t>
  </si>
  <si>
    <t>El proyecto eólico El Pimo es parque eólico de 35 aerogeneradores de 4.3 MW, con una potencia instalada de 150 MW, con posibilidad de expansión a 200 MW</t>
  </si>
  <si>
    <t>Préstamo concesional</t>
  </si>
  <si>
    <t xml:space="preserve">Generación de energía eléctrica de una fuente renovable no convencional para todo el territorio ecuatoriano
</t>
  </si>
  <si>
    <t>Proyecto fotovoltaico flotante Mazar</t>
  </si>
  <si>
    <t>El proyecto se encuentra ubicado sobre el embalse de la Central de Generación Hidroeléctrica Mazar. La longitud utilizada sobre el espejo de agua para este desarrollo es de 15 kilómetros, con un área de 264 hectáreas de ocupación desde la cresta de la presa hasta la confluencia de los ríos Paute y Collay. El área definida está fuera de parques nacionales y áreas protegidas. Es el proyecto fotovoltaico más grande de América Latina y el uso de infraestructura no generaría conflictos en el uso del suelo.La potencia en Mw es de 200.</t>
  </si>
  <si>
    <t>Proyecto hidroeléctrico Santiago</t>
  </si>
  <si>
    <t>El proyecto hidroeléctrico Santiago se compone de una presa de arco-gravedad de Hormigón Compactado con Rodillo –HCR-, obra de excedencia y desagüe de fondo en el mismo cuerpo de la presa, obra de desvío, obra de generación y obras viales. Consta de una primera etapa con 8 grupos y potencia total aproximada de 2 400 MW, y una segunda etapa de construcción con 4 grupos más, llevando la potencia total a los aproximadamente 3 600 MW</t>
  </si>
  <si>
    <t>Generación de energía eléctrica de una fuente renovable para todo el territorio ecuatoriano</t>
  </si>
  <si>
    <t>REDUCCIÓN DEL CONSUMO DE COMBUSTIBLE FÓSILES MEDIANTE LA RENOVACIÓN DE VEHÍCULOS DE COMBUSTIÓN INTERNA POR VEHÍCULOS ELÉCTRICOS EN EL TRANSPORTE PÚBLICO Y COMERCIAL DEL ECUADOR</t>
  </si>
  <si>
    <t>-RENOVAR EL PARQUE AUTOMOTOR DEL TRANSPORTE PUBLICO Y COMERCIAL (TVU)
-CHATARRIZACION</t>
  </si>
  <si>
    <t>Con el uso de fuentes renovables de energía eléctrica, se elimina el uso del subsidio de combustibles en el sector transporte comercial.</t>
  </si>
  <si>
    <t xml:space="preserve">Manejo de Biomasa del Bosque para la generación de Energía Eléctrica </t>
  </si>
  <si>
    <t xml:space="preserve">Manejo silvicola del bosque recolección de la biomasa y su industrialización en una planta generadora de electricidad </t>
  </si>
  <si>
    <t>Proyecto Hidroeléctrico Cardenillo</t>
  </si>
  <si>
    <t>El proyecto Cardenillo está ubicado aguas abajo de la central Sopladora, y sus estudios definitivos determinan que tendrá una capacidad instalada de 595,65 MW (divididos en 588,31 MW de la central y 7,34 MW de una pequeña central ubicada en el pie de la presa). El proyecto tiene estimado un período de construcción de 75 meses y operará con un caudal de diseño de 180m3/s, tomados de la presa de derivación y captación, alimentado por las aguas turbinadas de la descarga de la Central Sopladora (150m3/s) más las aguas correspondientes a la cuenca intermedia del río Paute, entre la descarga de la Central Molino y la presa Cardenillo (30 m3/s)</t>
  </si>
  <si>
    <t xml:space="preserve">Generación de energía eléctrica de una fuente renovable para todo el territorio ecuatoriano
</t>
  </si>
  <si>
    <t>SOLUCIONES ENERGETICAS UPSTREAM (EX PROGRAMA DE EFICIENCIA ENERGETICA OGE&amp;EE)</t>
  </si>
  <si>
    <t>APROVECHAMIENTO DE GAS ASOCIADO PARA GENERACIÓN ELECTRICA, DESPLAZANDO DIESEL COMO COMBUSTIBLE</t>
  </si>
  <si>
    <t>Préstamo no concesional</t>
  </si>
  <si>
    <t>aprovechamiento de gas asociado: gas to power/ GLP/ Gasolina / Gas to liquid</t>
  </si>
  <si>
    <t>Grupos de atención prioritaria</t>
  </si>
  <si>
    <t xml:space="preserve">Fortalecimiento de capacidades en grupos de atención prioritaria </t>
  </si>
  <si>
    <t xml:space="preserve">Estrategia Nacional Agropecuaria para Mujeres Rurales </t>
  </si>
  <si>
    <t>Patrimonio Hídrico</t>
  </si>
  <si>
    <t>Actividad: Gestión para el desarrollo e implementación de Planes de Manejo de Áreas de Protección Hídrica</t>
  </si>
  <si>
    <t>Actividad: Considerando que actualmente se han delimitado y establecido 33 Áreas de Protección Hídrica, es importante que estas cuenten con su instrumento de gestión para garantizar su adecuado co-manejo con enfoque de cuenca hidrográfica y lo establecido en la Ley Orgánica de Recursos Hídricos, Usos y Aprovechamiento del Agua, con los actores corresponsables de la protección y gestión de los recursos hídricos.</t>
  </si>
  <si>
    <t>Actividad: Se espera que estos instrumentos de gestión sean desarrollados e implementados a nivel desconcentrado, para el manejo eficiente de las APH.</t>
  </si>
  <si>
    <t>Patrimonio hídrico</t>
  </si>
  <si>
    <t>Actualización del Plan Nacional de la Gestión Integral e Integrada de los Recursos Hídricos</t>
  </si>
  <si>
    <t>Actualización de la planificación hídrica incluyendo análisis de cambio climático</t>
  </si>
  <si>
    <t>Fondos propios</t>
  </si>
  <si>
    <t>Conservación de 30.000 hectáreas de bosques y zonas de recarga hídrica</t>
  </si>
  <si>
    <t xml:space="preserve">Convenio de cooperación para la protección de los bosques altos andinos y páramos vulnerables en áreas de captación hídrica en la zona de amortiguamiento del parque nacional Sangay, a través del programa de promotores ambientales comunitarios de la zona baja de la Sub Cuenca del Río Paute. </t>
  </si>
  <si>
    <t xml:space="preserve">Conservación de 30.000 hectáreas de bosques y zonas de recarga hídrica
</t>
  </si>
  <si>
    <t>Diagnóstico de la calidad de los recursos hídricos superficiales en una red de referencia en cinco cuencas piloto (Napo, Santiago, Pastaza, Esmeraldas, Guayas).</t>
  </si>
  <si>
    <t xml:space="preserve">Establecer una red de referencia orientada a un objetivo específico, que permita establecer programas de control sobre la calidad del agua los cuales a su vez permitirán evaluar la efectividad de las políticas ambientales establecidas sobre esta temática así como el efecto que causa sobre los recursos hídricos los cambios que se producen en los usos del suelo y el desarrollo socio-productivo en cada cuenca. Por lo que generar conocimiento sobre la calidad de los recursos hídricos en las cuencas de los ríos Napo, Santiago, Pastaza, Esmeraldas y Guayas, mediante la generación, sistematización, evaluación y análisis de la información resultante de los monitoreos periódicos y sistemáticos de la calidad de agua, de la determinación de parámetros in-situ; así como de los respectivos análisis en laboratorio de parámetros físico-químicos, biológicos, y compuestos orgánicos que afectan las características de los recursos hídricos, la información generada permitirá establecer una metodología para determinar un índice de calidad de agua que de manera objetiva permita determinar la calidad de los recursos hídricos ya que se caracterizara de forma estadística la contaminación, además  el conocimiento generado sobre la dinámica de los recursos hídricos permitirá generar acciones frente a la variabilidad y el cambio climático.
</t>
  </si>
  <si>
    <t>La red de referencia establecida con un objetivo específico,  permitirá establecer programas de control sobre la calidad del agua, evaluar la efectividad de las políticas ambientales, y el efecto que causan sobre los recursos hídricos los cambios que se producen en los usos del suelo y el desarrollo socio-productivo en cada cuenca. Contar con una metodología para determinar un índice de calidad de agua; y la información y el conocimiento  sobre la dinámica de los recursos hídricos permitirá generar acciones frente a la variabilidad y el cambio climático.
Por otra parte el país podrá contar con información  para el reporte de los ODS 6 Agua y saneamiento y demás compromisos asumidos por el país en esta temática.</t>
  </si>
  <si>
    <t>Escuela Nacional del Agua</t>
  </si>
  <si>
    <t xml:space="preserve">Proceso formativo dirigido a líderes y dirigentes de comunidades campesinas e indígenas, con el objetivo de fortalecer la administración, operación y mantenimiento de los sistemas de agua potable.
Bajo una modalidad híbrida: virtual en plataforma e-learning mediante convenio con un universidad local y fase presencial implementada por el personal en campo de Ayuda en Acción.
Se abordan los siguientes temas:
1.	Conservación y Protección de las Fuentes de Agua 
2.	Gestión Social y Administrativa del Agua 
3.	Operación y Mantenimiento Técnico de los Sistemas de Agua 
4.	Sensibilización de Personas Usuarias del Agua 
</t>
  </si>
  <si>
    <t>Establecimiento de umbrales en cuencas hidricas prioritarias</t>
  </si>
  <si>
    <t>realizar los aforos constantes de ríos priorizados, incluir datos meteorológicos y establecer umbrales y comportamiento hidrológico</t>
  </si>
  <si>
    <t xml:space="preserve">Estudios de vulnerabilidad de acuíferos, estudios de isotopía e hidrogeoquímica </t>
  </si>
  <si>
    <t>Estudios de acuíferos transfronetrizos amazónicos que se esta iniciando con OTCA</t>
  </si>
  <si>
    <t>Monitoreo y reducción del impacto ambiental de residuos antimicrobianos y bacterias resistentes en cuerpos de agua vinculados a actividades agropecuarias en un contexto de cambio climático.</t>
  </si>
  <si>
    <t>Implementar monitoreo y reducción del impacto ambiental de residuos antimicrobianos y bacterias resistentes en cuerpos de agua vinculados a actividades agropecuarias en un contexto de cambio climático.</t>
  </si>
  <si>
    <t>Contribuir con medidas de mitigación de la resistencia a los antimicrobianos y me</t>
  </si>
  <si>
    <t>Formación a usuarios y dirigentes de los SAP</t>
  </si>
  <si>
    <t>Escuela Nacional del Agua (AOM)</t>
  </si>
  <si>
    <t>2031 al 2035</t>
  </si>
  <si>
    <t>Manejo sostenible de recursos hídricos en la ciudad de Cuenca bajo escenarios de cambio climático</t>
  </si>
  <si>
    <t>La meta de SWACH es colaborar con la seguridad hídrica de los ciudadanos de la ciudad de Cuenca para el año 2100 a través de la implementación de planes de manejo de agua que consideren el cambio climático y el incremento en la demanda. El proyecto está actualmente cuantificando indicadores de cambio climático a nivel local y modelando estrategias de adaptación. Buscamos proponer estrategias de manejo de recursos hídricos en la cuenca del río Tomebamba que incluyan soluciones basadas en la naturaleza, para lo cual se necesita financiamiento para realizar proyectos piloto de implementación de estas estrategias.</t>
  </si>
  <si>
    <t>El proyecto SWACH pretende evaluar estrategias de adaptación al cambio climático para asegurar disponibilidad de agua futura para la ciudad de Cuenca. De esta forma, podremos hacer de la ciudad una pionera en cuanto a actividades de adaptación y poner a disposición estrategias efectivas que puedan ser replicadas en otras ciudades.</t>
  </si>
  <si>
    <t xml:space="preserve">Modelamiento de variables climáticas para determinar el análisis de riesgo climático en la cuenca hidrográfica del Río Toachi del proyecto hidroeléctrico Toachi Pilatón. </t>
  </si>
  <si>
    <t>Este proyecto tiene como objetivo evaluar y modelar las variables climáticas en la cuenca hidrográfica del Río Toachi, específicamente en el contexto del Proyecto Hidroeléctrico Toachi Pilatón. Se busca identificar y analizar los riesgos climáticos que podrían afectar la operación y sostenibilidad de la hidroeléctrica, así como su impacto en las comunidades locales y el ecosistema.
El análisis incluirá la recolección de datos históricos sobre precipitaciones, temperaturas, humedad y vientos, utilizando estaciones meteorológicas y herramientas de teledetección. Con estos datos, se desarrollarán modelos hidrológicos que simulen distintos escenarios climáticos, permitiendo prever eventos extremos como inundaciones y sequías que podrían influir en la generación de energía y el manejo del recurso hídrico.
Los resultados proporcionarán información crítica para la toma de decisiones en la gestión del riesgo climático, facilitando la implementación de estrategias de mitigación y adaptación. Esto no solo mejorará la resiliencia del Proyecto Toachi Pilatón, sino que también beneficiará a las comunidades aledañas, garantizando un uso sostenible de los recursos hídricos y promoviendo el desarrollo socioeconómico de la región.</t>
  </si>
  <si>
    <t>Monitoreo de los rriesgos glaciares en el Cotopaxi , Chimborazo, Altar</t>
  </si>
  <si>
    <t>Instalación de estaciones de altura (sobre los 4000 m.s.n.m)  con la finalidad de recopilar información climatológica para relacionarla con la evolución de los glaciares con la finalidad de preveer riesgos asociados con la fusión acelerada de los mismos y de esta forma tener la base científica para preveer los fenómenos asociados a "outbrust"  (ocurrencia de lahares por el vaciado brusco de lagunas formadas al pie de los glaciares), estudio sobre el avance retroceso de las principales lenguas glaciares  en relación con la destrucción de infraestructura  de importancia en su zona de influencia.</t>
  </si>
  <si>
    <t>Dar  a los tomadores de desciciones las herramientas para la implementación de programas  de mitigación en relación con el riesgo glaciar</t>
  </si>
  <si>
    <t>Patrimonio Natural</t>
  </si>
  <si>
    <t xml:space="preserve">Capacitación en sensibilización al cambio climatico </t>
  </si>
  <si>
    <t>Identificar los impactos del cambio climático en la comunidad y del medio ambiente</t>
  </si>
  <si>
    <t>Patrimonio natural</t>
  </si>
  <si>
    <t xml:space="preserve">Comunidades y ecosistemas resilientes al cambio climático en ecosistemas alto-andinos
</t>
  </si>
  <si>
    <t xml:space="preserve">Diseño de una propuesta de proyecto para el GCF – en coordinación con el MAATE, sobre comunidades y ecosistemas resilientes al cambio climático en ecosistemas alto-andinos. Sí (Output / Entregables) se mejora la gestión de los ecosistemas de montaña mediante la implementación de medidas de adaptación al cambio climático enfocadas en diversificar medios de vida, restaurar y mantener Funciones y Servicios Ecosistémicos, y fortalecer capacidades, lo cual se enmarca en una gobernanza efectiva con actores locales informados y empoderados; Entonces (Cambio de Paradigma) se reduce el impacto del Cambio Climático sobre los grupos locales, los paisajes alto-andinos y sus servicios ecosistémicos; Porque (Outcome / Resultado) se incrementará su resiliencia por el uso de (i) instrumentos políticos y de planificación integrales, (ii) financiamiento, tecnologías y capacidades para prácticas adaptativas, (iii) información y datos requeridos, (iv) espacios de concertación y redes de actores comprometidos.
Se ha firmado Firma de carta de intención MAATE-BMZ-GIZ Ecuador acerca de la elaboración conjunta de una propuesta de proyecto a presentarse al GCF. </t>
  </si>
  <si>
    <t>Reducir de forma sostenible el impacto del cambio climático sobre los grupos locales, los paisajes altoandinos y sus servicios ecosistémicos. El proyecto consiste en programas de desarrollo de capacidades, mecanismos y plataformas de diálogo, sistemas de monitoreo y alerta temprana, innovaciones productivas, nuevas áreas de restauración / conservación, mecanismos financieros / incentivos o seguros, entre otros.</t>
  </si>
  <si>
    <t>Convenio de cooperación interinstitucional para la gestión del parque nacional Río Negro Sopladora</t>
  </si>
  <si>
    <t xml:space="preserve">Conservación de aproximadamente 29000 ha de bosques y zonas de recarga hídrica en rio negro sopladora con el objetivo de mejorar la calidad ambiental y la cantidad y calidad de agua en las áreas de influencia de centrales y embalses de generación </t>
  </si>
  <si>
    <t xml:space="preserve">Conservación de 29.000 hectáreas de bosques y zonas de recarga hídrica
</t>
  </si>
  <si>
    <t xml:space="preserve">PROGRAMA NACIONAL DE MANEJO INTEGRAL DEL FUEGO </t>
  </si>
  <si>
    <t>El Programa Nacional de Manejo Integral del Fuego en Ecuador es una iniciativa destinada a regular y gestionar el uso del fuego en actividades agrícolas, forestales y de manejo de ecosistemas, en el marco del Reglamento del Código Orgánico del Ambiente. Su objetivo principal es prevenir y controlar incendios forestales, promover prácticas sostenibles como alternativas al uso del fuego y proteger la biodiversidad y los recursos naturales, asi como impulsar la construcción de resiliencia de paisajes y comunitarias ante el fenomeno de los incendios forestales.
Principales funciones del programa:
Prevención de Incendios: Establecer estrategias para minimizar el riesgo de incendios, incluyendo campañas de sensibilización y capacitación a las comunidades. Así como el fomento de instrumentos normativos y de gobernanza, y el uso del fuego como mecanismos de presupresión y supresión de inecndios forestales.
Control y Respuesta: Desarrollar protocolos de respuesta ante incendios, incluyendo la movilización de recursos humanos, materiales y logistica para la gestión de incendios forestales. 
Monitoreo y Evaluación: Implementar sistemas de vigilancia para detectar incendios y evaluar el impacto de las acciones de manejo del fuego.
Promoción de Alternativas Sostenibles: Fomentar prácticas agrícolas y de manejo forestal que reduzcan la dependencia del fuego, como la agroecología y el uso de tecnologías limpias.
Investigación y Capacitación: Impulsar estudios sobre el manejo del fuego y ofrecer capacitación a comunidades y técnicos en prácticas adecuadas.
Colaboración Interinstitucional: Trabajar de manera conjunta con otras instituciones y organizaciones para fortalecer la gestión del fuego a nivel nacional y local.
Este programa es fundamental para garantizar par atender las competencias del MAATE en la materia asi como para fortalecer las capacidades tecnicas e insitucionales orientadas a la conservación de los ecosistemas, la protección de la biodiversidad, la seguridad de las comunidades que dependen del uso del fuego en sus actividades y la adapatación y mitigación de los eventos adversos del cambio climatico, propulsor de incendios foretales mas intensos, severos y recurrentes.</t>
  </si>
  <si>
    <t>El Programa Nacional de Manejo Integral del Fuego en Ecuador servirá como herramienta para la planificación de políticas públicas nacionales y locales, y la implementación de estrategias que protejan los ecosistemas y promuevan la resiliencia ante el cambio climático.</t>
  </si>
  <si>
    <t>Procesos Industriales</t>
  </si>
  <si>
    <t>Consumo de productos - sustancias agotadoras de la capa de ozono (SAO)</t>
  </si>
  <si>
    <t>Fortalecimiento Plan Nacional de Elimincación de los Hidrofluorocarbonos.</t>
  </si>
  <si>
    <t>El Gobierno del Ecuador y la ONUDI pronosticaron el consumo de HFC en un escenario sin restricciones y calcularon el nivel de reducciones de HFC necesarias para garantizar el cumplimiento del Protocolo de Montreal en diferentes momentos. 
El crecimiento promedio anual en el consumo de HFC utilizados se estimó en 9%, este escenario también considera el crecimiento resultante de la actividad económica y el aumento del consumo de HFC como resultado de la eliminación de los HCFC entre 2022 y 2030. 
Con base en el análisis sectorial de alternativas de menor impacto climático que podrían adoptarse en Ecuador de acuerdo a su factibilidad técnica, económica y regulatoria, se propone la siguiente ruta de reducción gradual de corto plazo para los siguientes sectores y subsectores:
Reducción de HFC-134a en refrigeración doméstica.
Reducción gradual del HFC-134a en refrigeración comercial independiente.
Disminución del HFC-134a en la climatización móvil.
Reducción de R-404A y R-507A en unidades condensadoras y sistemas centralizados de refrigeración comercial y pequeños y medianos sistemas de refrigeración industrial.
El plan plantea los siguientes pilares: 1) Instrumentos de política y regulación, 2) Programa de gestión de refrigerantes, 3) Equipos RAC basados ​​en HFC, y 4) Monitoreo y coordinación del KIP. Se han incluido aspectos de género en el plan de acción estratégico propuesto.</t>
  </si>
  <si>
    <t>Reducción de la oferta y demanda de HFC.
Para garantizar una implementación fluida y la sostenibilidad del impacto de las sustancias en reducción gradual, se proponen las siguientes actividades multisectoriales: 
Automatizar y operar el sistema de cuotas y licencias de HFC; Actividades aduaneras para prevenir el tráfico ilegal de HFC; Campaña de concientización pública para la reducción de los HFC.
Automatización y operación del sistema de licencias y cuotas de HFC
El gobierno de Ecuador ha desarrollado y operado el sistema en línea Ozono Ecuador para el seguimiento y registro de importaciones y exportaciones de SAO, el sistema también incluye un sistema de monitoreo de aparatos de refrigeración y aire acondicionado importados. La Plataforma Ozono Ecuador integra los controles específicos relacionados con licencias y permisos para el comercio y uso permitiendo la consulta oportuna y en tiempo real de los datos requeridos para el adecuado manejo de dichas SAO en el Ecuador. 
Como es habitual en el sistema en línea, debe actualizarse y actualizarse periódicamente para abordar los cambios encontrados durante su funcionamiento. Además, de acuerdo con la enmienda de Kigali, deberían incluirse todos los HFC. El sistema deberá operarse de manera continua para permitir el acceso al mismo y el ingreso/descarga de datos e información por parte de las personas autorizadas según sus necesidades.</t>
  </si>
  <si>
    <t>Inventariar las sustancias químicas agotadoras de la capa de ozono que se importan, fabrican y comercializan en el país e implementar el etiquetado adecuado de estos productos químicos a través del Sistema Globalmente Armonizado con la finalidad de comunicar a la población los peligros y las consideraciones que se deben tener para su uso.</t>
  </si>
  <si>
    <t>Residuos</t>
  </si>
  <si>
    <t>Gestión de residuos sólidos y líquidos</t>
  </si>
  <si>
    <t>Desarrollar el aplicativo y la incorporación de  indicadores de Economía Circular implementando el Registro Nacional Integrado de Emisiones y Transferencia de Residuos</t>
  </si>
  <si>
    <t>El proyecto busca desarrollar un sistema tecnológico integral que genere el registro nacional integrado de emisiones y transferencia de residuos, el cual contendrá los indicadores de economía circular a nivel nacional y deberá gestionarse y digitalizarse a través del Sistema único de Información Ambiental (SUIA). Con los parámetros establecidos en la Ley Orgánica de Economía Circular Inclusiva y su Reglamento.</t>
  </si>
  <si>
    <t>Incremento de la capacidad de generación de la central térmica a biogás "Pichacay"</t>
  </si>
  <si>
    <t>Incrementar la generación de energía eléctrica renovable y potenciar la reducción de emisiones de gases de efecto invernadero.</t>
  </si>
  <si>
    <t>Política pública de gestión integral de residuos sólidos - seguimiento y evaluación</t>
  </si>
  <si>
    <t>Debido a que se contará con el Plan nacional GIRS, se requiere dar el seguimiento a su implementación, que garantice sus sostenibilidad técnica y financiera, por eso es importante contar con conocimiento sobre el seguimiento y evaluación de políticas públicas.</t>
  </si>
  <si>
    <t>Reducción de la Contaminación Plástica para un Futuro Sostenible</t>
  </si>
  <si>
    <t>Este proyecto busca implementar el Plan Nacional de Reducción de Residuos Plásticos mediante la ejecución de campañas de concientización, el desarrollo de capacidades locales a través de talleres con expertos internacionales, y la financiación de investigaciones que promuevan el desarrollo de materiales alternativos y sostenibles.</t>
  </si>
  <si>
    <t>El proyecto será utilizado para ejecutar el Plan Nacional de Reducción de Residuos Plásticos, promoviendo el uso de tecnologías para la sustitución de plásticos, campañas de sensibilización a nivel nacional y la capacitación de actores locales, así como la implementación de pilotos. El uso del proyecto también fortalecerá el marco regulatorio y permitirá que las industrias adopten nuevas prácticas sostenibles.</t>
  </si>
  <si>
    <t xml:space="preserve">tecnologías en tratamiento de aguas residuales implementando a la utilización de gases producciones en la planta para generación de electricidad  </t>
  </si>
  <si>
    <t>utilizar los gases producidos en la PTAR para generación de electricidad</t>
  </si>
  <si>
    <t>Proyecto de Transformación de Residuos Orgánicos en Abono en la Comunidad de Picalquí
Introducción: El proyecto tiene como objetivo principal la transformación de residuos orgánicos generados en la comunidad de Picalquí en abono orgánico de alta calidad. Esta iniciativa busca promover prácticas sostenibles, reducir la cantidad de residuos enviados a los vertederos y mejorar la fertilidad del suelo local.
Objetivos:
Reducción de Residuos: Disminuir la cantidad de residuos orgánicos que se desechan, promoviendo su reutilización.
Evitar la quema de residuos lo que reduce los incendios forestales</t>
  </si>
  <si>
    <t>Instalación, capacitación y seguimiento de Equipo de compostaje automatiza el proceso de descomposición de residuos orgánicos. A través de un sistema controlado de aireación, temperatura y humedad, la máquina acelera la descomposición de los residuos, produciendo compost de alta calidad en un tiempo reducido. Tiempo de seguimiento y capacitación a la comunidad 1 año, comunidad servida alrededor de 800 habitantes</t>
  </si>
  <si>
    <t>Innovación en el principio de Responsabilidad Extendida del Productor (REP) para la Reducción de empaques y envases y la Mitigación Climática</t>
  </si>
  <si>
    <t>Innovación REP para la Reducción de Residuos y la Mitigación Climática</t>
  </si>
  <si>
    <t>El proyecto será utilizado para establecer un marco normativo robusto que regule la gestión de empaques y envases bajo el principio REP, asegurando la correcta implementación de prácticas de reciclaje, reducción de residuos y monitoreo. Además, se utilizará para capacitar a actores del sector público y privado en el uso de tecnologías avanzadas para el tratamiento y aprovechamiento de residuos. El proyecto fomentará un cambio estructural en la manera en que los empaques son producidos, usados y dispuestos, asegurando una transición hacia una economía circular y mitigación del cambio climático</t>
  </si>
  <si>
    <t>Manejo de Residuos Orgánicos en Isabela, Galápagos (Agro Bosque Isabela)</t>
  </si>
  <si>
    <t xml:space="preserve">El proyecto se ejecutará en Isabela y tiene un doble enfoque, de un lado, creación de suelo para
agricultura y de otro en la clasificación en origen de los residuos orgánicos de los centros
poblados.
En esta isla, debido a su edad geológica, las capas freáticas (suelo agrícola) son de poca
profundidad y ante su falta se requieren acciones que produzcan nuevo material orgánico. Por eso
se propone establecer un bosque -comestible1 en el que se pueda:
1) preparar abono orgánico (compost y humus),
2) instalar cultivos hidropónicos para minimizar el uso de suelo agrícola y optimizar el uso
de agua dulce para producción,
3) instalar los cultivos agroecológicos que respeten los ciclos naturales, el entorno y el uso
de insumos externos (como fertilizantes, pesticidas o semillas mejoradas), y
4) construir un reservorio.
En los cultivos de este bosque-comestible es especialmente importante fomentar las prácticas
tradicionales de la nacionalidad Shuar que vive en la Parroquia Tomás de Berlanga, como la
rotación y la asociación de cultivos.
En los centros poblados de Isabela (Puerto Villamil, Parroquia Tomás de Berlanga, y Recinto La
Esperanza) se ejecutará un piloto que distribuirá 1.200 tachos para separar en origen doméstico
los residuos orgánicos de los demás residuos.
Con los tachos, se instaurará un sistema voluntario de separación de residuos orgánicos en la
fuente en las casas de familias en los centros poblados, hoteles y restaurantes, de modo que los
desechos absolutamente orgánicos puedan ser empleados como compost para paliar la fragilidad
del suelo de cultivo de la isla y contribuir con la nutrición de las áreas agrícolas para evitar el
incremento de superficie dedicada a cultivos, minimizando así el impacto ambiental
</t>
  </si>
  <si>
    <t xml:space="preserve">El proyecto contribuye con la producción de alimentos para las
familias de la isla y también para las necesidades del sector turístico, asi,  disminuiría
progresivamente la importación de verduras y frutas del continente y se reduciría el riesgo de
introducción de especies invasoras.
</t>
  </si>
  <si>
    <t xml:space="preserve">Pack de tratamiento de desechos organicos en la fuente para viviendas y sector alimenticio. </t>
  </si>
  <si>
    <t xml:space="preserve">Ubicar procesadores de residuos organicos directamente en la fuente de generación los más comunes en las zonas de vivienda masiva o restaurantes donde se procese residuos sin valor y se obtenga un compost o abono orgánico de mucho valor en la agricultura, de fácil comercialización y con los beneficios sociales de empleo, mitigación de cambio climático y disminución de emision GEI y acumulación de residuos en depositos de basura a cielo abierto. </t>
  </si>
  <si>
    <t>Plan nacional para la gestión integral de residuos sólidos no peligrosos - Plan nacional GIRS - intervenciones para mitigar GEI</t>
  </si>
  <si>
    <t>El Plan nacional GIRS será el primer instrumento de política pública a través del cual se generarán las políticas, estrategias, planes, programas y proyectos para la gestión integral de residuos y desechos sólidos no peligrosos en el Ecuador.
Su formulación contempla las siguientes etapas o resultados.
* Diagnóstico sectorial de la gestión integral de residuos sólidos no peligrosos (GIRS).
* Plan nacional GIRS.
* Herramientas e instrumentos técnicos de GIRS.
* Socialización del Plan nacional GIRS.
Actualmente se encuentra en desarrollo, se ha formulado el Componente Estratégico y pretende articularse a la implementación de la Segunda NDC y PLANMICC.</t>
  </si>
  <si>
    <t>Implementación de los programas o proyectos específicos que se definan en la segunda etapa del Plan nacional GIRS referentes a mitigación de residuos sólidos, con énfasis en residuos sólidos orgánicos.</t>
  </si>
  <si>
    <t>Sistema Integral de Índice de Circularidad para la Trazabilidad y Etiquetado de Productos en el Mercado</t>
  </si>
  <si>
    <t>El proyecto busca desarrollar un sistema tecnológico integral que evalúe y monitoree la circularidad de productos a lo largo de su ciclo de vida. Este sistema calculará la capacidad de reciclaje, reutilización y trazabilidad de cada producto mediante fórmulas específicas. Además, se implementará un sistema de etiquetado que indicará el nivel de circularidad de cada producto, facilitando a los consumidores tomar decisiones más sostenibles y brindando a los fabricantes datos precisos para mejorar sus procesos productivos y cumplir con normativas ambientales.</t>
  </si>
  <si>
    <t>Salud</t>
  </si>
  <si>
    <t>Atención y control de enfermedades asociadas a cambio climático</t>
  </si>
  <si>
    <t>Evaluacion de las vulnerabilidades y adaptacion del sector salud al cambio climatico 
Obstervatorio de salud y cambio climatico</t>
  </si>
  <si>
    <t xml:space="preserve">Uso de la herramienta OMS para la evaluacion de las vulnerabilidades y capacidad de adaptacion del sector salud al cambio climatico y elaboracion de planes de accion para desarrollo de capacidades.
construcion de un repositorio y difusion de informacion sobre cambio climatico y salud </t>
  </si>
  <si>
    <t>Uso de la información por los tomadores de decisión del impacto en salud y en la estructura sanitaria del cambio climático y uso por la comunidad de los riesgos a la salud y medidas de prevención y mitigación de estos riesgos</t>
  </si>
  <si>
    <t>Ambiente y Salud</t>
  </si>
  <si>
    <t xml:space="preserve">Evaluación de vulnerabilidad de la salud de la población ecuatoriana frente al cambio climático </t>
  </si>
  <si>
    <t xml:space="preserve">Realizar la primera evaluación de la vulnerabilidad de la población ecuatoriana frente al cambio climático, a fin de determinar debilidades y fortalezas para implementar proyectos, en busca de tener una población resiliente. </t>
  </si>
  <si>
    <t xml:space="preserve"> Tomar medidas oportunas de adaptación de la población ecuatoriana frente al cambio climático en el ámbito de la salud. </t>
  </si>
  <si>
    <t>Medición de la huella climática en los establecimientos de salud</t>
  </si>
  <si>
    <t>El sector de la salud, cuya misión es proteger y promover la salud, es uno de los principales responsables de la crisis climática —la mayor amenaza del siglo XXI a la salud— y, por lo tanto, se requiere conocer la cantidad de emisiones de gases de efecto invernadero.</t>
  </si>
  <si>
    <t>Monitoreo altitudinal de vectores de arbovirosis en el Ecuador, influenciadas por factores de cambio climático</t>
  </si>
  <si>
    <t>Ampliar el monitoreo de la distribución territorial y altitudinal de A. aegypti y A. albopictus, a 12 transectos adicionales hasta el año 2035, considerando información climática de la temperatura promedio y su variación futura proyectada, como medida de adaptación ante la expansión en la distribución de los vectores, que se prevé como consecuencia del cambio climático.</t>
  </si>
  <si>
    <t>La implementación de monitoreos altitudinales de Ae. aegypti y Ae. albopictus que son afectados por factores de riesgo climático, favorecen a las acciones de resiliencia en la población humana susceptible, debido a que permite identificar el riesgo de transmisión epidemiológica en poblaciones que anteriormente no registraban la presencia del mosquito vector. Su implementación adecuada permite diseñar y mantener estrategias focalizadas de prevención y control de vectores para reducir la transmisión de enfermedades arbovirales como el dengue</t>
  </si>
  <si>
    <t xml:space="preserve">Formación en cambio climático y salud humana </t>
  </si>
  <si>
    <t>El curso debe tener énfasis en: modelamiento de para asociar el cambio climático con el riesgo para la salud humana y el uso de herramientas para guiar la toma de decisiones para mitigar el cambio climático</t>
  </si>
  <si>
    <t>Prevención de enfermedades transmitidas por vectores</t>
  </si>
  <si>
    <t>Las acciones preventivas en el contexto de las enfermedades transmitidas por vectores requieren que la comunidad reconozca los factores de riesgo que las exponen a este tipo de infecciones. Por tal motivo, es importante capacitar a los miembros de la misma con escenarios no técnicos pero sí prácticos y actividades de ejecución barrial que les despierte la corresponsabilidad con la salud de su entorno. Además, requieren conocer los mecanismos de respuesta y de mitigación en caso de que esto escale a una epidemia.</t>
  </si>
  <si>
    <t>Soberanía alimentaria, agricultura, ganadería, acuacultura y pesca</t>
  </si>
  <si>
    <t>Soberanía alimentaria</t>
  </si>
  <si>
    <t>Enfoque Comunitario para la Agricultura Orgánica: Desarrollo y aplicación de bioinsumos en la Provincia de Los Ríos.</t>
  </si>
  <si>
    <t xml:space="preserve">Medidas piloto de adaptación al cambio climático, estableciendo un régimen de prioridad según las afectaciones climáticas (y no climáticas) registradas durante los años 5 años. </t>
  </si>
  <si>
    <t xml:space="preserve">Identificar, priorizar, desarrollar e implementar en territorio, y con un enfoque participativo y de género, 5 medidas piloto de adaptación que contribuyan a reducir la vulnerabilidad climática de los atributos naturales y antrópicos que caracterizan y generan beneficios a la población. </t>
  </si>
  <si>
    <t>Co-inversión</t>
  </si>
  <si>
    <t>Que sea replicable en otras zonas y en otras comunidades con el fin de que los productores en general fortalezcan su capacidad adaptativa frente a las amenazas climáticas</t>
  </si>
  <si>
    <t>Gestión de riesgos</t>
  </si>
  <si>
    <t>Programa de fortalecimiento al sector SAG mediante el financiamiento de investigación de riesgos agroclimáticos</t>
  </si>
  <si>
    <t xml:space="preserve">Objetivo: Proveer recursos financieros para apoyar la investigación de riesgos agroclimáticos, con el fin de mejorar la resiliencia y sostenibilidad del sector agropecuario.
Componentes del Programa:
1.	Proyectos de Investigación de Riesgos Agroclimáticos
o	Descripción: Financiamiento para proyectos que estudien los riesgos climáticos que afectan al sector agropecuario.
o	Beneficiarios: Investigadores, profesores y estudiantes de la Universidad Central.
o	Ejemplos de Proyectos: Análisis de impacto de sequías y lluvias extremas, desarrollo de sistemas de alerta temprana, estudios sobre la adaptación de cultivos a cambios climáticos.
2.	Infraestructura para la Investigación
o	Descripción: Fondos para construir o renovar instalaciones y adquirir equipos necesarios para la investigación agroclimática.
o	Beneficiarios: Toda la comunidad universitaria y el sector agropecuario.
o	Ejemplos de Iniciativas: Laboratorios de climatología, sensores IoT meteorología, sistemas de monitoreo de suelos y cultivos; laboratorio de modelación numérica para pronostico agroclimático. 
3.	Becas y Subsidios
o	Descripción: Apoyo financiero para estudiantes y profesores que trabajen en investigaciones relacionadas con los riesgos agroclimáticos.
o	Beneficiarios: Estudiantes de pregrado y posgrado, así como profesores.
o	Ejemplos de Apoyo: Becas para estudios en agroclimatología, subsidios para investigaciones de campo, financiamiento para asistir a conferencias y talleres especializados.
</t>
  </si>
  <si>
    <t>Investigación y Desarrollo (I+D): Creación de tecnologías para monitorear riesgos agroclimáticos locales, adaptadas a las características específicas de cada territorio y potencialmente extrapolables a territorios análogos.
Desarrollo de prácticas agrícolas resilientes al cambio climático, alineadas con la reducción de inequidades sociales y territoriales.
Transferencia de Tecnología: Colaboraciones internacionales para el intercambio de tecnologías y conocimientos, potenciando la productividad y competitividad sistémica.
Capacitación y formación de estudiantes y profesionales en el uso de nuevas tecnologías, asegurando una gestión territorial eficiente y una gobernanza multinivel.
Infraestructura Tecnológica: Adquisición de equipos avanzados, como sensores IoT low cost y laboratorios de climatología, para mejorar la infraestructura y el uso eficiente de energía y agua en el territorio.</t>
  </si>
  <si>
    <t>Rutas de Acción Sectorial SAG</t>
  </si>
  <si>
    <t>Construcción e implementación de infrestructura
Estudios e Investigaciones
Fortalecimiento de capacidades
Innovación
Política o Instrumento de Planificación
Producción/Comercialización sostenible</t>
  </si>
  <si>
    <t>Territoliarizar las iniciativas en las zonas vulnerables del país.</t>
  </si>
  <si>
    <t>Socialización de uso optimo de recursos con capacitación y acompañamiento al ambito asociativo</t>
  </si>
  <si>
    <t>ECAS: Escuelas de Campo para implementar modelos de optimización de recursos y bajar la carga de nutrición nitrogenada</t>
  </si>
  <si>
    <t>Fortalecimiento de la visualización de estadísticas agropecuarias, ambientales, de cambio climático y riesgos.</t>
  </si>
  <si>
    <t xml:space="preserve">Con la finalidad de brindar acceso oportuno y eficiente a los resultados de las estadísticas que forman parte del sistema estadístico nacional, se requiere la implementación de herramientas innovadoras y de tecnología de punta, para la visualización de indicadores de carácter ambiental. El complemento ideal para la visualización de información son las herramientas de business intelligence, dedicadas a los reportes de resultados de carácter de negocios, que en la actualidad contemplan mayor cantidad de herramientas que ayudan a la difusión de otras temáticas, como es el caso de los indicadores de cambio climático. </t>
  </si>
  <si>
    <t>RiegoInclusión de la variable de riesgos climáticos en el sector productivo de agroindustria</t>
  </si>
  <si>
    <t>Implementación de riego parcelario para adaptación a cambio climático de los sistemas productivos de pequeños y medianos productores de la soberanía alimentaria y de cultivos estratégicos.</t>
  </si>
  <si>
    <t>Implementación de riego parcelario, presurizado con emisores de riego eficientes para evitar el desperdicio de agua, y permitan la adaptación de tecnologías de automatización para el mejoramiento de la producción.</t>
  </si>
  <si>
    <t>Inversión en la implementación del riego parcelario tecnificado, tecnologías complementarias y transferencia de capacidades.</t>
  </si>
  <si>
    <t>Incremento de las capacidades de las personas productoras para incrementar la resiliencia al cambio climático en sistemas agroalimentarios, como corredores agroecológicos en la Sierra centro para preservación del ecosistema y fomento de la biodiversidad.</t>
  </si>
  <si>
    <t xml:space="preserve">El proyecto busca fortalecer las capacidades de las personas productoras en la Sierra centro de Ecuador, con el fin de incrementar su resiliencia frente al cambio climático mediante la implementación de corredores agroecológicos. Estos corredores son espacios productivos que conectan diferentes áreas de cultivo y conservación, promoviendo la biodiversidad y la sostenibilidad del ecosistema.
La actividad principal consiste en la capacitación a productores en prácticas agroecológicas, como el manejo de suelos, la diversificación de cultivos y la implementación de sistemas agroforestales. El objetivo es promover la transición hacia modelos de producción sostenibles que no dependan de insumos químicos y que, en cambio, fomenten el uso de especies nativas y técnicas tradicionales que potencien la resiliencia frente a eventos climáticos extremos.
El programa está diseñado para integrar los conocimientos ancestrales con innovaciones agroecológicas, mediante talleres, intercambios de experiencias y acompañamiento técnico. Además, se realizarán diagnósticos participativos en las fincas para identificar las principales vulnerabilidades y potencialidades de cada territorio, desarrollando planes específicos que incluyan acciones para mitigar los impactos del cambio climático y mejorar la productividad de manera sostenible.
La creación de corredores agroecológicos permitirá conservar los servicios ecosistémicos, como la polinización y el control biológico de plagas, al tiempo que se preserva la biodiversidad en áreas rurales. Asimismo, se espera que este enfoque incremente la seguridad alimentaria y la soberanía de las comunidades productoras, fortaleciendo las economías locales y garantizando la sostenibilidad de los recursos naturales a largo plazo.
Este proyecto contribuirá a la preservación del ecosistema de montaña, promoviendo la conservación del agua, el suelo y la fauna local, al mismo tiempo que fomenta una producción agrícola sostenible y resiliente.
</t>
  </si>
  <si>
    <t xml:space="preserve">El uso esperado del proyecto es implementar un modelo sostenible de producción agrícola en la Sierra centro de Ecuador, basado en prácticas agroecológicas que promuevan la resiliencia al cambio climático y la conservación de la biodiversidad. El proyecto se centrará en capacitar a los productores para adoptar técnicas sostenibles que reduzcan la dependencia de insumos químicos, mejoren la calidad de los suelos y fomenten la biodiversidad a través de la creación de corredores agroecológicos.
A corto plazo, se espera que los productores participantes implementen sistemas de cultivo diversificados, que incluyan especies nativas y técnicas agroforestales, reduciendo su vulnerabilidad a eventos climáticos extremos y mejorando su seguridad alimentaria. El proyecto también buscará fortalecer las redes locales de intercambio de conocimientos y recursos, promoviendo la colaboración entre comunidades para compartir experiencias y soluciones frente a los desafíos climáticos.
A mediano y largo plazo, el proyecto espera contribuir a la regeneración de los ecosistemas agrícolas mediante la conservación de suelos y el manejo adecuado del agua, lo que a su vez fortalecerá los sumideros de carbono locales. La adopción de estas prácticas permitirá que las comunidades productoras mantengan y aumenten su productividad de manera sostenible, generando ingresos estables y garantizando la preservación de los recursos naturales para las futuras generaciones.
</t>
  </si>
  <si>
    <t xml:space="preserve">Desarrollo rural sostenible </t>
  </si>
  <si>
    <t xml:space="preserve">Laboratorios climáticos rurales, una herramienta para la mitigación y adaptación al cambio climático en las parroquias rurales del Azuay, Pichincha e Imbabura. </t>
  </si>
  <si>
    <t xml:space="preserve">Implementar mini estaciones climáticas en zonas rurales para la interpretación climática local, para preveer y responder a las variaciones climáticas locales que afectan la producción agrícola, medio ambiente y emprendimientos en las parroquias rurales del Azuay, Pichincha e Imbabura. </t>
  </si>
  <si>
    <t>Con el proyecto se espera que los agricultures y demás beneficiarios puedan usar los laboratorios climáticos rurales para sus actividades agrícolas, pecuarias, ambientales, turismo e investigación.
Se espera que el proyecto conforme una red de laboratorios que compartan la información a nivel parroquial, cantonal y provincial.
Se espera conformar mesas tecnicas de agricultura sostenible basadas en el clima, para tomar acciones con la información generada en el proyecto.
Se espera que el proyecto genere protocolos de respuesta - acción, de mitigación y adaptación a los cambios desfavorables del clima local.
Se espera que el proyecto aporte a la reducción de la huella de carbono.
Se espera que el proyecto aporte a la conservación de la biodiversidad local y reforestación nativa de al menos 5ha/beneficiario.</t>
  </si>
  <si>
    <t xml:space="preserve">Saberes ancestrales, producción sostenible y libre de deforestación, bioemprendimientos de vainilla, acai, macambo y abejas. </t>
  </si>
  <si>
    <t xml:space="preserve">Bioemprendimientos en vainilla, macambo, acai y abejas nativas. </t>
  </si>
  <si>
    <t>Sistemas productivos bio diversos con comunidades de la región amazonica</t>
  </si>
  <si>
    <t xml:space="preserve">Cultivos bio diversos con enfoque en producción de canela y vainilla, asociados a la restauración ecosistemica </t>
  </si>
  <si>
    <t>Subvención a productores locales para que se conviertan en productores orgánicos de los rubros vainilla y canela</t>
  </si>
  <si>
    <t xml:space="preserve">Planificación y políticas de cambio climático </t>
  </si>
  <si>
    <t>Actualización de la normativa orgánica nacional.</t>
  </si>
  <si>
    <t>Se busca lograr la actualización del Instructivo de la normativa general para promover y regular la producción orgánica-ecológica-biológica en el Ecuador, considerando los cambios regulatorios establecidos en los requisitos de las regulaciones orgánicas de la Unión Europea y Estados Unidos.</t>
  </si>
  <si>
    <t>Adopción de normas ISO, participación en los programas y eventos relacionados con el ISO/TC 207 "Gestión ambiental", ISO/TC 323 "Economía circular", ISO/TC 61 "Plásticos"</t>
  </si>
  <si>
    <t>Estudiar y aprobar por medio de los comités técnicos liderados por el INEN la adopción de las normas del ISO/TC 207, participar activamente de todos los programas y proyectos realizados por el mismo. Ejemplo, Climate Change Champions. Participación en reuniones anuales de ISO/TC 207, ISO/TC 323, ISO/TC 61. Participación en la reunión internacional COP 30</t>
  </si>
  <si>
    <t>Investigación en cambio climático</t>
  </si>
  <si>
    <t>Cambio climático y Ramsar</t>
  </si>
  <si>
    <t>Investigación sobre afectación del cambio climático en espacios Ramsar en Ecuador</t>
  </si>
  <si>
    <t>Convocatoria para el financiamiento de proyectos de transferencia de tecnología</t>
  </si>
  <si>
    <t>Fomentar el relacionamiento entre el Estado, la academia y la sociedad a través del financiamiento de proyectos de transferencia de tecnología que permitan aprovechar los resultados obtenidos en las actividades de investigación científica y/o desarrollo tecnológico.</t>
  </si>
  <si>
    <t>Establecimiento de un piloto de red agrometeorológica</t>
  </si>
  <si>
    <t>Potenciar las estaciones meteorológicas estratégicas para la realización observaciones agrometeorológicas y emitir información específica para el sector agrícola</t>
  </si>
  <si>
    <t>Una red de monitoreo agrometeorológico implementada con servicios desarrollados orientados a actividades productivas.</t>
  </si>
  <si>
    <t xml:space="preserve">Evaluación de impactos ambientales del cambio climático </t>
  </si>
  <si>
    <t>Acceso a bases de datos como Ecoinvent</t>
  </si>
  <si>
    <t>Fortalecimiento de capacidades para una economía baja en carbono y resiliente al clima</t>
  </si>
  <si>
    <t>Instalar la capacidad de generación de escenarios de cambio climático en las instituciones académicas ecuatorianas con el objetivo de fortalecer la capacidad de respuesta del país a la gestión de la crisis climática</t>
  </si>
  <si>
    <t xml:space="preserve">Los escenarios climáticos son generados cada cierto tiempo a través de consultorías sin que se haya conseguido instalar esa capacidad ni en las instituciones académicas, ni en los institutos públicos de investigación ecuatorianos. Se busca implementar esa capacidad en Ecuador, en colaboración con instituciones académicas o de investigación extranjeras. </t>
  </si>
  <si>
    <t xml:space="preserve">Programa de Transformación Verde, Digital e Inclusivo. </t>
  </si>
  <si>
    <t>El programa de transformación del banco busca Liderar la transformación hacia un modelo bancario sostenible, digital e inclusivo, que fortalezca la gobernanza corporativa, promueva la integración tecnológica y fomente inversiones responsables, con el fin de impulsar el desarrollo económico y social de las comunidades ecuatorianas, especialmente las más vulnerables, contribuyendo al bienestar ambiental y a la equidad en el país.</t>
  </si>
  <si>
    <t>Financiamiento verde para el producto Credi Ecológico</t>
  </si>
  <si>
    <t>El producto Credi Ecológico se encuentra destinado para la compra de activos fijos o capital de trabajo en relación a recuperación de suelos, agroecología, energía alternativa, protección de bosques, soberanía alimentaria y alimentos orgánicos</t>
  </si>
  <si>
    <t>Implementación de productos financieros verdes que prioricen la resiliencia ambiental y el desarrollo sostenible en la recuperación de suelos, energía alternativa, protección de bosques, agroecología, soberanía alimentaria y alimentos orgánicos.</t>
  </si>
  <si>
    <t>Finanzas Sostenibles</t>
  </si>
  <si>
    <t xml:space="preserve">Propuesta de guía enfocada en la creación de productos financieros con carácter medioambiental </t>
  </si>
  <si>
    <t>Formación profesional en meteorología e hidrología.</t>
  </si>
  <si>
    <t>Fortalecimiento profesional en meteorología e hidrología.</t>
  </si>
  <si>
    <t>al 2024</t>
  </si>
  <si>
    <t>Fortalecimiento de Capacidades a técnicos de AME para el posterior apoyo a los Gobiernos Municipales del país para la inclusión del factor climático, Mitigación y adaptación en los instrumentos de Planificación para acceso a financiamiento.</t>
  </si>
  <si>
    <t>Fortalecer capacidades de funcionarios ambientales y de planificación de AME para el apoyo técnico en territorio a los gobiernos locales para la identificación de proyectos con componentes de adaptación y/o Mitigación en sus instrumentos de Planificación para el posterior acceso a financiamiento.
Se podría iniciar con municipios piloto por cada Unidad Técnica Regional de AME (7)</t>
  </si>
  <si>
    <t>Fortalecimiento de Capacidades para la Resiliencia de las Pesquerías ante el Cambio Climático a través de la implementación de Enfoque Ecosistémico Pesquero</t>
  </si>
  <si>
    <t>El proyecto "Fortalecimiento de Capacidades para la Resiliencia de las Pesquerías ante el Cambio Climático a través de la implementación de Enfoque Ecosistémico Pesquero", contempla una serie de actividades integrales y prácticas. En primer lugar, se realizarán talleres de capacitación para el personal del Instituto Público de Investigación de Acuicultura y Pesca (IPIAP), enfocados en enfoques ecosistémicos y adaptación al cambio climático, complementados por programas de intercambio con instituciones que han implementado con éxito estos enfoques. Además, se desarrollarán proyectos de investigación aplicada, donde se iniciarán estudios piloto para evaluar el impacto del cambio climático en especies clave y sus hábitats, en colaboración con universidades. Un componente esencial será la implementación de un sistema de monitoreo de recursos, que establecerá indicadores de salud del ecosistema e incorporará tecnología como boyas y sensores para la recolección de datos en tiempo real. La promoción de la colaboración interinstitucional será clave, creando una red que conecte al IPIAP con universidades, ONGs y el sector privado, facilitando el intercambio de conocimientos y mejores prácticas a través de eventos de networking. Finalmente, se llevará a cabo un programa de sensibilización y capacitación dirigido a la comunidad pesquera, que incluirá talleres sobre prácticas de pesca sostenible y la adaptación al cambio climático, así como la creación de material educativo accesible. Estas actividades no solo fortalecerán las capacidades del IPIAP y del sector pesquero, sino que también fomentarán un manejo sostenible y resiliente de los recursos acuáticos en el Ecuador.</t>
  </si>
  <si>
    <t>Fortalecimiento del Servicio Meteorológico e Hidrológico Nacional</t>
  </si>
  <si>
    <t>El fortalecimiento del Servicio Meteorológico e Hidrológico Nacional es fundamental para mejorar la capacidad de monitoreo, predicción y respuesta ante fenómenos meteorológicos e hidrológicos. Para lograr este objetivo, es necesario implementar una serie de actividades clave que abarcan diferentes áreas.  Modernización de Infraestructura Tecnológica, Integración y Intercambio de Datos, Capacitación y Desarrollo de Capacidades, Desarrollo de Sistemas de Alerta Temprana</t>
  </si>
  <si>
    <t>Mejora en la Adaptación Climática: Monitoreo y predicción más precisos: El fortalecimiento de las capacidades hidrometeorológicas mejorará la recolección y el análisis de datos climáticos, lo que permitirá prever con mayor precisión los impactos del cambio climático, como la variabilidad en los patrones de precipitación, olas de calor y eventos extremos. Esto es crucial para adaptar sectores clave (agricultura, agua, energía, etc.) a las condiciones cambiantes, cumpliendo así los compromisos de adaptación establecidos en la NDC. 
Sistemas de alerta temprana: El desarrollo de sistemas de alerta temprana multirriesgo contribuirá a mitigar el impacto de fenómenos climáticos extremos en las poblaciones vulnerables, mejorando la resiliencia de comunidades, infraestructuras y ecosistemas frente al cambio climático, en línea con los objetivos del Acuerdo de París y la NDC.</t>
  </si>
  <si>
    <t>Implementación de gestión de información hidrometerológica y rescate de datos con propósito de aplicaciones climáticas</t>
  </si>
  <si>
    <t>Implementar un sistema de gestión de información hidrometerológica con procedimientos de calidad de datos debidamente documentados y rescate de datos históricos.</t>
  </si>
  <si>
    <t>Implementación de la red hidrometeorológica estratégica para el monitoreo del cambio climático</t>
  </si>
  <si>
    <t>Implementar una red de estaciones estratégica con el fin de obtener datos de estaciones meteorológicas e hidrológicas que permitan generar productos relacionados con el monitoreo del clima, la gestión de los recursos hídricos y la gestión de riesgos. Este proyectro deberá contemplar la implementación, operación, calibración y mantenimiento de las redes existentes e implementadas.</t>
  </si>
  <si>
    <t>Proyecto para el fortalecimiento de capacidades institucionales en la transición hacia una Banca de Desarrollo Verde</t>
  </si>
  <si>
    <t xml:space="preserve">Objetivo: Fortalecer las capacidades del Banco de Desarrollo del Ecuador (BDE B.P.) para gestionar, acceder y canalizar recursos financieros climáticos, alineándose con los compromisos del Acuerdo de París, los Objetivos de Desarrollo Sostenible (ODS) y la Estrategia Nacional de Cambio Climático, que integra tres ejes transversales: género, intersectorialidad y participación.
Alcance: Todas las áreas y sucursales del BDE B.P. se alinearán con el objetivo del proyecto.
Evaluación de capacidades técnicas: El BDE B.P. ha evaluado sus capacidades para convertirse en una Banca de Desarrollo Verde, movilizando recursos hacia la adaptación, mitigación y recuperación de daños por cambio climático.
Estructura propuesta:
1.	Desarrollo de Capacidades Técnicas y Capacitación: -Talleres sobre financiamiento climático: Acceso a fondos internacionales (Fondo Verde para el Clima, Fondo de Adaptación).
-Formación en gestión de riesgos climáticos: Integración de riesgos en proyectos de inversión.
-Capacitación en evaluación de impacto ambiental y social: Alineación de inversiones con los ODS y el Acuerdo de París.
- Seminarios sobre modelos financieros innovadores: Bonos verdes, blended finance, entre otros.
- Asistencia técnica a clientes para la adaptación al cambio climático en sus proyectos.
2.	Diseño de Productos Financieros Sostenibles:
- Creación de líneas de crédito verdes para proyectos sostenibles.
- Desarrollo de bonos verdes y sostenibles para movilizar capital privado hacia proyectos climáticos.
- Implementación de esquemas de blended finance para reducir riesgos en inversiones climáticas.
3.	Fortalecimiento de Gobernanza y Estructura Institucional:
- Creación de una unidad de gestión climática y sostenible.
- Capacitación en criterios ESG y de género.
4.	Monitoreo y Evaluación de Impacto:
- Implementación de indicadores de impacto climático y sostenibilidad.
- Reportes periódicos de desempeño alineados con el Acuerdo de París y los ODS.
</t>
  </si>
  <si>
    <t>Red básica meteorológica e hidrológica de estaciones convencionales y automáticas.</t>
  </si>
  <si>
    <t>La red básica meteorológica e hidrológica está compuesta por estaciones convencionales y automáticas que recogen datos cruciales para el monitoreo del clima y los recursos hídricos. Ambas redes al integrarse permiten una mejor comprensión y gestión del clima y los recursos hídricos. La combinación de datos de estaciones convencionales y automáticas mejora la calidad de la información y la capacidad de respuesta ante desastres naturales.</t>
  </si>
  <si>
    <t>La red básica meteorológica e hidrológica tiene múltiples aplicaciones que son cruciales para la gestión de recursos naturales, la planificación urbana, la agricultura y la respuesta ante desastres. De ahí la importancia de la red básica meteorológica e hidrológica en la promoción de una gestión eficiente y sostenible de los recursos naturales, así como en la protección de la población ante los desafíos climáticos.</t>
  </si>
  <si>
    <t xml:space="preserve">Uso del Suelo, Cambio de Uso del Suelo y Silvicultura </t>
  </si>
  <si>
    <t>Tierras forestales</t>
  </si>
  <si>
    <t>"Escuela de la Mundialidad"</t>
  </si>
  <si>
    <t>Implementación de un Centro de Investigación científica, desarrollo de turismo científico y ecoturismo en la cuenca del Río Zuñag entre los Parques Nacionales Llanganates y Sangay-Ecuador</t>
  </si>
  <si>
    <t>Completar la construcción de la Escuela de la Mundialidad para recibir investigadores y ecoturistas para capacitarles sobre la biodiversidad existente en la zona del río Zuñag y del Corredor Biológico Llanganates-Sangay. Con la llegada de los investigadores y ecoturistas desarrollar bioemprendimientos priorizando la participación de la mujer de las familias de la parroquia Río Negro, que aporten al ingreso económico de las familias y por ende el mejoramiento de la calidad de vida de las personas de esta parroquia.</t>
  </si>
  <si>
    <t>Árbolito por la vida del mañana</t>
  </si>
  <si>
    <t>Podriamos implementar esta recaudacion dentro de las planillas tanto de agua como de luz para todo el pais, de usd 2 dentro del Ecuador tiene aproximado de 15mil habitantes con el proposito de realizar esta campaña para iniciar la forestacion que se perdio durante los incendios e implementar zonas de riego para cada tiempo de verano en zonas de bosques.</t>
  </si>
  <si>
    <t xml:space="preserve">Conformacion de la  Xiloteca Nacional del Ecuador </t>
  </si>
  <si>
    <t>El programa busca la categorizacion, identificacion e investigacion anatomica de la madera de las especies forestales en el Ecuador</t>
  </si>
  <si>
    <t>Programa de Capacitaciones Escuelas de Campo Forestales</t>
  </si>
  <si>
    <t>Este programa consiste en capacitaciones dirigidas a productores forestales o agroforestales; a nivel nacional, categorizados en relación a la superficie neta utilizada, zonas de pobreza en la que habitan o que hayan sido beneficiarios del incentivo forestal que otorga el estado. El objetivo general del programa de capacitaciones es el de: “Fortalecer los conocimiento y habilidades técnicas sobre el manejo sostenible de sistemas productivos (plantaciones forestales con fines comerciales, áreas o manchas de Bambu/Caña Guadua y árboles maderables en sistemas agroforestales), bajo los lineamientos establecidos en el manual de Buenas Prácticas Forestales, que permita mejorar la calidad de vida de los productores, así como la productividad y competitividad de los productos forestales maderables y no maderables obtenidos”.
Estas capacitaciones abarcan temáticas como: obtención semillas, viveros, planificación de plantaciones forestales y sistemas agroforestales, manejo silvicultural de especies maderables y de bambusales 
 o guaduales, aprovechamiento forestal, educación financiera, protección del ambiente y prevención de incendios forestales, temas que se imparten a través del establecimiento de escuelas de campo in situ, bajo la metodología de aprendizaje activa denominada  “Aprender haciendo” o “Learning By Doing”, en la que se prioriza que el participante (productor), adquiera los conocimientos sobre el porqué y como realizar las actividades silviculturales; previa inducción y guía del Facilitador, es decir, el aprendizaje (objetivo de la actividad), se alcanza a través de la experimentación de la acción (ejecución de la actividad), lo que permitirá al productor solucionar posibles problemas que se presenten en su proceso productivo de su actividad forestal o agroforestal.</t>
  </si>
  <si>
    <t>Financiamiento climático para la sostenibilidad de acciones implementadas en el marco de la implementación de PROAmazonía y el proyecto pago por resultados, con los socios MAATE y MAG. Extrapolar actividades de éxito en otras localidades del país.</t>
  </si>
  <si>
    <t>Implementar Planes de Vida de los Pueblos y Nacionalidades Indígenas bajo el uso de la herramienta de Subvenciones de bajo valor(LVG).
Ampliar la implementación de acciones con Gobiernos Locales bajo el esquema de Pagos por Desempeño.
Ampliar la operación e implementación de Buenas Practicas Agrícolas (BPA+) en la intensificación productiva, con fines de liberar áreas para restauración activa y pasiva.
Transversalizar el abordaje de las salvaguardas sociales y ambientales, enfoque de género, interculturalidad y participación efectiva; en todas las acciones diseñadas.</t>
  </si>
  <si>
    <t>Generar soluciones a corto plazo en base a opciones económicas enmarcadas en procesos bajos en emisiones, participación plena y efectiva, transversalización de enfoques de género, interculturalidad, discapacidades, entre otros.
Uso de herramientas que permitan vincular actividades dentro y fuera de bosque bajo un esquema de paisaje como escala de implementación.</t>
  </si>
  <si>
    <t>Fortalecimiento de metodologías MRV de carbono forestal en el sector USCUSS y Patrimonio Natural.</t>
  </si>
  <si>
    <t>Fortalecer las de metodologías MRV de carbono forestal para presentar un nivel de referencial de emisiones forestales completo, las transiciones de cambio completas del INGEI en el sector USCUSS y reporte de avance en las metas de NDC I y II en el sector USCUSS y Patrimonio Natural, así como mejorar lo arreglos interinstitucionales para vincular a la academia en este proceso.</t>
  </si>
  <si>
    <t>Primera NDC mitigación</t>
  </si>
  <si>
    <t>Eficiencia energética e incorporación de energía renovable en el sector comercial, residencial e instituciones públicas</t>
  </si>
  <si>
    <t>Plan Nacional de Eficiencia Energética</t>
  </si>
  <si>
    <t>•	Proyectos de identificación de usos finales de la energía en los sectores residencial, 
•	comercial y público. 
•	Programa de recambio de quipos en el sector industrial y residencial. 
•	Normativa de Eficiencia Energética (ISO50001)
•	Cogeneración en la industria
•	Desarrollo y promoción de un mercado ESCOs (Empresas de Gestión de la Energía)</t>
  </si>
  <si>
    <t>Incrementar el uso eficiente de los  recursos energéticos mediante la ejecución  de programas y proyectos de eficiencia energética en los sectores relacionados con la oferta y demanda de energía.</t>
  </si>
  <si>
    <t>Necesidades del componente condicionado de la primera NDC - mitigación</t>
  </si>
  <si>
    <t>Eficiencia energética y uso de energía renovable en la Industria</t>
  </si>
  <si>
    <t>Programa de Eficiencia Energética - Optimización de Generación Eléctrica y Eficiencia Energética (OGE&amp;EE)</t>
  </si>
  <si>
    <t xml:space="preserve">Reducción de la quema de gas asociado en antorcha - Utilización del gas asociado al petróleo para la generación de energía eléctrica y  producción de GLP (Ampliación del Programa) </t>
  </si>
  <si>
    <t>Utilizar el gas asociado para generar energía eléctrica. Reducción de la quema de gas asociado en antorcha (Utilización del gas asociado al petróleo para la generación de energía eléctrica y producción de GLP). En una segunda fase se considera mayor interconexión con el Sistema Nacional Interconectado (SNI).</t>
  </si>
  <si>
    <t>NAMA de Transporte</t>
  </si>
  <si>
    <t xml:space="preserve">•	Acciones de reducción de emisiones en transporte de carga 
•	Gestión de transporte en Quito, Guayaquil y Cuenca </t>
  </si>
  <si>
    <t>Reducción de emisiones de GEI mediante análisis costo-eficiencia, en el sector de transporte de carga y pasajeros.</t>
  </si>
  <si>
    <t>Eficiencia energética en el sector de hidrocarburos</t>
  </si>
  <si>
    <t>• Recambio de motores SOTE
• Ciclo Combinado en Refinerías 
•Interconexión al SNI</t>
  </si>
  <si>
    <t>Reducción de  emisiones de GEI en  toda la línea hidrocarburífera de producción de petróleo, desde la  exploración hasta la comercialización.</t>
  </si>
  <si>
    <t xml:space="preserve">Energias Renovables </t>
  </si>
  <si>
    <t>• Bloque de Proyectos de Renovables 
• Energía Geotermia 
• Hidroenergía: Santiago I, II</t>
  </si>
  <si>
    <t>Impulsar el desarrollo 
del sector eléctrico por 
el uso de energía 
renovable menos 
contaminante.</t>
  </si>
  <si>
    <t>Ganaderia</t>
  </si>
  <si>
    <t xml:space="preserve">Proyecto Nacional de Ganadería Sostenible  </t>
  </si>
  <si>
    <t>Implementación de sistemas silvopastoriles y buenas prácticas enfocadas en el bienestar, bioseguridad y salud animal, junto con el fortalecimiento de la infraestructura y organizaciones pecuarias, para reducir las emisiones de GEI, según lo establecido en el PdI REDD+ GS.</t>
  </si>
  <si>
    <t>Reducir las emisiones de GEI, producto 
de la expansión de la producción 
ganadera.</t>
  </si>
  <si>
    <t>Plan de Implementación de Medidas y Acciones REDD+ para la reducción de la Deforestación y degradación de los bosques en torno a la Ganadería Sostenible (PdI REDD+ GS)</t>
  </si>
  <si>
    <t>Implementar las acciones y/o iniciativas  que permitan ejecutar de manera eficiente el Plan de Implementación de REDD+ GS y que permita reducir las emisiones de GEI</t>
  </si>
  <si>
    <t>Industria de los minerales</t>
  </si>
  <si>
    <t>Reducción de emisiones de GEI en el sector cementero</t>
  </si>
  <si>
    <t>Sustituir el clínker en 
el cemento por 
adiciones 
(ampliación).</t>
  </si>
  <si>
    <t>Reducción de emisiones de GEI, en el sector cementero</t>
  </si>
  <si>
    <t>Compostaje con aireación forzada (Quito)</t>
  </si>
  <si>
    <t>Compostaje de residuos orgánicos de Mercado  Mayorista de Quito y residuos de jardinería</t>
  </si>
  <si>
    <t>Reducción de emisiones de GEI, por la gestión de residuos solidos</t>
  </si>
  <si>
    <t>Captura activa de metano en relleno sanitario de Santo Domingo de los Tsáchilas</t>
  </si>
  <si>
    <t>Captura activa y quema de biogás</t>
  </si>
  <si>
    <t>Captura activa de metano en relleno sanitario de Ambato</t>
  </si>
  <si>
    <t xml:space="preserve">Todas </t>
  </si>
  <si>
    <t>Plan de Acción REDD+ del Ecuador “Bosques para el Buen Vivir” 2016-2026</t>
  </si>
  <si>
    <t>Contribuir a los  esfuerzos nacionales para la reducción de emisiones por la deforestación y degradación de la tierra</t>
  </si>
  <si>
    <t>Reducción de emisiones de GEI, en el sector forestal</t>
  </si>
  <si>
    <t>Necesidades del componente condicionado e incondicionado de la primera NDC - adaptación</t>
  </si>
  <si>
    <t>Primera NDC adaptación</t>
  </si>
  <si>
    <t>Soberanía Alimentaria, Agricultura, Ganadería, Acuacultura y Pesca</t>
  </si>
  <si>
    <t>Agregado de las acciones de adaptación correspondientes al sector</t>
  </si>
  <si>
    <t>Contribuir a los objetivos de adaptación de los instrumentos nacionales determinados</t>
  </si>
  <si>
    <t>Reducción de la vulnerabilidad y niveles de adaptación al cambio climático en el sector</t>
  </si>
  <si>
    <t>Asentamientos Humanos</t>
  </si>
  <si>
    <t>al 2026</t>
  </si>
  <si>
    <t>al 2027</t>
  </si>
  <si>
    <t>al 2028</t>
  </si>
  <si>
    <t>Productivos y Estratégicos</t>
  </si>
  <si>
    <t>al 2029</t>
  </si>
  <si>
    <t>al 2030</t>
  </si>
  <si>
    <t>TOTAL</t>
  </si>
  <si>
    <t>FINANCIAMIENTO DE LA REDUCCIÓN Y MANEJO DE AGROQUÍMICOS (FARM) EN ECUADOR</t>
  </si>
  <si>
    <t>Financiamiento de la reducción y manejo de agroquímicos (farm) en ecuador</t>
  </si>
  <si>
    <t>Multilateral</t>
  </si>
  <si>
    <t>MINISTERIO DE AMBIENTE, AGUA Y TRANSICIÓN ECOLÓGICA DEL ECUADOR</t>
  </si>
  <si>
    <t>PROGRAMA DE LAS NACIONES UNIDAS PARA EL DESARROLLO PNUD</t>
  </si>
  <si>
    <t>2023-2029</t>
  </si>
  <si>
    <t>Subvención/donación no reembolsable</t>
  </si>
  <si>
    <t>Recibido</t>
  </si>
  <si>
    <t>AGRICULTURA</t>
  </si>
  <si>
    <t xml:space="preserve">Agricultura </t>
  </si>
  <si>
    <t>SI</t>
  </si>
  <si>
    <t>Planificado</t>
  </si>
  <si>
    <t>Su objetivo es catalizar un marco de inversión regulatoria y financiera para desintoxicar el sector agrícola mediante la eliminación del uso de los insumos más dañinos para los sistemas de producción de alimentos</t>
  </si>
  <si>
    <t>APOYAR EL CAMBIO HACIA LA MOVILIDAD ELÉCTRICA BAJA EN CARBONO EN ECUADOR</t>
  </si>
  <si>
    <t>Apoyar el cambio hacia la movilidad eléctrica baja en carbono en ecuador</t>
  </si>
  <si>
    <t>UNITED NATIONS ENVIRONMENT PROGRAMME</t>
  </si>
  <si>
    <t>2022-NR</t>
  </si>
  <si>
    <t>ENERGIA</t>
  </si>
  <si>
    <t xml:space="preserve">Eficiencia Energética en el transporte y uso de energía renovable </t>
  </si>
  <si>
    <t>NO</t>
  </si>
  <si>
    <t>En curso</t>
  </si>
  <si>
    <t>LDN ESTABLECIMIENTO DE METAS Y RESTAURACIÓN DE PAISAJES DEGRADADOS EN ANDES OCCIDENTALES Y ZONAS COSTERAS</t>
  </si>
  <si>
    <t>Ldn establecimiento de metas y restauración de paisajes degradados en andes occidentales y zonas costeras</t>
  </si>
  <si>
    <t>ORGANIZACIÓN DE LAS NACIONES UNIDAS PARA LA ALIMENTACIÓN Y LA AGRICULTURA (FAO)</t>
  </si>
  <si>
    <t>2021-NR</t>
  </si>
  <si>
    <t>PATRIMONIO NATURAL</t>
  </si>
  <si>
    <t>Se están implementando 22 procesos de trabajo en tres sitios de intervención que promueven la adopción de prácticas de manejo sostenible de la tierra. Incluye 3 asociaciones de mujeres, 6 territorios comunales. Presentación del cuarto informe del PRAIS sobre la degradación de las tierras presentado a la CLD. Contribución al desarrollo del Plan Nacional de Acción para los Páramos.Macro Zonificación Provincial de Bolívar para identificar áreas prioritarias para la conservación, restauración y producción sostenible.</t>
  </si>
  <si>
    <t>(FP185) CAMBIO CLIMÁTICO: EL NUEVO DESAFÍO EVOLUTIVO PARA GALÁPAGOS</t>
  </si>
  <si>
    <t>(fp185) cambio climático: el nuevo desafío evolutivo para galápagos</t>
  </si>
  <si>
    <t>BANCO DE DESARROLLO DE AMERICA LATINA CAF</t>
  </si>
  <si>
    <t>Comprometido</t>
  </si>
  <si>
    <t>Toneladas de emisiones evitadas584.2kBeneficiarios567.9k</t>
  </si>
  <si>
    <t>CONSERVACIÓN Y USO SOSTENIBLE DE LAS ÁREAS PROTEGIDAS EN ECUADOR</t>
  </si>
  <si>
    <t>Conservación y uso sostenible de las áreas protegidas en ecuador</t>
  </si>
  <si>
    <t>BANCO INTERAMERICANO DE DESARROLLO BID</t>
  </si>
  <si>
    <t>Participación</t>
  </si>
  <si>
    <t>Promover la conservación, el uso sostenible de la biodiversidad y el desarrollo de capacidades en zonas de uso sostenible y zonas de amortiguamiento dentro del Subsistema Estatal de Áreas Protegidas (PAES).</t>
  </si>
  <si>
    <t>TAF: APOYO AL FORTALECIMIENTO DEL MINISTERIO DE TRABAJO PARA LA PROMOCIÓN DE EMPLEOS VERDES</t>
  </si>
  <si>
    <t>Taf: apoyo al fortalecimiento del ministerio de trabajo para la promoción de empleos verdes</t>
  </si>
  <si>
    <t>GOBIERNO DEL ECUADOR</t>
  </si>
  <si>
    <t xml:space="preserve">SECTORES PRODUCTIVOS Y ESTRATÉGICOS </t>
  </si>
  <si>
    <t xml:space="preserve">Inclusión de la variable de riesgos climáticos en sectores 
</t>
  </si>
  <si>
    <t>La División de Mercados Laborales del Banco Interamericano de Desarrollo busca desarrollar la capacidad técnica del Servicio Público de Empleo (SPE) ecuatoriano a través de una variedad de actividades. En este sentido, se requiere de un profesional que pueda diseñar una estrategia y servicios, para los SPE, para promover empleos verdes, con enfoque de género</t>
  </si>
  <si>
    <t>CREACIÓN DE LAS CONDICIONES PROPICIAS PARA LA IMPLEMENTACIÓN DEL MECANISMO DE LD POR PÉRDIDAS Y DAÑOS EN EL ECUADOR</t>
  </si>
  <si>
    <t>Creación de las condiciones propicias para la implementación del mecanismo de ld por pérdidas y daños en el ecuador</t>
  </si>
  <si>
    <t>2023-2026</t>
  </si>
  <si>
    <t>TRANSVERSAL</t>
  </si>
  <si>
    <t xml:space="preserve">Planificación y politicas de camibio climático
</t>
  </si>
  <si>
    <t xml:space="preserve">El objetivo principal de este apoyo de preparación es crear y reforzar las condiciones propicias en Ecuador para conceptualizar de manera efectiva el mecanismo de L&amp;D y establecer las capacidades institucionales, técnicas y operativas para su futura implementación en el país. </t>
  </si>
  <si>
    <t>BDE AGUA Y SANEAMIENTO</t>
  </si>
  <si>
    <t>Bde agua y saneamiento</t>
  </si>
  <si>
    <t>2021-2030</t>
  </si>
  <si>
    <t>RESIDUOS</t>
  </si>
  <si>
    <t xml:space="preserve">Gestión de residuos sólidos y líquidos </t>
  </si>
  <si>
    <t>Se espera que los subproyectos del préstamo marco contribuyan a aumentar la capacidad de los sistemas y ampliar los servicios de agua y aguas residuales, así como la cobertura, con un impacto positivo directo en los medios de vida de las personas y el medio ambiente. Además, los subproyectos relacionados con el saneamiento tendrán un impacto ambiental positivo a través de la reducción significativa de las descargas de aguas residuales en los ríos. Además, se espera que los subproyectos de saneamiento tengan una contribución significativa a la mitigación del cambio climático, a través de la reducción de las emisiones de gases de efecto invernadero de las aguas residuales y el tratamiento de lodos.</t>
  </si>
  <si>
    <t>ECUADOR SEGUNDO PFP DE RECUPERACIÓN VERDE Y RESILIENTE (EGARR DPF-2)</t>
  </si>
  <si>
    <t>Ecuador segundo pfp de recuperación verde y resiliente (egarr dpf-2)</t>
  </si>
  <si>
    <t>MINISTERIO DE ECONOMIA Y FINANZASDEL ECUADOR</t>
  </si>
  <si>
    <t>2023-2023</t>
  </si>
  <si>
    <t>Prestamo no consecional</t>
  </si>
  <si>
    <t>El Objetivo de Desarrollo (DOP) del Programa es ayudar al gobierno de Ecuador en su agenda para abordar los desafíos estructurales seleccionados para fomentar un desarrollo inclusivo, resiliente y bajo en carbono.</t>
  </si>
  <si>
    <t>FINANCIAMIENTO ADICIONAL PARA EL PROYECTO DE LA RED DE SEGURIDAD SOCIAL</t>
  </si>
  <si>
    <t>Financiamiento adicional para el proyecto de la red de seguridad social</t>
  </si>
  <si>
    <t xml:space="preserve">ASENTAMIENTOS HUMANOS </t>
  </si>
  <si>
    <t>También se espera que el cruce de la información de la SE con las bases de datos administrativas, como los impuestos, los registros de seguridad social y las bases de datos de GRD (incluido el Registro Único de Víctimas del Servicio Nacional de Gestión de Riesgos y Emergencias (SNGR)) permita la identificación rápida y adecuada de los más vulnerables en tiempos de emergencia, incluidos los impactos relacionados con el cambio climático.</t>
  </si>
  <si>
    <t>DISEÑO DEL PROGRAMA NACIONAL DE INVERSIONES EN AGUA Y SANEAMIENTO</t>
  </si>
  <si>
    <t>Diseño del programa nacional de inversiones en agua y saneamiento</t>
  </si>
  <si>
    <t>2023-NR</t>
  </si>
  <si>
    <t>Préstamo Consecional</t>
  </si>
  <si>
    <t>SEGURIDAD ALIMENTARIA FRENTE A LA PANDEMIA EN LA MANCOMUNIDAD DEL NORTE DEL ECUADOR (REM)</t>
  </si>
  <si>
    <t>Seguridad alimentaria frente a la pandemia en la mancomunidad del norte del ecuador (rem)</t>
  </si>
  <si>
    <t>FUNDACION CODESPA ECUADOR</t>
  </si>
  <si>
    <t>SOBERANÍA ALIMENTARIA, AGRICULTURA, GANADERÍA, ACUACULTURA Y PESC</t>
  </si>
  <si>
    <t xml:space="preserve">Soberanía Alimentaria </t>
  </si>
  <si>
    <t>PROGRAMA DE INVERSIÓN EN AGUA Y SANEAMIENTO EN ECUADOR</t>
  </si>
  <si>
    <t>Programa de inversión en agua y saneamiento en ecuador</t>
  </si>
  <si>
    <t>BANCO DEL ESTADO</t>
  </si>
  <si>
    <t>BANCO DEL ESTADO DEL ECUADOR</t>
  </si>
  <si>
    <t>i) mejorar la calidad y ampliar la cobertura de los servicios de APS; (ii) mejorar la calidad y ampliar la cobertura del servicio de gestión de residuos sólidos; y (iii) fortalecer las capacidades de los operadores y del BDE B.P. en la gestión de proyectos APS y RSU.</t>
  </si>
  <si>
    <t>INTERCAMBIO DE CONOCIMIENTOS ENTRE EL MINISTERIO DE ENERGÍA Y MINAS (MEM) DE ECUADOR Y LA EMPRESA PÚBLICA DE MEDELLÍN (EPM) DE COLOMBIA</t>
  </si>
  <si>
    <t>Intercambio de conocimientos entre el ministerio de energía y minas (mem) de ecuador y la empresa pública de medellín (epm) de colombia</t>
  </si>
  <si>
    <t>APOYO A LA TRANSICIÓN ENERGÉTICA Y PROMOCIÓN DE INVERSIONES EN EL SECTOR ENERGÉTICO ECUATORIANO</t>
  </si>
  <si>
    <t>Apoyo a la transición energética y promoción de inversiones en el sector energético ecuatoriano</t>
  </si>
  <si>
    <t>El objetivo general del programa es apoyar los esfuerzos del Gobierno de Ecuador para fortalecer y promover la inversión pública y privada hacia una transición energética justa. Los objetivos específicos son: (i) apoyar la descarbonización del sector energético mediante la promoción de fuentes de energía renovable no convencional (ERNC), fuentes alternativas de generación, eficiencia energética y medidas de gestión de la demanda, integración regional y movilidad eléctrica; ii) aumentar la participación del sector privado en el suministro de electricidad; iii) avanzar en el proceso de lograr el acceso universal a la electricidad; iv) y reducir las brechas de género en el sector energético.</t>
  </si>
  <si>
    <t>NFT CON FINES DE CONSERVACIÓN</t>
  </si>
  <si>
    <t>Nft con fines de conservación</t>
  </si>
  <si>
    <t>FUNDACION FUTURO</t>
  </si>
  <si>
    <t>APOYO A LA TRANSICIÓN ENERGÉTICA Y FORTALECIMIENTO DE LAS EMPRESAS DEL SECTOR ELÉCTRICO EN ECUADOR</t>
  </si>
  <si>
    <t>Apoyo a la transición energética y fortalecimiento de las empresas del sector eléctrico en ecuador</t>
  </si>
  <si>
    <t>APOYO A LA FORMULACIÓN DEL PROYECTO SISTEMA DE ALERTA TEMPRANA ECUADOR FASE II.</t>
  </si>
  <si>
    <t>Apoyo a la formulación del proyecto sistema de alerta temprana ecuador fase ii.</t>
  </si>
  <si>
    <t>ALIADOS: UN HUB DE INNOVACIÓN-INVERSIÓN PARA LA BIOECONOMÍA REGENERATIVA EN LA AMAZONÍA ECUATORIANA</t>
  </si>
  <si>
    <t>Aliados: un hub de innovación-inversión para la bioeconomía regenerativa en la amazonía ecuatoriana</t>
  </si>
  <si>
    <t xml:space="preserve">Soberanía Alimentaria
</t>
  </si>
  <si>
    <t>COICA 80X25 - FORTALECIMIENTO INSTITUCIONAL</t>
  </si>
  <si>
    <t>Coica 80x25 - fortalecimiento institucional</t>
  </si>
  <si>
    <t>APOYO A ECUADOR EN SU ESTRATEGIA CONTRA LA DEFORESTACIÓN EN LA AMAZONÍA.</t>
  </si>
  <si>
    <t>Apoyo a ecuador en su estrategia contra la deforestación en la amazonía.</t>
  </si>
  <si>
    <t>UTCUTS</t>
  </si>
  <si>
    <t xml:space="preserve">Tierras forestales </t>
  </si>
  <si>
    <t>APOYAR LA TRANSICIÓN ENERGÉTICA DE ECUADOR</t>
  </si>
  <si>
    <t>Apoyar la transición energética de ecuador</t>
  </si>
  <si>
    <t>INTERCAMBIO DE CONOCIMIENTOS ENTRE EL OPERADOR NACIONAL DE ELECTRICIDAD DE ECUADOR (CENACE) Y LA ADMINISTRACIÓN DEL MERCADO ELÉCTRICO DE URUGUAY</t>
  </si>
  <si>
    <t>Intercambio de conocimientos entre el operador nacional de electricidad de ecuador (cenace) y la administración del mercado eléctrico de uruguay</t>
  </si>
  <si>
    <t xml:space="preserve">Eficiencia energética y uso de energía renovable en la Industria </t>
  </si>
  <si>
    <t>APOYO AL FORTALECIMIENTO DE LOS SERVICIOS PÚBLICOS AGROPECUARIOS DEL ECUADOR</t>
  </si>
  <si>
    <t>Apoyo al fortalecimiento de los servicios públicos agropecuarios del ecuador</t>
  </si>
  <si>
    <t>APOYO A LA EMERGENCIA POR DESLIZAMIENTOS DE TIERRA E INUNDACIONES PROVOCADAS POR LLUVIAS INTENSAS EN QUITO</t>
  </si>
  <si>
    <t>Apoyo a la emergencia por deslizamientos de tierra e inundaciones provocadas por lluvias intensas en quito</t>
  </si>
  <si>
    <t>CRUZ ROJA ECUATORIANA</t>
  </si>
  <si>
    <t>Terminado</t>
  </si>
  <si>
    <t>TIENDAS TIA GENERACIÓN ENERGÍAS ALTERNATIVAS</t>
  </si>
  <si>
    <t>Tiendas tia generación energías alternativas</t>
  </si>
  <si>
    <t>SECTOR PRIVADO</t>
  </si>
  <si>
    <t>INTER AMERICAN INVESTMENT CORPORATION</t>
  </si>
  <si>
    <t xml:space="preserve">Generación de energía por fuentes renovables </t>
  </si>
  <si>
    <t>Financiar la adquisición, instalación, operación y mantenimiento de un portafolio de proyectos fotovoltaicos de autogeneración en ubicaciones seleccionadas de Tiendas TÍA.</t>
  </si>
  <si>
    <t>AGRIPAC LP</t>
  </si>
  <si>
    <t>Agripac lp</t>
  </si>
  <si>
    <t>APOYO A LA DIGITALIZACIÓN DE LA OPERACIÓN DE INFRAESTRUCTURA EN EMPRESAS DE DISTRIBUCIÓN ELÉCTRICA EN ECUADOR</t>
  </si>
  <si>
    <t>Apoyo a la digitalización de la operación de infraestructura en empresas de distribución eléctrica en ecuador</t>
  </si>
  <si>
    <t>PROGRAMA DE AYUDAS DIRECTAS (DAP) 2020-21</t>
  </si>
  <si>
    <t>Programa de ayudas directas (dap) 2020-21</t>
  </si>
  <si>
    <t>Bilateral</t>
  </si>
  <si>
    <t>VARIAS AGENCIAS DE DESARROLLO NO GUBERNAMENTALES</t>
  </si>
  <si>
    <t>GOBIERNO DE AUSTRALIA</t>
  </si>
  <si>
    <t>LAS COMUNIDADES ECUATORIANAS DE LAS CUENCAS DE MIRA, PASTAZA Y PUTUMAYO MEJORAN SU CALIDAD DE VIDA SOCIO-ECONÓMICA A TRAVÉS UNA MEJORA PROTECCIÓN DE S</t>
  </si>
  <si>
    <t>Las comunidades ecuatorianas de las cuencas de mira, pastaza y putumayo mejoran su calidad de vida socio-económica a través una mejora protección de s</t>
  </si>
  <si>
    <t>DIRECTORATE GENERAL FOR CO-OPERATION AND DEVELOPMENT</t>
  </si>
  <si>
    <t>FORTALECIMIENTO DE COMUNIDADES Y MANEJO INCLUSIVO Y PARTICIPATIVO DEL BOSQUE Y SUS RECURSOS</t>
  </si>
  <si>
    <t>Fortalecimiento de comunidades y manejo inclusivo y participativo del bosque y sus recursos</t>
  </si>
  <si>
    <t>MITIGACIÓN DE LA DEFORESTACIÓN MEDIANTE LA MEJORA DE LOS MEDIOS DE VIDA Y CADENAS DE VALOR DE PRODUCTOS AGROFORESTALES</t>
  </si>
  <si>
    <t>Mitigación de la deforestación mediante la mejora de los medios de vida y cadenas de valor de productos agroforestales</t>
  </si>
  <si>
    <t>DESARROLLAR SUSTENTABILIDAD E INCLUSIVIDAD EN LAS CADENAS DE CACAO, CAFÉ Y FRUTAS/HOTALIZAS EN ECUADOR, MEJORANDO LA CALIDAD DE VIDA DE LOS PEQUEÑOS A</t>
  </si>
  <si>
    <t>Desarrollar sustentabilidad e inclusividad en las cadenas de cacao, café y frutas/hotalizas en ecuador, mejorando la calidad de vida de los pequeños a</t>
  </si>
  <si>
    <t>MANEJO SOSTENIBLE DE BOSQUES Y PARAMOS EN UN ÁREA PROTEGIDA EN LA REGIÓN DEL CARCHI, NORTE DE ECUADOR</t>
  </si>
  <si>
    <t>Manejo sostenible de bosques y paramos en un área protegida en la región del carchi, norte de ecuador</t>
  </si>
  <si>
    <t>FLANDERS OFFICIAL REGIONAL MINISTRIES</t>
  </si>
  <si>
    <t>EL DESEMPEÑO ECONÓMICO, AMBIENTAL Y SOCIAL DE LOS ACTORES DE LA AGRICULTURA FAMILIAR SOSTENIBLE Y LA ECONOMÍA SOCIAL EN ECUADOR ES UN FACTOR IMPORTANTE EN EL DESARROLLO DE LA AGRICULTURA FAMILIAR SOSTENIBLE.</t>
  </si>
  <si>
    <t>El desempeño económico, ambiental y social de los actores de la agricultura familiar sostenible y la economía social en ecuador es un factor importante en el desarrollo de la agricultura familiar sostenible.</t>
  </si>
  <si>
    <t>TRIAS: 10 ORGANIZACIONES DE AGRICULTORES FAMILIARES Y MICROEMPRESARIOS LOGRAN SER SOSTENIBLES, EMPODERANDO SUS SOCIOS PERSONAL Y PROFESIONALMENTE, ESPECIALME</t>
  </si>
  <si>
    <t>Trias: 10 organizaciones de agricultores familiares y microempresarios logran ser sostenibles, empoderando sus socios personal y profesionalmente, especialme</t>
  </si>
  <si>
    <t>PROGRAMA SECTORIAL DE ENFOQUE AMPLIO EN VIALIDAD, AGUA DE RIEGO Y DRENAJE PROVINCIAL</t>
  </si>
  <si>
    <t>Programa sectorial de enfoque amplio en vialidad, agua de riego y drenaje provincial</t>
  </si>
  <si>
    <t>GOBIERNOS AUTÓNOMOS DESCENTRALIZADOS (GAD)</t>
  </si>
  <si>
    <t>El objetivo general de la operación, aprobada por el Directorio Ejecutivo del BID, es impulsar la inclusión social y la productividad de los grupos rurales.</t>
  </si>
  <si>
    <t>RESTAURACIÓN - BOSQUE MODELO CHOCÓ ANDINO - ECUADOR</t>
  </si>
  <si>
    <t>Restauración - bosque modelo chocó andino - ecuador</t>
  </si>
  <si>
    <t> CONDESAN, FONAG Y FUNDACIÓN FUTURO.</t>
  </si>
  <si>
    <t>MEJORAR LA RESILIENCIA DE LOS SISTEMAS ALIMENTARIOS ALTERNATIVOS EN ENTORNOS INFORMALES EN AMÉRICA LATINA Y EL CARIBE A TRAVÉS DE INICIATIVAS DE ABAJO HACIA ARRIBA</t>
  </si>
  <si>
    <t>Mejorar la resiliencia de los sistemas alimentarios alternativos en entornos informales en américa latina y el caribe a través de iniciativas de abajo hacia arriba</t>
  </si>
  <si>
    <t>SECTOR DE LA ACADEMIA</t>
  </si>
  <si>
    <t>El programa financiará mejoras y reparaciones a los caminos rurales existentes mediante la mejora de la estructura de pavimentación y la colocación de asfalto, y mediante la mejora de la supervisión técnica de los proyectos.</t>
  </si>
  <si>
    <t>FORTALECIMIENTO DE LAS CAPACIDADES DE INVESTIGACIÓN EN LAS COMUNIDADES AMAZÓNICAS: ¿CUÁL ES EL PAPEL DEL IDRC?</t>
  </si>
  <si>
    <t>Fortalecimiento de las capacidades de investigación en las comunidades amazónicas: ¿cuál es el papel del idrc?</t>
  </si>
  <si>
    <t>CENTROS DE ALIMENTACIÓN SALUDABLE: CONSTRUYENDO SISTEMAS AGROALIMENTARIOS SOSTENIBLES Y RESILIENTES EN LIMA Y QUITO</t>
  </si>
  <si>
    <t>Centros de alimentación saludable: construyendo sistemas agroalimentarios sostenibles y resilientes en lima y quito</t>
  </si>
  <si>
    <t xml:space="preserve">También financiará estudios de factibilidad, diseños finales para el transporte y la movilidad sostenibles, y estudios de ingeniería civil para caminos rurales. Además, involucrará a las comunidades indígenas en los aspectos de diseño vial y financiará acciones de fortalecimiento institucional. Las acciones del programa contribuirán a transversalizar la equidad y diversidad de género, la transformación digital y los criterios de cambio climático y sostenibilidad en la planificación y gestión de caminos rurales del Ecuador. </t>
  </si>
  <si>
    <t>TCPF: ASISTENCIA TÉCNICA PARA LA CONSTRUCCIÓN PARTICIPATIVA Y DISEÑO DEL PROYECTO GALÁPAGOS COMPATIBLE CON EL CLIMA .</t>
  </si>
  <si>
    <t>Tcpf: asistencia técnica para la construcción participativa y diseño del proyecto galápagos compatible con el clima .</t>
  </si>
  <si>
    <t>2021-2024</t>
  </si>
  <si>
    <t>Se desarrolló una estrategia participativa que involucra a propietarios de fincas, campesinos y familias que viven en esta reserva, de igual manera se han involucrado diversos actores gubernamentales, no gubernamentales y de cooperación internacional. Con el fin de promover la implementación de sistemas de producción sostenibles que armonicen con la conservación de los bosques, el agua y la biodiversidad, especialmente de especies amenazadas como: el oso andino, entre otras.</t>
  </si>
  <si>
    <t>P185 - CLIMA - "UNA ESPERANZA PARA LOS HABITANTES DE DOSEL DE LOS REMANENTES DE BOSQUE DEL CHOCO ECUATOIANO"</t>
  </si>
  <si>
    <t>P185 - clima - "una esperanza para los habitantes de dosel de los remanentes de bosque del choco ecuatoiano"</t>
  </si>
  <si>
    <t>MINISTERIO DE RELACIONES EXTERIORES Y MOVILIDAD HUMANA DEL ECUADOR</t>
  </si>
  <si>
    <t>AGUA Y SANEAMIENTO - ABASTECIMIENTO DE AGUA POTABLE - DISPOSITIVOS BÁSICOS</t>
  </si>
  <si>
    <t>Agua y saneamiento - abastecimiento de agua potable - dispositivos básicos</t>
  </si>
  <si>
    <t>PROTECCIÓN DEL MEDIO AMBIENTE, GENERAL - PREVENCIÓN Y CONTROL DE INUNDACIONES</t>
  </si>
  <si>
    <t>Protección del medio ambiente, general - prevención y control de inundaciones</t>
  </si>
  <si>
    <t>PATRIMONIO HÍDRICO</t>
  </si>
  <si>
    <t>SISTEMA NACIONAL DE ÁREAS PROTEGIDAS II - ENFOQUE EN ÁREAS PROTEGIDAS MARINO COSTERAS</t>
  </si>
  <si>
    <t>Sistema nacional de áreas protegidas ii - enfoque en áreas protegidas marino costeras</t>
  </si>
  <si>
    <t>MINISTERIO FEDERAL DE COOPERACIÓN ECONÓMICA Y DESARROLLO DE ALEMANIA</t>
  </si>
  <si>
    <t>CIUDADES INTERMEDIAS SOSTENIBLES II</t>
  </si>
  <si>
    <t>Ciudades intermedias sostenibles ii</t>
  </si>
  <si>
    <t>CORPORACIONES PÚBLICAS</t>
  </si>
  <si>
    <t xml:space="preserve">Planeación y Desarrollo Urbano Sostenible </t>
  </si>
  <si>
    <t>DONACIÓN DE UNA PLANTA DE TRATAMIENTO DE AGUA DE HUNGRÍA A ECUADOR (MUISNE)</t>
  </si>
  <si>
    <t>Donación de una planta de tratamiento de agua de hungría a ecuador (muisne)</t>
  </si>
  <si>
    <t>FORTALECIENDO LA CADENA DEL CAFÉ SOSTENIBLE PARA LA SOBERANÍA ALIMENTARIA EN ECUADOR</t>
  </si>
  <si>
    <t>Fortaleciendo la cadena del café sostenible para la soberanía alimentaria en ecuador</t>
  </si>
  <si>
    <t>EL PROYECTO DE CONSTRUCCIÓN DEL SISTEMA DE ALCANTARILLADO CLOACAL PARA EL SECTOR DE PORVENIR ALTO 2 EN LA COMUNIDAD DE TARQUI DE LA CIUDAD DE MANTA</t>
  </si>
  <si>
    <t>El proyecto de construcción del sistema de alcantarillado cloacal para el sector de porvenir alto 2 en la comunidad de tarqui de la ciudad de manta</t>
  </si>
  <si>
    <t>Sistema Nacional de Áreas Protegidas II - enfoque en áreas protegidas marino-costeras</t>
  </si>
  <si>
    <t>ESTABLECIMIENTO DE UNA ISLA LIBRE DE CARBONO EN GALÁPAGOS, ISLA SAN CRISTÓBAL, ECUADOR</t>
  </si>
  <si>
    <t>Establecimiento de una isla libre de carbono en galápagos, isla san cristóbal, ecuador</t>
  </si>
  <si>
    <t>Se mejoran las condiciones propicias para implementar el desarrollo urbano sostenible de acuerdo con la Nueva Agenda Urbana, los Objetivos de Desarrollo Sostenible y el Acuerdo de París.</t>
  </si>
  <si>
    <t>FORTALECIMIENTO DE CAPACIDADES PARA EL MANTENIMIENTO DE PLANTAS DE ENERGÍA RENOVABLE (ECUADOR)(2021)</t>
  </si>
  <si>
    <t>Fortalecimiento de capacidades para el mantenimiento de plantas de energía renovable (ecuador)(2021)</t>
  </si>
  <si>
    <t>PROGRAMA DE DESARROLLO DE CAPACIDADES EN GESTIÓN DE LA CALIDAD DEL AIRE Y ENERGÍAS RENOVABLES PARA EL DESARROLLO SOSTENIBLE (2021)</t>
  </si>
  <si>
    <t>Programa de desarrollo de capacidades en gestión de la calidad del aire y energías renovables para el desarrollo sostenible (2021)</t>
  </si>
  <si>
    <t xml:space="preserve">ECOCIENCIA - PUEBLOS INDÍGENAS Y SOCIEDAD CIVIL TOMANDO ACCIÓN PARA PROTEGER LA AMAZONÍA </t>
  </si>
  <si>
    <t xml:space="preserve">Ecociencia - pueblos indígenas y sociedad civil tomando acción para proteger la amazonía </t>
  </si>
  <si>
    <t>AGENCIA NORUEGA PARA COOPERACIÓN AL DESARROLLO</t>
  </si>
  <si>
    <t>AMAZONÍA 2.0</t>
  </si>
  <si>
    <t>Amazonía 2.0</t>
  </si>
  <si>
    <t>CIENCIA Y CONOCIMIENTO INDÍGENA SE UNEN PARA REDUCIR LA PÉRDIDA DE CARBONO DE LOS BOSQUES -ECUADOR</t>
  </si>
  <si>
    <t>Ciencia y conocimiento indígena se unen para reducir la pérdida de carbono de los bosques -ecuador</t>
  </si>
  <si>
    <t>IGUALDAD, RESILIENCIA AGROALIMENTARIA Y RECUPERACIÓN SOCIOECONÓMICA CON 86 PRODUCTORES Y EMPRENDEDORES (49 MUJERES Y 37 HOMBRES) EN BOLÃVAR,</t>
  </si>
  <si>
    <t>Igualdad, resiliencia agroalimentaria y recuperación socioeconómica con 86 productores y emprendedores (49 mujeres y 37 hombres) en bolãvar,</t>
  </si>
  <si>
    <t>MUJERES PRODUCTORAS DE ALIMENTOS CON ENFOQUE DE SOBERANÍA ALIMENTARIA Y VALOR AGREGADO REACTIVAN LA ECONOMÍA SOCIAL Y SOLIDARIA, AL PIE DEL PARQUE NAC</t>
  </si>
  <si>
    <t>Mujeres productoras de alimentos con enfoque de soberanía alimentaria y valor agregado reactivan la economía social y solidaria, al pie del parque nac</t>
  </si>
  <si>
    <t xml:space="preserve">GRUPOS DE ATENCIÓN PRIORITARIA </t>
  </si>
  <si>
    <t>El objetivo de impacto de este proyecto es evitar y revertir la deforestación y la degradación en la Amazonía ecuatoriana, al tiempo que se garantizan los derechos y los medios de vida sostenibles de los pueblos indígenas y las comunidades locales, a través de soluciones climáticas naturales.</t>
  </si>
  <si>
    <t>MEJORA DEL ABASTECIMIENTO DE AGUA POTABLE Y DE LAS CONDICIONES DE SALUD EN COMUNIDADES VULNÉRABLES QUE MITIGUE LOS EFECTOS DEL COVID-19, PROMOVIENDO EL BUEN GOBIERNO</t>
  </si>
  <si>
    <t>Mejora del abastecimiento de agua potable y de las condiciones de salud en comunidades vulnérables que mitigue los efectos del covid-19, promoviendo el buen gobierno</t>
  </si>
  <si>
    <t>COMUNIDAD FORAL DE NAVARRA</t>
  </si>
  <si>
    <t>GARANTIZAR EL DERECHO AL AGUA Y A LA REPARACIÓN DE LOS PUEBLOS INDÍGENAS Y COLONOS EN LAS PROVINCIAS DE ORELLANA Y SUCUMBÃOS</t>
  </si>
  <si>
    <t>Garantizar el derecho al agua y a la reparación de los pueblos indígenas y colonos en las provincias de orellana y sucumbãos</t>
  </si>
  <si>
    <t>COMUNIDAD AUTÓNOMA DE ANDALUCÍA</t>
  </si>
  <si>
    <t>FORMACIÓN INVESTIGATIVA PARA DOCENTES ECUATORIANOS Y SU CONTRIBUCIÓN A LOS ODS</t>
  </si>
  <si>
    <t>Formación investigativa para docentes ecuatorianos y su contribución a los ods</t>
  </si>
  <si>
    <t>? KAWSAY URKU: REDUCCIÓN DE LAS DESIGUALDADES EN EL ECOSISTEMA DEL PÁRAMO</t>
  </si>
  <si>
    <t>? Kawsay urku: reducción de las desigualdades en el ecosistema del páramo</t>
  </si>
  <si>
    <t>MUJERES CAMPESINAS LIDERANDO LA PRODUCCIÓN RESILIENTE AL CAMBIO CLIMÁTICO Y LA GESTIÓN SOSTENIBLE DE</t>
  </si>
  <si>
    <t>Mujeres campesinas liderando la producción resiliente al cambio climático y la gestión sostenible de</t>
  </si>
  <si>
    <t>AGENCIA ESPAÑOLA DE COOPERACIÓN INTERNACIONAL PARA EL DESARROLLO</t>
  </si>
  <si>
    <t>VINCULACIÓN URBANO-RURAL PARA UN DESARROLLO SOCIOECONÓMICO TERRITORIAL INCLUSIVO Y SOSTENIBLE EN UN CONTEXTO POST COVID-19 EN 3 CANTONES RURALES</t>
  </si>
  <si>
    <t>Vinculación urbano-rural para un desarrollo socioeconómico territorial inclusivo y sostenible en un contexto post covid-19 en 3 cantones rurales</t>
  </si>
  <si>
    <t>FORTALECIMIENTO DE LAS CAPACIDADES DE LOS ACTORES NORTEAMAZÓNICOS ECUATORIANOS PARA EL EJERCICIO DEL DERECHO AL AGUA EN UN ESCENARIO POST-COVID19</t>
  </si>
  <si>
    <t>Fortalecimiento de las capacidades de los actores norteamazónicos ecuatorianos para el ejercicio del derecho al agua en un escenario post-covid19</t>
  </si>
  <si>
    <t>MEJORAMIENTO DEL ABASTECIMIENTO DE AGUA POTABLE Y CONDICIONES DE SALUD EN COMUNIDADES VULNERABLES QUE MITIGUE LOS EFECTOS DEL COVID-19, PROMOVIENDO</t>
  </si>
  <si>
    <t>Mejoramiento del abastecimiento de agua potable y condiciones de salud en comunidades vulnerables que mitigue los efectos del covid-19, promoviendo</t>
  </si>
  <si>
    <t>RED DE GRUPOS DE INVESTIGACIÓN PARA ESTUDIAR LOS EFECTOS DEL CAMBIO CLIMÁTICO</t>
  </si>
  <si>
    <t>Red de grupos de investigación para estudiar los efectos del cambio climático</t>
  </si>
  <si>
    <t>2021 ECUADOR APOYO A LA REACTIVACIÓN ECONÓMICO-PRODUCTIVA DE LA PROVINCIA DE MANABÃ A TRAVÉS DEL BAM</t>
  </si>
  <si>
    <t>2021 ecuador apoyo a la reactivación económico-productiva de la provincia de manabã a través del bam</t>
  </si>
  <si>
    <t>ARAUCLIMA 2021 ECUADOR GÉNERO Y CAMBIO CLIMÁTICO UICN</t>
  </si>
  <si>
    <t>Arauclima 2021 ecuador género y cambio climático uicn</t>
  </si>
  <si>
    <t>IUCN</t>
  </si>
  <si>
    <t>ECUADOR 2021 ESTUDIO PARA LA IMPLEMENTACIÓN DE PLANTAS DE PROCESAMIENTO AGROINDUS DEL SISTEMA GEOTÉRMICO-SOLAR</t>
  </si>
  <si>
    <t>Ecuador 2021 estudio para la implementación de plantas de procesamiento agroindus del sistema geotérmico-solar</t>
  </si>
  <si>
    <t>ESTUDIO DE FACTIBILIDAD TÉCNICA ECUADOR 2021 PARA LA PRODUCCIÓN DE ETANOL</t>
  </si>
  <si>
    <t>Estudio de factibilidad técnica ecuador 2021 para la producción de etanol</t>
  </si>
  <si>
    <t xml:space="preserve">Eficiencia Energética en el sector de Hidrocarburos </t>
  </si>
  <si>
    <t>REACTIVACIÓN PRODUCTIVA DE LA AGRICULTURA FAMILIAR CAMPESINA TRAS EL COVID 19 EN EL CANTÓN DE PUYANGO LOJA, ECUADOR</t>
  </si>
  <si>
    <t>Reactivación productiva de la agricultura familiar campesina tras el covid 19 en el cantón de puyango loja, ecuador</t>
  </si>
  <si>
    <t>COMUNIDAD AUTÓNOMA DE LA RIOJA</t>
  </si>
  <si>
    <t xml:space="preserve">Agricultura
</t>
  </si>
  <si>
    <t>ADSIDEO 2021- VALORIZACIÓN DE TUBÉRCULOS ANDINOS PARA LA OBTENCIÓN DE INGREDIENTES ALIMENTARIOS Y SU VIABILIDAD</t>
  </si>
  <si>
    <t>Adsideo 2021- valorización de tubérculos andinos para la obtención de ingredientes alimentarios y su viabilidad</t>
  </si>
  <si>
    <t>MERIDIES 2021. COMPETITIVIDAD DE LAS COMUNIDADES CONCESIONARIAS DE MANGLAR EN EL GOLFO DE GUAYAQUIL</t>
  </si>
  <si>
    <t>Meridies 2021. Competitividad de las comunidades concesionarias de manglar en el golfo de guayaquil</t>
  </si>
  <si>
    <t>MERIDIES 2021. DISEÑAR UN SISTEMA DE INFORMACIÓN PARA EL SEGUIMIENTO DE LOS COSTOS DE PRODUCCIÓN Y LA INTELIGENCIA DE MERCADO PARA LOS SISTEMAS DE PRODUCCIÓN AGROPECUARIA</t>
  </si>
  <si>
    <t>Meridies 2021. Diseñar un sistema de información para el seguimiento de los costos de producción y la inteligencia de mercado para los sistemas de producción agropecuaria</t>
  </si>
  <si>
    <t>MERIDIES 2021. IMPLEMENTACIÓN DE DIGESTORES ANAEROBIOS EN COMUNIDADES RURALES ANDINAS DE ECUADOR</t>
  </si>
  <si>
    <t>Meridies 2021. Implementación de digestores anaerobios en comunidades rurales andinas de ecuador</t>
  </si>
  <si>
    <t>MERIDIES 2021 RESCUE - RECICLAJE RESPONSABLE Y SOSTENIBLE DE RESIDUOS DE APARATOS ELÉCTRICOS Y ELECTRÓNICOS (RAEE) EN CUENCA-ECUADOR</t>
  </si>
  <si>
    <t>Meridies 2021 rescue - reciclaje responsable y sostenible de residuos de aparatos eléctricos y electrónicos (raee) en cuenca-ecuador</t>
  </si>
  <si>
    <t>MERIDIES 2021. APOYO AL DESARROLLO DE PROYECTOS DE INVESTIGACIÓN CENTRADOS EN EL USO DE TÉCNICAS DE TELEDETECCIÓN E INGENIERÍA PARA LOS RECURSOS HÍDRICOS</t>
  </si>
  <si>
    <t>Meridies 2021. Apoyo al desarrollo de proyectos de investigación centrados en el uso de técnicas de teledetección e ingeniería para los recursos hídricos</t>
  </si>
  <si>
    <t>MERIDIES 2021 APOYO AL DESARROLLO DE PROYECTOS DE INVESTIGACIÓN CENTRADOS EN EL USO DE TÉCNICAS DE TELEDETECCIÓN E INGENIERÍA PARA RECURSOS HÍDRICOS II</t>
  </si>
  <si>
    <t>Meridies 2021 apoyo al desarrollo de proyectos de investigación centrados en el uso de técnicas de teledetección e ingeniería para recursos hídricos ii</t>
  </si>
  <si>
    <t>MERIDIES 2021. MEJORA DEL PROCESO DE PRODUCCIÓN DE RECETAS PARA LA PRODUCCIÓN DE CHOCOLATES Y APOYO EN LA IMPLEMENTACIÓN Y MANTENIMIENTO,</t>
  </si>
  <si>
    <t>Meridies 2021. Mejora del proceso de producción de recetas para la producción de chocolates y apoyo en la implementación y mantenimiento,</t>
  </si>
  <si>
    <t>FORTALECIMIENTO DE LA CULTURA ANCESTRAL KICHWA A TRAVÉS DEL MANEJO SOSTENIBLE DE LAS CHACRAS AGROECOLÓGICAS Y MEDICINALES Y LA PROMOCIÓN DEL SUMAK...</t>
  </si>
  <si>
    <t>Fortalecimiento de la cultura ancestral kichwa a través del manejo sostenible de las chacras agroecológicas y medicinales y la promoción del sumak...</t>
  </si>
  <si>
    <t>MÁSTER UNIVERSITARIO EN TECNOLOGÍA AMBIENTAL</t>
  </si>
  <si>
    <t>Máster universitario en tecnología ambiental</t>
  </si>
  <si>
    <t>ESTABLECIMIENTO DE 142 PARCELAS DE AGRICULTURA ORGÁNICA Y GANADERÍA MENOR EN 7 COMUNIDADES DEL ALTIPLANO ANDINO</t>
  </si>
  <si>
    <t>Establecimiento de 142 parcelas de agricultura orgánica y ganadería menor en 7 comunidades del altiplano andino</t>
  </si>
  <si>
    <t>REFORESTACIÓN FORESTAL EN ECUADOR</t>
  </si>
  <si>
    <t>Reforestación forestal en ecuador</t>
  </si>
  <si>
    <t>APOYO A LA PROTECCIÓN Y RESTAURACIÓN DEL BOSQUE TROPICAL COSTERO EN LA NUEVA ÁREA DE CONSERVACIÓN Y USO SOSTENIBLE (ACUS) DE ECUADOR</t>
  </si>
  <si>
    <t>Apoyo a la protección y restauración del bosque tropical costero en la nueva área de conservación y uso sostenible (acus) de ecuador</t>
  </si>
  <si>
    <t>MEJORA DE LA CONECTIVIDAD BIOLÓGICA EN LA CUENCA DEL RÍO PACHIJAL MEDIANTE LA RESTAURACIÓN DEL BOSQUE TROPICAL DE MONTAÑA</t>
  </si>
  <si>
    <t>Mejora de la conectividad biológica en la cuenca del río pachijal mediante la restauración del bosque tropical de montaña</t>
  </si>
  <si>
    <t xml:space="preserve">VINCULANDO EL AGRO-APRENDIZAJE PARA UN MUNDO SOSTENIBLE </t>
  </si>
  <si>
    <t xml:space="preserve">Vinculando el agro-aprendizaje para un mundo sostenible </t>
  </si>
  <si>
    <t>SECTORES DE CAFÉ Y CACAO RESILIENTES, SOSTENIBLES E INCLUSIVOS EN ECUADOR</t>
  </si>
  <si>
    <t>Sectores de café y cacao resilientes, sostenibles e inclusivos en ecuador</t>
  </si>
  <si>
    <t>PROTECCIÓN Y MANEJO DE LOS BOSQUES PARA CONSTRUIR RESILIENCIA SOCIOECOLÓGICA EN ECUADOR</t>
  </si>
  <si>
    <t>Protección y manejo de los bosques para construir resiliencia socioecológica en ecuador</t>
  </si>
  <si>
    <t xml:space="preserve">CONSOLIDANDO PAISAJES VIVOS SOSTENIBLES EN ECUADOR </t>
  </si>
  <si>
    <t xml:space="preserve">Consolidando paisajes vivos sostenibles en ecuador </t>
  </si>
  <si>
    <t>SUPERVISIÓN COMUNITARIA PARA EL MONITOREO SOCIOECOLÓGICO EN EL TERRITORIO WAORANI: DESARROLLO DE UNA PLATAFORMA DE TOMA DE DECISIONES</t>
  </si>
  <si>
    <t>Supervisión comunitaria para el monitoreo socioecológico en el territorio waorani: desarrollo de una plataforma de toma de decisiones</t>
  </si>
  <si>
    <t>REVERTIR EL DECLIVE DE LAS ESPECIES EN PELIGRO DE EXTINCIÓN Y FORTALECER LA CONSERVACIÓN EN EL PACÍFICO TROPICAL ORIENTAL</t>
  </si>
  <si>
    <t>Revertir el declive de las especies en peligro de extinción y fortalecer la conservación en el pacífico tropical oriental</t>
  </si>
  <si>
    <t>BEZOS EARTH FUND</t>
  </si>
  <si>
    <t>CREACIÓN DE LA MAYOR ÁREA MARINA PROTEGIDA MULTINACIONAL DEL MUNDO</t>
  </si>
  <si>
    <t>Creación de la mayor área marina protegida multinacional del mundo</t>
  </si>
  <si>
    <t>PROGRAMA INTEGRAL DE VIALIDAD, MOVILIDAD, AGUA POTABLE Y ALCANTARILLADO EN LAS ZONAS POPULARES DEL SECTOR URBANO DE LA CIUDAD DE GUAYAQUIL</t>
  </si>
  <si>
    <t>Programa integral de vialidad, movilidad, agua potable y alcantarillado en las zonas populares del sector urbano de la ciudad de guayaquil</t>
  </si>
  <si>
    <t>CAF PPSA: DISEÑOS DE AGUA, ALCANTARILLADO Y DRENAJE PARA CIUDAD DE DIOS, Y ALCANTARILLADO, DRENAJE Y TRATAMIENTO DE AGUAS RESIDUALES PARA MONTE SINAÍ</t>
  </si>
  <si>
    <t>Caf ppsa: diseños de agua, alcantarillado y drenaje para ciudad de dios, y alcantarillado, drenaje y tratamiento de aguas residuales para monte sinaí</t>
  </si>
  <si>
    <t>APOYO BILATERAL A LA IMPLEMENTACIÓN DE LAS CONTRIBUCIONES DETERMINADAS A NIVEL NACIONAL Y GOBERNANZA CLIMÁTICA EN LA ALIANZA DEL PACÍFICO / BILATERAL SUPPORT FOR THE IMPLEMENTATION OF THE</t>
  </si>
  <si>
    <t>Apoyo bilateral a la implementación de las contribuciones determinadas a nivel nacional y gobernanza climática en la alianza del pacífico / bilateral support for the implementation of the</t>
  </si>
  <si>
    <t>ALIMENTOS PARA LA VIDA: AYUDANDO A LOS AGRICULTORES ANDINOS A SER PIONEROS EN LA AGRICULTURA REGENERATIVA Y LA ALIMENTACIÓN PARA MEJORAR LA SALUD, LA EQUIDAD SOCIAL Y RESTAURAR LOS ECOSISTEMAS</t>
  </si>
  <si>
    <t>Alimentos para la vida: ayudando a los agricultores andinos a ser pioneros en la agricultura regenerativa y la alimentación para mejorar la salud, la equidad social y restaurar los ecosistemas</t>
  </si>
  <si>
    <t>FUNDACIÓN EKORURAL</t>
  </si>
  <si>
    <t>INVESTIGACIÓN COLABORATIVA MULTIACTOR PARA AVANZAR EN LA TRANSFORMACIÓN DE LOS SISTEMAS ALIMENTARIOS EN AMÉRICA LATINA Y EL CARIBE</t>
  </si>
  <si>
    <t>Investigación colaborativa multiactor para avanzar en la transformación de los sistemas alimentarios en américa latina y el caribe</t>
  </si>
  <si>
    <t>Indicador Métrico ValorPersonas beneficiadas con soluciones de saneamiento # 1,027,500Personas que viven en barrios beneficiados por mejoras en el medio ambiente de su hábitat # 27,500Carreteras construidas, mejoradas y/o rehabilitadas km 54.52Ahorro en tiempos de viaje (minutos) minutos 21Vías urbanas construidas, mejoradas y/o rehabilitadas km 54.52Tuberías de agua potable instaladas km 69.28Nuevas conexiones de agua potable # 3,060Redes de alcantarillado construidas o mejoradas km 1.62Superficie Mejorado m2 urbano 327,685Personas beneficiados con una nueva o mejorada conexión de agua potable y/o alcantarillado # 483,103</t>
  </si>
  <si>
    <t>FUTUROS URBANOS: ACCIÓN DE LOS JÓVENES PARA SISTEMAS ALIMENTARIOS URBANOS INCLUSIVOS Y RESILIENTES AL CLIMA</t>
  </si>
  <si>
    <t>Futuros urbanos: acción de los jóvenes para sistemas alimentarios urbanos inclusivos y resilientes al clima</t>
  </si>
  <si>
    <t>BOTNAR FOUNDATION</t>
  </si>
  <si>
    <t>OURCITY: MANTA</t>
  </si>
  <si>
    <t>Ourcity: manta</t>
  </si>
  <si>
    <t>PROTECCIÓN DEL MEDIO AMBIENTE, EDUCACIÓN Y FORMACIÓN GENERAL SOBRE EL MEDIO AMBIENTE</t>
  </si>
  <si>
    <t>Protección del medio ambiente, educación y formación general sobre el medio ambiente</t>
  </si>
  <si>
    <t>INVESTIGACIÓN CIENTÍFICA Y TECNOLÓGICA EN EL ÁMBITO DEL MEDIO AMBIENTE</t>
  </si>
  <si>
    <t>Investigación científica y tecnológica en el ámbito del medio ambiente</t>
  </si>
  <si>
    <t>INSTITUTO FRANCÉS DE INVESTIGACIÓN PARA EL DESARROLLO IRD</t>
  </si>
  <si>
    <t>BIOECONOMÍA PRPP</t>
  </si>
  <si>
    <t>Bioeconomía prpp</t>
  </si>
  <si>
    <t>FRENCH DEVELOPMENT AGENCY</t>
  </si>
  <si>
    <t>Lograr esto a través de colaboraciones de múltiples partes interesadas e innovaciones de propiedad local</t>
  </si>
  <si>
    <t>AGRICULTURA ORGÁNICA DE GUAYUSA (ILEX-WAIS) Y AJA SHUAR</t>
  </si>
  <si>
    <t>Agricultura orgánica de guayusa (ilex-wais) y aja shuar</t>
  </si>
  <si>
    <t>MINISTERIO FEDERAL DE ASUNTOS EXTERIORES DE ALEMANIA</t>
  </si>
  <si>
    <t>Se espera generar oportunidades para los jóvenes a través de acciones colectivas de múltiples actores, nuevas tecnologías y herramientas digitales que permitan el acceso a una educación de calidad, participación y empoderamiento, incidencia en la toma de decisiones, desarrollo de habilidades profesionales y técnicas, co-creando una ciudad sostenible, inclusiva e innovadora, con espacios públicos seguros en Manta y que aborde desafíos globales como el cambio climático.</t>
  </si>
  <si>
    <t>CAFÉS CIENTÍFICOS EN ECUADOR</t>
  </si>
  <si>
    <t>Cafés científicos en ecuador</t>
  </si>
  <si>
    <t>MEJORAMIENTO DE LOS SISTEMAS REGIONALES DE PRODUCCIÓN Y COMERCIALIZACIÓN AGROECOLÓGICA EN ECUADOR</t>
  </si>
  <si>
    <t>Mejoramiento de los sistemas regionales de producción y comercialización agroecológica en ecuador</t>
  </si>
  <si>
    <t>PROMOCIÓN DE LA IDENTIDAD CULTURAL, PROTECCIÓN DEL HÁBITAT NATURAL Y SEGURIDAD ALIMENTARIA EN LAS PARROQUIAS DE TARQUI Y VERACRUZ, ECUADOR</t>
  </si>
  <si>
    <t>Promoción de la identidad cultural, protección del hábitat natural y seguridad alimentaria en las parroquias de tarqui y veracruz, ecuador</t>
  </si>
  <si>
    <t>La mencionada estrategia debe establecer mecanismos para fortalecer los esquemas de conservación vigentes en el país, como el Sistema Nacional de Áreas Protegidas (SNAP), el Programa Socio Bosque, planes de acción para la conservación de ciertas especies, entre otros. Además, se deben incorporar salvaguardas ambientales y sociales en el marco regulatorio para la promoción de proyectos de bioeconomía, de manera que la bioeconomía no replique los problemas de una economía tradicional.</t>
  </si>
  <si>
    <t>PROTECCIÓN Y MANEJO SOSTENIBLE DE LOS ECOSISTEMAS EN LOS ANDES</t>
  </si>
  <si>
    <t>Protección y manejo sostenible de los ecosistemas en los andes</t>
  </si>
  <si>
    <t>SEGURIDAD ALIMENTARIA Y REDUCCIÓN DE LA VULNERABILIDAD DE LAS COMUNIDADES AGRÍCOLAS INDÍGENAS DEL MUNICIPIO DE PELILEO EN ECUADOR</t>
  </si>
  <si>
    <t>Seguridad alimentaria y reducción de la vulnerabilidad de las comunidades agrícolas indígenas del municipio de pelileo en ecuador</t>
  </si>
  <si>
    <t>EL PROYECTO DE MEJORA DE LA PLANTA DE TRATAMIENTO DE AGUAS RESIDUALES</t>
  </si>
  <si>
    <t>El proyecto de mejora de la planta de tratamiento de aguas residuales</t>
  </si>
  <si>
    <t>EL PROYECTO DE CONSTRUCCIÓN DE SISTEMA DE ABASTECIMIENTO DE AGUA POTABLE EN EL SECTOR DE SAN LUIS DE TUPIGACHI</t>
  </si>
  <si>
    <t>El proyecto de construcción de sistema de abastecimiento de agua potable en el sector de san luis de tupigachi</t>
  </si>
  <si>
    <t>FORTALECIMIENTO DE CAPACIDADES PARA EL MANTENIMIENTO DE PLANTAS DE ENERGÍA RENOVABLE (ECUADOR)(2022)</t>
  </si>
  <si>
    <t>Fortalecimiento de capacidades para el mantenimiento de plantas de energía renovable (ecuador)(2022)</t>
  </si>
  <si>
    <t>PROGRAMA DE FORTALECIMIENTO DE CAPACIDADES EN EL USO SOSTENIBLE DE RESIDUOS DE BIOMASA MEDIANTE LA APLICACIÓN DE PROCESOS TÉRMICOS, ECUADOR(2022)</t>
  </si>
  <si>
    <t>Programa de fortalecimiento de capacidades en el uso sostenible de residuos de biomasa mediante la aplicación de procesos térmicos, ecuador(2022)</t>
  </si>
  <si>
    <t>PROGRAMA DE MAESTRÍA EN FORTALECIMIENTO DE CAPACIDADES PARA LA RESPUESTA AL CAMBIO CLIMÁTICO (2022)</t>
  </si>
  <si>
    <t>Programa de maestría en fortalecimiento de capacidades para la respuesta al cambio climático (2022)</t>
  </si>
  <si>
    <t>KOREA INTERNATIONAL COOPERATION AGENCY</t>
  </si>
  <si>
    <t>CIENCIA Y SABER INDÍGENA POR LA AMAZONÍA</t>
  </si>
  <si>
    <t>Ciencia y saber indígena por la amazonía</t>
  </si>
  <si>
    <t>EN APOYO DE LA INVESTIGACIÓN Y EL DESARROLLO DE UNA APLICACIÓN MÓVIL PILOTO QUE PERMITA A LOS PEQUEÑOS AGRICULTORES HACER UN SEGUIMIENTO DE SUS PRÁCTICAS ORGÁNICAS Y REGENERATIVAS</t>
  </si>
  <si>
    <t>En apoyo de la investigación y el desarrollo de una aplicación móvil piloto que permita a los pequeños agricultores hacer un seguimiento de sus prácticas orgánicas y regenerativas</t>
  </si>
  <si>
    <t>ROCKEFELLER FOUNDATION</t>
  </si>
  <si>
    <t>BECA MASTER FUNDACIÓN CAROLINA. CURSO 2022/2023: BECA PARA EL MÁSTER UNIVERSITARIO EN PLANIFICACIÓN Y GESTIÓN DE RIESGOS NATURALES</t>
  </si>
  <si>
    <t>Beca master fundación carolina. Curso 2022/2023: beca para el máster universitario en planificación y gestión de riesgos naturales</t>
  </si>
  <si>
    <t>BECA MASTER FUNDACIÓN CAROLINA. CURSO 2022/2023: BECA PARA EL MÁSTER UNIVERSITARIO EN GESTIÓN SOSTENIBLE Y TECNOLOGÍAS DEL AGUA</t>
  </si>
  <si>
    <t>Beca master fundación carolina. Curso 2022/2023: beca para el máster universitario en gestión sostenible y tecnologías del agua</t>
  </si>
  <si>
    <t>MÁSTER UNIVERSITARIO EN AGROECOLOGÍA. UNA APROXIMACIÓN A LA SOSTENIBILIDAD RURAL</t>
  </si>
  <si>
    <t>Máster universitario en agroecología. Una aproximación a la sostenibilidad rural</t>
  </si>
  <si>
    <t>CONVOCATORIA PROPIA- ACCIÓN DE TRANSFERENCIA DE CONOCIMIENTO AL INSTITUTO DE INVESTIGACIONES GEOLÓGICAS Y ENERGÉTICAS DEL ECUADOR (IIGE).</t>
  </si>
  <si>
    <t>Convocatoria propia- acción de transferencia de conocimiento al instituto de investigaciones geológicas y energéticas del ecuador (iige).</t>
  </si>
  <si>
    <t>PURIFICACIÓN DEL AGUA A TRAVÉS DE UNA INNOVADORA MEMBRANA ELECTROHILADA.</t>
  </si>
  <si>
    <t>Purificación del agua a través de una innovadora membrana electrohilada.</t>
  </si>
  <si>
    <t>ECUADOR 2022 ESTUDIO DE I+D+I PARA LA IMPLEMENTACIÓN DE UN SISTEMA GEOTÉRMICO-SOLAR FASE 2</t>
  </si>
  <si>
    <t>Ecuador 2022 estudio de i+d+i para la implementación de un sistema geotérmico-solar fase 2</t>
  </si>
  <si>
    <t>ECUADOR 2022 ESTUDIO DE BIOETANOL DE RESIDUOS LIGNOCELULÓSICOS FASE 2</t>
  </si>
  <si>
    <t>Ecuador 2022 estudio de bioetanol de residuos lignocelulósicos fase 2</t>
  </si>
  <si>
    <t>GESTIÓN INTEGRAL E INTEGRADA DE LA CUENCA HIDROGRÁFICA DEL RÍO CHAMBO - ECUADOR</t>
  </si>
  <si>
    <t>Gestión integral e integrada de la cuenca hidrográfica del río chambo - ecuador</t>
  </si>
  <si>
    <t>PERFORACIÓN DE UN POZO DE AGUA POTABLE EN LA COMUNIDAD INDÍGENA DE CALIATA, EN LA PROVINCIA DE CHIMBORAZO, ECUADOR</t>
  </si>
  <si>
    <t>Perforación de un pozo de agua potable en la comunidad indígena de caliata, en la provincia de chimborazo, ecuador</t>
  </si>
  <si>
    <t>PROYECTO DE SEMILLAS: VALOR NUTRICIONAL EN CULTIVOS LOCALES DE QUINUA (CHENOPODIUM QUINOA) ADAPTADOS A LA SEQUÍA EN ECUADOR.</t>
  </si>
  <si>
    <t>Proyecto de semillas: valor nutricional en cultivos locales de quinua (chenopodium quinoa) adaptados a la sequía en ecuador.</t>
  </si>
  <si>
    <t>FORTALECIMIENTO DE LAS LÍNEAS DE INVESTIGACIÓN AMBIENTAL DE LA UNACH PARA EL MANEJO DE ECOSISTEMAS CONTAMINADOS EN ECUADOR: ANÁLISIS DE SUELOS Y...</t>
  </si>
  <si>
    <t>Fortalecimiento de las líneas de investigación ambiental de la unach para el manejo de ecosistemas contaminados en ecuador: análisis de suelos y...</t>
  </si>
  <si>
    <t>PROYECTO DE INVESTIGACIÓN PARA LA GENERACIÓN DE INFORMACIÓN RELEVANTE PARA LA GESTIÓN DE LOS RECURSOS HÍDRICOS EN CUENCA (PERÚ)</t>
  </si>
  <si>
    <t>Proyecto de investigación para la generación de información relevante para la gestión de los recursos hídricos en cuenca (perú)</t>
  </si>
  <si>
    <t>MEJORAMIENTO DEL PROCESO DE PRODUCCIÓN DE CHOCOLATE Y APOYO A LA IMPLEMENTACIÓN Y MANTENIMIENTO DE HUERTOS ORGÁNICOS EN LA FINCA EXPERIMENTAL EL TIGRE</t>
  </si>
  <si>
    <t>Mejoramiento del proceso de producción de chocolate y apoyo a la implementación y mantenimiento de huertos orgánicos en la finca experimental el tigre</t>
  </si>
  <si>
    <t>: FORTALECIENDO LAS CAPACIDADES DE LOS ACTORES DEL NORTE AMAZÓNICO ECUATORIANO PARA EL EJERCICIO DE LA DH AL AGUA EN UN ESCENARIO DE COVID-19 A TRAVÉS</t>
  </si>
  <si>
    <t>: fortaleciendo las capacidades de los actores del norte amazónico ecuatoriano para el ejercicio de la dh al agua en un escenario de covid-19 a través</t>
  </si>
  <si>
    <t>FORTALECIMIENTO DE CAPACIDADES TÉCNICAS EN PRODUCCIÓN AGROECOLÓGICA Y NUTRICIÓN SALUDABLE DE MUJERES RURALES E INDÍGENAS DE BARRIOS EMPOBRECIDOS</t>
  </si>
  <si>
    <t>Fortalecimiento de capacidades técnicas en producción agroecológica y nutrición saludable de mujeres rurales e indígenas de barrios empobrecidos</t>
  </si>
  <si>
    <t>Soberanía Alimentaria</t>
  </si>
  <si>
    <t>MUJERES LIDERANDO LA PRODUCCIÓN RESILIENTE AL CAMBIO CLIMÁTICO Y LA GESTIÓN SOSTENIBLE</t>
  </si>
  <si>
    <t>Mujeres liderando la producción resiliente al cambio climático y la gestión sostenible</t>
  </si>
  <si>
    <t>COMUNIDAD VALENCIANA</t>
  </si>
  <si>
    <t>DERECHOS, EQUIDAD Y MEDIOS DE VIDA SOSTENIBLES EN LOS FRÁGILES ECOSISTEMAS DE LOS BOSQUES SECOS TROPICALES. MANABÍ-ECUADOR</t>
  </si>
  <si>
    <t>Derechos, equidad y medios de vida sostenibles en los frágiles ecosistemas de los bosques secos tropicales. Manabí-ecuador</t>
  </si>
  <si>
    <t>Asentamientos humanos regulares</t>
  </si>
  <si>
    <t>CONSERVACIÓN DEL MEDIO AMBIENTE Y TRANSICIÓN ECOLÓGICA A TRAVÉS DEL TURISMO, LAS BIOEMPRESAS Y LA GESTIÓN</t>
  </si>
  <si>
    <t>Conservación del medio ambiente y transición ecológica a través del turismo, las bioempresas y la gestión</t>
  </si>
  <si>
    <t>HACIA UNA TRANSICIÓN ECOLÓGICA JUSTA EN LOS SECTORES MINERO, ENERGÉTICO Y AGROPECUARIO DE LOS PAÍSES ANDINOS</t>
  </si>
  <si>
    <t>Hacia una transición ecológica justa en los sectores minero, energético y agropecuario de los países andinos</t>
  </si>
  <si>
    <t>PROCESOS INDUSTRIALES</t>
  </si>
  <si>
    <t>Industria de los metales</t>
  </si>
  <si>
    <t>MEJORAR EL ABASTECIMIENTO DE AGUA POTABLE Y LAS CONDICIONES DE SALUD, PROMOVIENDO ESTRATEGIAS DE GOBERNANZA CON ENFOQUE DE GÉNERO Y AMBIENTAL EN LAS COMUNIDADES RURALES</t>
  </si>
  <si>
    <t>Mejorar el abastecimiento de agua potable y las condiciones de salud, promoviendo estrategias de gobernanza con enfoque de género y ambiental en las comunidades rurales</t>
  </si>
  <si>
    <t>CONSTRUIR CON EQUIDAD, MEDIOS DE VIDA RESILIENTES Y SOSTENIBLES EN LOS FRÁGILES ECOSISTEMAS DEL BOSQUE SECO TROPICAL. MANABÍ-ECUADOR</t>
  </si>
  <si>
    <t>Construir con equidad, medios de vida resilientes y sostenibles en los frágiles ecosistemas del bosque seco tropical. Manabí-ecuador</t>
  </si>
  <si>
    <t>LA EQUIDAD DE GÉNERO COMO CLAVE PARA LA SOSTENIBILIDAD EN LA PESCA ARTESANAL DEL ECUADOR (EMEP)</t>
  </si>
  <si>
    <t>La equidad de género como clave para la sostenibilidad en la pesca artesanal del ecuador (emep)</t>
  </si>
  <si>
    <t>UICN-AMÉRICA LATINA REGIONAL</t>
  </si>
  <si>
    <t>Uicn-américa latina regional</t>
  </si>
  <si>
    <t>INTERNATIONAL UNION FOR THE CONSERVATION OF NATURE</t>
  </si>
  <si>
    <t>SWEDISH INTERNATIONAL DEVELOPMENT AUTHORITY</t>
  </si>
  <si>
    <t>SALVAR LA NATURALEZA EMPODERANDO A LAS PERSONAS Y MEJORANDO LOS MEDIOS DE VIDA EN AMÉRICA LATINA</t>
  </si>
  <si>
    <t>Salvar la naturaleza empoderando a las personas y mejorando los medios de vida en américa latina</t>
  </si>
  <si>
    <t>IMPLEMENTACIÓN DE BIOLAND. REPLANTACIÓN DE VARIEDADES VEGETALES AUTÓCTONAS Y REFORESTACIÓN.</t>
  </si>
  <si>
    <t>Implementación de bioland. Replantación de variedades vegetales autóctonas y reforestación.</t>
  </si>
  <si>
    <t>AGRICULTURA LIBRE DE FUEGO ECUADOR</t>
  </si>
  <si>
    <t>Agricultura libre de fuego ecuador</t>
  </si>
  <si>
    <t>2022-2027</t>
  </si>
  <si>
    <t>ASISTENCIA TÉCNICA - MODERNIZACIÓN DIGITAL DE LA TRANSMISIÓN DE ENERGÍA ELÉCTRICA, A TRAVÉS DE LA EMPRESA - ESTADOS UNIDOS DESCONOCIDO</t>
  </si>
  <si>
    <t>Asistencia técnica - modernización digital de la transmisión de energía eléctrica, a través de la empresa - estados unidos desconocido</t>
  </si>
  <si>
    <t>TRADE AND DEVELOPMENT AGENCY</t>
  </si>
  <si>
    <t>ECUADOR RECUPERACIÓN VERDE Y RESILIENTE (EGARR) DPF</t>
  </si>
  <si>
    <t>Ecuador recuperación verde y resiliente (egarr) dpf</t>
  </si>
  <si>
    <t>2022-2023</t>
  </si>
  <si>
    <t>PROYECTO ECU PROMESA CLIMÁTICA</t>
  </si>
  <si>
    <t>Proyecto ecu promesa climática</t>
  </si>
  <si>
    <t>SEGUNDA CONTRIBUCIÓN DETERMINADA A NIVEL NACIONAL - NDC - FAO</t>
  </si>
  <si>
    <t>Segunda contribución determinada a nivel nacional - ndc - fao</t>
  </si>
  <si>
    <t>ORGANIZACIÓN DE LAS NACIONES UNIDAS PARA LA ALIMENTACIÓN Y LA AGRICULTURA-FAO</t>
  </si>
  <si>
    <t>Ampliar los esfuerzos del Servicio Forestal para mejorar las políticas y prácticas forestales a nivel internacional, abordar el cambio climático, conservar y proteger los entornos y recursos forestales mundiales críticos, y mejorar la vida de los pueblos que dependen de los bosques mediante la concesión de subvenciones y la celebración de acuerdos de cooperación con organizaciones sin fines de lucro, organizaciones multilaterales y otros individuos, organizaciones, instituciones y gobiernos dedicados a la conservación y gestión forestal.</t>
  </si>
  <si>
    <t>PROYECTO LEY ORGÁNICA DE CAMBIO CLIMÁTICO</t>
  </si>
  <si>
    <t>Proyecto ley orgánica de cambio climático</t>
  </si>
  <si>
    <t>GLOBAL FACTOR</t>
  </si>
  <si>
    <t>FUNDACIÓN INTERNACIONAL Y PARA IBEROAMÉRICA DE ADMINISTRACIÓN Y POLÍTICAS PÚBLICAS - FIIAPP</t>
  </si>
  <si>
    <t>PLAN NACIONAL DE MITIGACIÓN DEL CAMBIO CLIMÁTICO - PLANMICC</t>
  </si>
  <si>
    <t>Plan nacional de mitigación del cambio climático - planmicc</t>
  </si>
  <si>
    <t>FONDO DE INVERSIÓN AMBIENTAL SOSTENIBLE (FIAS)</t>
  </si>
  <si>
    <t>Esta operación busca ayudar al gobierno en su agenda para abordar desafíos estructurales seleccionados para fomentar el crecimiento, la inclusión, la creación de empleo y la resiliencia climática, fortalecer el desarrollo bajo en carbono y ayudar a cumplir su compromiso de ser carbono neutral para 2050.</t>
  </si>
  <si>
    <t>PLAN NACIONAL DE ADAPTACIÓN AL CAMBIO CLIMÁTICO - PNA</t>
  </si>
  <si>
    <t>Plan nacional de adaptación al cambio climático - pna</t>
  </si>
  <si>
    <t>1) 550 empresas miembros del PECC y 26 organizaciones registradas en el Acelerador de Carbono2) Cumplimentación de los memorandos metodológicos 1 y 2 de la NDC3) Desarrollo de Rutas Sectoriales (Patrimonio Hídrico, Sectores Estratégicos y Soberanía Alimentaria, Agricultura)4) 7 Comunidades beneficiadas con Pueblos y Nacionalidades Indígenas</t>
  </si>
  <si>
    <t>PROMOVIENDO EL MANEJO INTEGRADO DE PAISAJES PARA MEDIOS DE VIDA SOSTENIBLES EN LOS ANDES ECUATORIANOS - PAISAJES ANDINOS</t>
  </si>
  <si>
    <t>Promoviendo el manejo integrado de paisajes para medios de vida sostenibles en los andes ecuatorianos - paisajes andinos</t>
  </si>
  <si>
    <t xml:space="preserve">Los resultados y productos alcanzados son: 4 nuevas iniciativas que se incorporaron a la Primera NDC 2020-2025.Metodologías sectoriales para la formulación de la Segunda NDC con enfoque de género e interseccionalidad en el desarrollo. Priorización de las Iniciativas recibidas para la Segunda NDC de los sectores Agricultura, USCUSS, Patrimonio Natural, Patrimonio Hídrico, Asentamientos Humanos, Medios de Implementación Estructuración del Documento NDC.                          </t>
  </si>
  <si>
    <t>CONSERVACIÓN Y USO SOSTENIBLE DE ECOSISTEMAS DE MONTAÑA - GIZ MONTAÑAS</t>
  </si>
  <si>
    <t>Conservación y uso sostenible de ecosistemas de montaña - giz montañas</t>
  </si>
  <si>
    <t>AGENCIA ALEMANA DE COOPERACIÓN INTERNACIONAL  GIZ</t>
  </si>
  <si>
    <t>2022-2026</t>
  </si>
  <si>
    <t>Se realizaron 5 talleres participativos de construcción con la participación de actores públicos (miembros de la CCPI y otros), actores privados, academia, sociedad civil y organizaciones sociales. Existe un anteproyecto de ley, en el que todavía se está trabajando.</t>
  </si>
  <si>
    <t>PROYECTO READINESS INCREMENTO DE LA RESILIENCIA A TRAVÉS DE SOLUCIONES BASADAS EN LA NATURALEZA EN LAS CIUDADES LATINOAMERICANAS (NATURE4CITIES)</t>
  </si>
  <si>
    <t>Proyecto readiness incremento de la resiliencia a través de soluciones basadas en la naturaleza en las ciudades latinoamericanas (nature4cities)</t>
  </si>
  <si>
    <t>ONU MEDIO AMBIENTE LAC</t>
  </si>
  <si>
    <t>La formulación del PLANMICC se ha llevado a cabo a través de un proceso de co-construcción, con la participación de actores del gobierno central, gobiernos subnacionales (provinciales y municipales), academia, sector privado, cooperación internacional y sociedad civil. A lo largo del proceso que inició en 2021, se han realizado más de 28 talleres y eventos, donde se han inscrito más de 1.000 participantes de diferentes instituciones. Para establecer el escenario plausible de reducción de emisiones de GEI, denominado "Compromiso Climático 2070", se utilizó el modelo osemosys-Ec, acompañado de la metodología de Toma de Decisiones Robustas, con el fin de reducir las incertidumbres inherentes a la planificación a largo plazo. Se estableció la visión nacional de descarbonización con un horizonte temporal hasta 2070, la cual está alineada con el Compromiso Climático 2070.</t>
  </si>
  <si>
    <t>PROGRAMA REGIONAL ESCALANDO MEDIDAS DE ADAPTACIÓN BASADA EN ECOSISTEMAS EN AMÉRICA LATINA RURAL (ECUADOR, COSTA RICA, GUATEMALA)</t>
  </si>
  <si>
    <t>Programa regional escalando medidas de adaptación basada en ecosistemas en américa latina rural (ecuador, costa rica, guatemala)</t>
  </si>
  <si>
    <t>GIZ EN CONSORCIO CON UICN Y CATIE</t>
  </si>
  <si>
    <t>PROYECTO READINESS "DESARROLLO DE UN MARCO DE GOBERNANZA EFECTIVO PARA LA IMPLEMENTACIÓN DE LA NDC EN LOS SECTORES DE SALUD, SEGURIDAD ALIMENTARIA E HÍDRICA EN ECUADOR"</t>
  </si>
  <si>
    <t>Proyecto readiness "desarrollo de un marco de gobernanza efectivo para la implementación de la ndc en los sectores de salud, seguridad alimentaria e hídrica en ecuador"</t>
  </si>
  <si>
    <t>2023-2024</t>
  </si>
  <si>
    <t xml:space="preserve">5 491 ha en agricultura sostenible11 423 ha con prácticas ganaderas sostenibles110 914 ha en conservación2 774 ha en restauración2931 productores con asistencia técnica11 convenios de cooperación firmados con gobiernos locales15 juntas de agua en procesos de legalización 7 herramientas técnicas generadas en comités técnicosFondo ambiental del CotopaxiPlan de manejo del APH simiatugOrdenanza de árboles patrimoniales La ManaOrdenanza para promover la producción agroecológica del CotopaxiOrdenanza para la protección,  restauración y cuidado del ecosistema Páramo - GuarandaPlan de Acción Nacional PáramoGuía del plan de manejo forestal4 Planes de negocio en ejecuciónInforme de análisis de implicaciones y riesgos; e, identificación de brechas clave derivadas de la nueva normativa europea para el sector de productos orgánicos en la oferta exportable desde EcuadorProyecto de Ley para la creación, estructuración, funcionamiento y financiamiento de las Organizaciones de las Cadenas Agroalimentarias </t>
  </si>
  <si>
    <t>POTENCIANDO LAS CAPACIDADES DEL BANCO DE DESARROLLO DE ECUADOR B.P. (BDE) PARA APOYAR SU ACREDITACIÓN AL FONDO VERDE PARA EL CLIMA</t>
  </si>
  <si>
    <t>Potenciando las capacidades del banco de desarrollo de ecuador b.p. (bde) para apoyar su acreditación al fondo verde para el clima</t>
  </si>
  <si>
    <t>INSTITUTO INTERAMERICANO DE COOPERACIÓN PARA LA AGRICULTURA-IICA</t>
  </si>
  <si>
    <t xml:space="preserve">- Mejoras en 6 Cadenas de Valor (leche. Queso, quinua, miel, fibra de alpaca, turismo) alrededor de un total de 25 asociaciones con 1631 socios (623 mujeres, 1008 hombres) y 512 proveedores.- 5 contratos de cooperación con el sector privado (PPP) en implementación en torno a mejoras en las Cadenas de Valor de leche, especias, curtiembres.- Más de 1790 ha de páramos bajo medidas de restauración.- 1 nueva APH creada (APH Retén Ichubamba)- Se promueven mecanismos e instrumentos locales de financiamiento para la restauración en las provincias de Bolívar y Cañar- 10 Fortalecido y mecanismos operativos de planificación local (7 instrumentos de planificación construidos de manera participativa)- 1 sistema de monitoreo local en coordinación con la academia en implementación en Sierra Centro; 1 sistema de monitoreo local en construcción en Cañar.- Aportes a la implementación de la primera NDC realizada (Puesto de Control APH Ichubamba, Área de Restauración La Capilla, Aportes a la Política Pública del sector PN en relación al PAN-P y los Lineamientos para la Restauración de Paisajes Altoandinos, Nueva Escuela de Contribución de Restauración)- 1 Comunidad de Práctica "Minga de la Montaña" fortalecida y operativa,   se desarrollaron más de 15 mingas locales y se integró en el MAATE un modelo de mesas técnicas para el desarrollo del PAN-P. </t>
  </si>
  <si>
    <t>IMPLEMENTACIÓN Y FINANCIAMIENTO DE LA ADAPTACIÓN BASADA EN ECOSISTEMAS (ABE) POR PARTE DEL SECTOR AGROALIMENTARIO PARA REDUCIR EL RIESGO CLIMÁTICO Y LOS IMPACTOS AMBIENTALES EN AMÉRICA LATINA-PAISAJES FUTUROS</t>
  </si>
  <si>
    <t>Implementación y financiamiento de la adaptación basada en ecosistemas (abe) por parte del sector agroalimentario para reducir el riesgo climático y los impactos ambientales en américa latina-paisajes futuros</t>
  </si>
  <si>
    <t>THE NATURE CONSERVANCY TNC</t>
  </si>
  <si>
    <t>Productos disponibles en: cityadapt.com/country/ecuador/</t>
  </si>
  <si>
    <t>MOVILIZACIÓN DE FINANCIAMIENTO CLIMÁTICO INTERNACIONAL E INVERSIONES PRIVADAS PARA UN DESARROLLO RESILIENTE AL CLIMA Y BAJO EN CARBONO EN ECUADOR</t>
  </si>
  <si>
    <t>Movilización de financiamiento climático internacional e inversiones privadas para un desarrollo resiliente al clima y bajo en carbono en ecuador</t>
  </si>
  <si>
    <t>INSTITUTO GLOBAL PARA EL CRECIMIENTO VERDE-GGGI</t>
  </si>
  <si>
    <t>Programa de Asistencia Técnica3 políticas nacionales 1 política subnacional/local10 se implementan medidas de adaptación para fortalecer la resiliencia climática en 308 hectáreas. 950 personas con las que trabajamos directamente, beneficiando alrededor de 3800 personas7 viveros, 30 hectáreas reforestadas.8 jornadas de reforestación5840 especies de bosque nativo y 11000 árboles frutales plantados.8037 especies nativas en coproducción entre silvicultura, frutales y cacao con la red de viveros3 mecanismos financieros para la adaptación al cambio climático.</t>
  </si>
  <si>
    <t xml:space="preserve">GESTIÓN DEL RIESGO CLIMÁTICO PARA LOS SECTORES HÍDRICO, SOBERANÍA ALIMENTARIA, AGRICULTURA, GANADERÍA, ACUACULTURA Y PESCA (SAG) Y FRANJA MARINO-COSTERA DEL ECUADOR </t>
  </si>
  <si>
    <t xml:space="preserve">Gestión del riesgo climático para los sectores hídrico, soberanía alimentaria, agricultura, ganadería, acuacultura y pesca (sag) y franja marino-costera del ecuador </t>
  </si>
  <si>
    <t>FUNDACIÓN ESQUEL</t>
  </si>
  <si>
    <t>Información y reportes de cambio climático y otros asociada a la temática</t>
  </si>
  <si>
    <t xml:space="preserve">Hay avances en los entregables de los especialistas con trabajos cercanos a los puntos focales sectoriales (agua, SAG y salud).  Los estudios de consultoría muestran resultados heterogéneos, con mayor avance en consultoría de vectores y menor en consultorías 3 Planes de manejo de APH y gobernanza intersectorial. </t>
  </si>
  <si>
    <t>ASISTENCIA TÉCNICA PARA GENERAR UNA NOTA CONCEPTUAL DE ADAPTACIÓN Y UNA PROPUESTA DE PREPARACIÓN PARA FORTALECER LA PLANIFICACIÓN NACIONAL DE ADAPTACIÓN</t>
  </si>
  <si>
    <t>Asistencia técnica para generar una nota conceptual de adaptación y una propuesta de preparación para fortalecer la planificación nacional de adaptación</t>
  </si>
  <si>
    <t>La acreditación del BDE por parte del FVC ampliará la gama de oportunidades de financiamiento para proyectos de bajas emisiones y resilientes al clima, incorporando más recursos y fondos baratos a la intermediación financiera para promover el desarrollo de proyectos que acerquen al país al cumplimiento de sus contribuciones determinadas a nivel nacional.</t>
  </si>
  <si>
    <t>CONSERVACIÓN Y USO SOSTENIBLE DE LOS CULTIVOS PARIENTES SILVESTRES (CWR) Y ESPECIES SILVESTRES COMESTIBLES (EWS)</t>
  </si>
  <si>
    <t>Conservación y uso sostenible de los cultivos parientes silvestres (cwr) y especies silvestres comestibles (ews)</t>
  </si>
  <si>
    <t>La zonificación se ha realizado en base a estudios de riesgo climático tanto para la cadena de valor de la leche como para la del cacao. Hasta el momento, UNOCACE cuenta con 124 beneficiarios entre capacitación y seguimiento técnico. El proyecto desarrollará y probará 13 modelos de negocio con datos climáticos y agrícolas e implementará al menos cinco instrumentos financieros/soluciones de transferencia de riesgos financieros para permitir el financiamiento y la inversión de abe en la agricultura. Al menos 7.219 productores adoptarán estos enfoques y una plataforma de múltiples partes interesadas facilitará la coordinación público-privada de la comunidad y promoverá una rápida adopción a gran escala.</t>
  </si>
  <si>
    <t>PROGRAMA DE DESARROLLO SUSTENTABLE EN INFRAESTRUCTURA URBANA E HIDROSANITARIA PARA COMBATIR LOS EFECTOS DEL CAMBIO CLIMÁTICO EN EL CANTÓN CHONE</t>
  </si>
  <si>
    <t>Programa de desarrollo sustentable en infraestructura urbana e hidrosanitaria para combatir los efectos del cambio climático en el cantón chone</t>
  </si>
  <si>
    <t>2022-2030</t>
  </si>
  <si>
    <t>Entrega de Certificados de Participación CICC y CIFSTInforme sobre Deuda por Naturaleza/Canje ClimáticoMesa RedondaInterministerial (MAATE, MEF, MREMH)Reunión con SNP – MAATE y MEF para aprobación de observaciones finales al acuerdo ministerial sobre la mesa redonda de finanzas sosteniblesTalleres de desarrollo de capacidades ESG (2º y 3º) y entrega de certificados de participaciónAprobación de TDRS para la contratación de desarrollo de capacidades de SARAS para el BGRDentro del marco de bonos Verdes,  Sección de introducción y uso de recursosDiagnóstico de políticas, legislación y regulaciones sobre APP internacionalesMesas redondas sobre APP climáticamente inteligentes (Comité Apps-CIFST-MAATE y actores privados-bancos multilaterales)</t>
  </si>
  <si>
    <t>ECU- PACTO VERDE PARA ECUADOR: FOMENTANDO EL DESARROLLO PRODUCTIVO SOSTENIBLE Y SUS MECANISMOS DE FINANCIAMIENTO</t>
  </si>
  <si>
    <t>Ecu- pacto verde para ecuador: fomentando el desarrollo productivo sostenible y sus mecanismos de financiamiento</t>
  </si>
  <si>
    <t>2023-2025</t>
  </si>
  <si>
    <t>El 2º taller se llevó a cabo el 29 de febrero en Quito, con el fin de presentar los resultados de la modelación SWAT En cuanto</t>
  </si>
  <si>
    <t>PRD - VINCULANDO EL CAMBIO GLOBAL CON LA CONSERVACIÓN DEL SUELO Y EL AGUA EN LOS ALTOS ANDES</t>
  </si>
  <si>
    <t>Prd - vinculando el cambio global con la conservación del suelo y el agua en los altos andes</t>
  </si>
  <si>
    <t>ARES - ACADEMIE DE RECHERCHE ET D’ENSEIGNEMENT SUPERIEUR</t>
  </si>
  <si>
    <t>TRABAJO Y SALUD DE LAS MUJERES RECICLADORAS EN EL CONTEXTO DEL COVID-19 EN ECUADOR</t>
  </si>
  <si>
    <t>Trabajo y salud de las mujeres recicladoras en el contexto del covid-19 en ecuador</t>
  </si>
  <si>
    <t>UNIVERSIDAD DE CUENCA</t>
  </si>
  <si>
    <t>2022-2024</t>
  </si>
  <si>
    <t>al análisis de riesgo climático en la Franja Marino Costera, el estudio se encuentra en proceso de recopilación de información.</t>
  </si>
  <si>
    <t>ARTICULACIÓN POLÍTICA E INSTITUCIONAL PARA EL CONTROL FORESTAL, USO ADECUADO DEL SUELO Y ZONIFICACIÓN</t>
  </si>
  <si>
    <t>Articulación política e institucional para el control forestal, uso adecuado del suelo y zonificación</t>
  </si>
  <si>
    <t>MINISTERIO DE AGRICULTURA Y GANADERÍA (MAG); MAATE</t>
  </si>
  <si>
    <t>GOBERNANZA MANCOMUNADA PARA LA CONSTRUCCIÓN DE TERRITORIOS RESILIENTES EN PAISAJES FORESTALES EN LOS ANDES OCCIDENTALES DEL ECUADOR</t>
  </si>
  <si>
    <t>Gobernanza mancomunada para la construcción de territorios resilientes en paisajes forestales en los andes occidentales del ecuador</t>
  </si>
  <si>
    <t xml:space="preserve">FONDO ITALO ECUATORIANO PARA EL DESARROLLO SOSTENIBLE FIEDS   </t>
  </si>
  <si>
    <t>MANCOMUNIDAD DE MUNICIPALIDADES DEL SUROCCIDENTE DE LA PROVINCIA DE LOJA “BOSQUE SECO”</t>
  </si>
  <si>
    <t>2022-2025</t>
  </si>
  <si>
    <t xml:space="preserve">La estructura del módulo SAG y PH está incluida en el curso autoguiado </t>
  </si>
  <si>
    <t>IMPULSO DEL FINANCIAMIENTO VERDE Y SOSTENIBLE EN ECUADOR</t>
  </si>
  <si>
    <t>Impulso del financiamiento verde y sostenible en ecuador</t>
  </si>
  <si>
    <t>2021-2023</t>
  </si>
  <si>
    <t>1. Metodología para priorizar áreas de financiamiento de inversiones en adaptación al cambio climático adoptada por la CCPI. 2. Áreas prioritarias para la inversión en el financiamiento de la adaptación al cambio climático adoptado por la CCPI. 3. Entidad acreditada para un proyecto oficial de adaptación a gran escala. 4. 40 reuniones con delegados técnicos de los sectores de adaptación priorizados que fortalecieron sus capacidades en planificación de riesgos climáticos y adaptación. 5. Propuesta de preparación del FVC para ampliar la planificación nacional de la adaptación.</t>
  </si>
  <si>
    <t>REDUCCIÓN DE VULNERABILIDAD ANTE RIESGOS CLIMÁTICOS</t>
  </si>
  <si>
    <t>Reducción de vulnerabilidad ante riesgos climáticos</t>
  </si>
  <si>
    <t>CORPORACIÓN ANDINA DE FOMENTO BANCO DE DESARROLLO DE AMÉRICA LATINA Y EL CARIBE</t>
  </si>
  <si>
    <t>El proyecto busca desarrollar el marco institucional, las regulaciones y las capacidades nacionales para establecer sitios de conservación de CWR y EWS.</t>
  </si>
  <si>
    <t>FORTALECIMIENTO DE CAPACIDADES DE LÍDERES INDÍGENAS PARA ENFRENTAR EL CAMBIO CLIMÁTICO</t>
  </si>
  <si>
    <t>Fortalecimiento de capacidades de líderes indígenas para enfrentar el cambio climático</t>
  </si>
  <si>
    <t>El programa beneficiará directamente a más de 15.000 personas, destacando las externalidades positivas de la inversión en términos de: provisión de agua potable, mejora de las condiciones de salud, y un espacio público notable como un parque para la familia, que también mejorará la movilidad y seguridad en áreas verdes y recreación saludable.</t>
  </si>
  <si>
    <t>ATN/OC-19247-EC FORTALECIMIENTO INSTITUCIONAL DE LOS GOBIERNOS LOCALES EN ECUADOR Y ESTRUCTURACIÓN TÉCNICA DE PROYECTOS DE MOVILIDAD URBANA SOSTENIBLE</t>
  </si>
  <si>
    <t>Atn/oc-19247-ec fortalecimiento institucional de los gobiernos locales en ecuador y estructuración técnica de proyectos de movilidad urbana sostenible</t>
  </si>
  <si>
    <t>Esta iniciativa se articula en los siguientes ejes: estrategia nacional e integral de descarbonización para lograr finanzas sostenibles y mejorar la matriz productiva del país; proyectos de inversión y asistencia técnica para apoyar la infraestructura y los servicios sostenibles a nivel local.</t>
  </si>
  <si>
    <t>ASISTENCIA TÉCNICA PARA LOS SECTORES INDUSTRIALES Y AGROEXPORTADORES QUE UTILIZAN HFC (HFC PHASE DOWN PLAN) Y ESPUMAS CFC, PARA ELIMINAR SUSTANCIAS QUE AFECTAN A LA CAPA DE OZONO, MEDIANTE LA ADOPCIÓN DE NUEVAS TECNOLOGÍAS, EN EL MARCO DEL PROTOCOLO DE MONTREAL</t>
  </si>
  <si>
    <t>Asistencia técnica para los sectores industriales y agroexportadores que utilizan hfc (hfc phase down plan) y espumas cfc, para eliminar sustancias que afectan a la capa de ozono, mediante la adopción de nuevas tecnologías, en el marco del protocolo de montreal</t>
  </si>
  <si>
    <t>ORGANIZACIÓN DE LAS NACIONES UNIDAS PARA EL DESARROLLO INDUSTRIAL</t>
  </si>
  <si>
    <t>Prestar apoyo a la investigación sobre el abastecimiento de agua y el saneamiento - Protección de los recursos</t>
  </si>
  <si>
    <t>MANEJO FORESTAL SOSTENIBLE, CONSERVACIÓN Y RESTAURACIÓN DE BOSQUES</t>
  </si>
  <si>
    <t>Manejo forestal sostenible, conservación y restauración de bosques</t>
  </si>
  <si>
    <t xml:space="preserve">Los resultados esperados incluyen una comprensión profunda del trabajo (trabajo productivo y reproductivo) y las condiciones de salud de una muestra de 300 mujeres recicladoras en el contexto de la COVID-19; cambios en las prácticas laborales de las mujeres recicladoras (como la mejora de las rutas urbanas y el transporte); e intervenciones que mejoren sus condiciones de salud ocupacional. </t>
  </si>
  <si>
    <t>MEJORANDO LA RESILIENCIA DE LOS PAISAJES FORESTALES Y EL ENTORNO SOCIO ECOLÓGICO PARA LAS COMUNIDADES LOCALES (PICLS) QUE VIVEN EN LAS ÁREAS DE INTERVENCIÓN EN EL BOSQUE SECO DEL SUR Y BOSQUE NUBLADO SURORIENTE GARANTIZANDO UN TRIPLE BENEFICIO: PARA LA BIODIVERSIDAD, EL CLIMA Y EL BIENESTAR DE LOS HABITANTES.</t>
  </si>
  <si>
    <t>Mejorando la resiliencia de los paisajes forestales y el entorno socio ecológico para las comunidades locales (picls) que viven en las áreas de intervención en el bosque seco del sur y bosque nublado suroriente garantizando un triple beneficio: para la biodiversidad, el clima y el bienestar de los habitantes.</t>
  </si>
  <si>
    <t>NATURALEZA Y CULTURA INTERNACIONAL</t>
  </si>
  <si>
    <t>Asegurar la participación plena y efectiva de la mujer y la igualdad de oportunidades de liderazgo en todos los niveles de la adopción de decisiones en la vida política, económica y pública. Integrar la acción contra el cambio climático en las políticas, estrategias y planificación nacionales. Promover mecanismos para aumentar la capacidad de planificación y gestión eficaces relacionadas con el cambio climático en los países menos adelantados, centrándose en las mujeres, los jóvenes y las comunidades locales y marginadas. Fortalecer la resiliencia y la capacidad de adaptación a los peligros relacionados con el clima y los desastres naturales en todos los países. Mejorar la educación, la concienciación y la capacidad humana e institucional en materia de mitigación, adaptación, reducción del impacto y alerta temprana del cambio climático. Para 2020, integrar los valores de los ecosistemas y la biodiversidad en la planificación nacional y local, los procesos de desarrollo y las estrategias y cuentas de reducción de la pobreza.</t>
  </si>
  <si>
    <t>MUJERES RURALES FRENTE AL CAMBIO CLIMÁTICO (L'OREAL)</t>
  </si>
  <si>
    <t>Mujeres rurales frente al cambio climático (l'oreal)</t>
  </si>
  <si>
    <t>CARE FRANCIA</t>
  </si>
  <si>
    <t>CARE ECUADOR</t>
  </si>
  <si>
    <t>1. Fortalecer la capacidad de resiliencia en los paisajes forestales andinos a través de una gobernanza favorable e inclusiva, construyendo estrategias de desarrollo e intervención con la participación efectiva de los actores del territorio para la implementación de la política nacional y local, la generación de instrumentos y el fortalecimiento organizacional. 2. Desarrollar sistemas sostenibles de gestión de la tierra que generen valor agregado en los paisajes andinos de la provincia de Loja y Pichincha con un enfoque de cadena de valor como estrategia de mitigación y adaptación al cambio climático.</t>
  </si>
  <si>
    <t>DISEÑO DE SISTEMAS GEOTÉRMICOS DE BAJA TEMPERATURA PARA REMOCIÓN DE CALOR EN EDIFICACIONES DE CIUDADES CON CLIMAS HÚMEDOS Y TROPICALES</t>
  </si>
  <si>
    <t>Diseño de sistemas geotérmicos de baja temperatura para remoción de calor en edificaciones de ciudades con climas húmedos y tropicales</t>
  </si>
  <si>
    <t>UNIVERSIDAD DE CHILE</t>
  </si>
  <si>
    <t>Fortalecer las capacidades técnicas del personal clave del Ministerio de Economía y Finanzas, y otros actores estratégicos, en materia de financiamiento climático, sostenible y de co-beneficio.  Apoyar la creación y puesta en marcha de un comité de finanzas sostenibles. Desarrollar a). Marco de bonos temáticos para apoyar emisiones temáticas que permitan al gobierno de Ecuador financiar actividades verdes, azules, sociales o sostenibles, apegándose a los estándares internacionales y a los principios de la Asociación Internacional del Mercado de Capitales (ICMA) para desarrollar hojas de ruta para la posible emisión de bonos basados en resultados. Establecer una hoja de ruta para la implementación de operaciones de canje de deuda por clima y biodiversidad.</t>
  </si>
  <si>
    <t>ATN/FC-20456-EC POLÍTICA FISCAL PARA EL CAMBIO CLIMÁTICO EN ECUADOR</t>
  </si>
  <si>
    <t>Atn/fc-20456-ec política fiscal para el cambio climático en ecuador</t>
  </si>
  <si>
    <t>2023-2027</t>
  </si>
  <si>
    <t>Fortalecer la resiliencia y la capacidad de adaptación a los peligros relacionados con el clima y los desastres naturales en todos los países.</t>
  </si>
  <si>
    <t>IMPLEMENTACIÓN CONJUNTA ENTRE EL GOBIERNO PROVINCIAL Y LAS NACIONALIDADES INDÍGENAS DE PASTAZA, PARA REDUCIR LA DEFORESTACIÓN DE BOSQUES Y ASEGURAR LA CONSERVACIÓN DE LOS ECOSISTEMAS NATURALES DE LA PROVINCIA</t>
  </si>
  <si>
    <t>Implementación conjunta entre el gobierno provincial y las nacionalidades indígenas de pastaza, para reducir la deforestación de bosques y asegurar la conservación de los ecosistemas naturales de la provincia</t>
  </si>
  <si>
    <t>Información no registrada por el socio colaborador</t>
  </si>
  <si>
    <t>ASISTENCIA TÉCNICA PARA ELIMINACIÓN DE REFRIGERANTES HCFCS QUE AFECTAN A LA CAPA DE OZONO, INCLUYE RECOLECCIÓN, ALMACENAMIENTO Y PROCESO DE DESTRUCCIÓN SEGURA DE HCFCS EN HORNOS INDUSTRIALES DE ALTA TEMPERATURA, EN EL MARCO DEL PROTOCOLO DE MONTREAL</t>
  </si>
  <si>
    <t>Asistencia técnica para eliminación de refrigerantes hcfcs que afectan a la capa de ozono, incluye recolección, almacenamiento y proceso de destrucción segura de hcfcs en hornos industriales de alta temperatura, en el marco del protocolo de montreal</t>
  </si>
  <si>
    <t>ORGANIZACION DE LAS NACIONES UNIDAS PARA EL DESARROLLO INDUSTRIAL ONUDI</t>
  </si>
  <si>
    <t>MINISTERIO DE PRODUCCIÓN, COMERCIO EXTERIOR, INVERSIONES Y PESCA</t>
  </si>
  <si>
    <t>DESARROLLO DE CAPACIDADES PARA CATALIZAR ACCIONES Y COMPROMISOS A NIVEL NACIONAL Y MUNDIAL PARA REDUCIR LA CONTAMINACIÓN POR PLÁSTICOS, INCLUYENDO EN EL MEDIO AMBIENTE MARINO EC212000</t>
  </si>
  <si>
    <t>Desarrollo de capacidades para catalizar acciones y compromisos a nivel nacional y mundial para reducir la contaminación por plásticos, incluyendo en el medio ambiente marino ec212000</t>
  </si>
  <si>
    <t>WORLD WILDLIFE FUND INC WWF  ECUADOR</t>
  </si>
  <si>
    <t>MIGRACIÓN, MEDIO AMBIENTE Y CAMBIO CLIMÁTICO</t>
  </si>
  <si>
    <t>Migración, medio ambiente y cambio climático</t>
  </si>
  <si>
    <t>ORGANIZACION INTERNACIONAL PARA LAS MIGRACIONES</t>
  </si>
  <si>
    <t>ORGANIZACION INTERNACIONAL PARA LAS MIGRACIONES OIM</t>
  </si>
  <si>
    <t>De aquí a 2030, garantizar que todos los hombres y mujeres, en particular los pobres y vulnerables, tengan iguales derechos a los recursos económicos, así como acceso a los servicios básicos, a la propiedad y el control de la tierra y otras formas de propiedad, a la herencia, a los recursos naturales, a las nuevas tecnologías apropiadas y a los servicios financieros, incluida la microfinanciación. Para 2030, garantizar sistemas sostenibles de producción de alimentos e implementar prácticas agrícolas resilientes que aumenten la productividad y la producción, ayuden a mantener los ecosistemas, fortalezcan la resiliencia al cambio climático, los fenómenos meteorológicos extremos, las sequías, las inundaciones y otros desastres, y mejoren progresivamente la calidad de la tierra y el suelo. Asegurar la participación plena y efectiva de la mujer y la igualdad de oportunidades de liderazgo en todos los niveles de la adopción de decisiones en la vida política, económica y pública. Promover políticas orientadas al desarrollo que apoyen las actividades productivas, la creación de empleo decente, el emprendimiento, la creatividad y la innovación, y fomentar la formalización y el crecimiento de las microempresas y las pequeñas y medianas empresas, incluso mediante el acceso a los servicios financieros. Mejorar progresivamente la eficiencia general de los recursos en el consumo y la producción para 2030 y esforzarse por disociar el crecimiento económico de la degradación del medio ambiente, en consonancia con el marco decenal de programas sobre consumo y producción sostenibles, con los países desarrollados a la cabeza. De aquí a 2030, lograr el empleo pleno y productivo y el trabajo decente para todas las mujeres y todos los hombres, incluidos los jóvenes y las personas con discapacidad, y la igualdad de remuneración por trabajo de igual valor.</t>
  </si>
  <si>
    <t>FORTALECIMIENTO DE LA EFICIENCIA ENERGÉTICA, ENERGÍAS LIMPIAS Y CALIDAD AMBIENTAL EN LA EEQ.</t>
  </si>
  <si>
    <t>Fortalecimiento de la eficiencia energética, energías limpias y calidad ambiental en la eeq.</t>
  </si>
  <si>
    <t>EMPRESA ELECTRICA DE QUITO</t>
  </si>
  <si>
    <t>ACNUR Y SUS SOCIOS ESTÁN MEJOR PREPARADOS PARA INTEGRAR LOS RIESGOS CLIMÁTICOS, AMBIENTALES Y DE PELIGROS NATURALES EN LA RESPUESTA OPERATIVA Y ESTRATÉGICA DEL ACNUR DE ACUERDO CON EL MARCO ESTRATÉGICO PARA LA ACCIÓN CLIMÁTICA (2.4.4.)</t>
  </si>
  <si>
    <t>Acnur y sus socios están mejor preparados para integrar los riesgos climáticos, ambientales y de peligros naturales en la respuesta operativa y estratégica del acnur de acuerdo con el marco estratégico para la acción climática (2.4.4.)</t>
  </si>
  <si>
    <t xml:space="preserve">OFICINA DE POBLACIÓN, REFUGIADOS Y MIGRACIÓN DEL DEPARTAMENTO DE ESTADO DE ESTADOS UNIDOS </t>
  </si>
  <si>
    <t>ALTO COMISIONADO DE LAS NACIONES UNIDAS PARA LOS REFUGIADOS ACNUR</t>
  </si>
  <si>
    <t>WARMI KARI KUNA: PARA EL USO SOSTENIBLE DE LOS RECURSOS NATURALES EN LA AMAZONI? A ECUATORIANA</t>
  </si>
  <si>
    <t>Warmi kari kuna: para el uso sostenible de los recursos naturales en la amazoni? A ecuatoriana</t>
  </si>
  <si>
    <t>COOPERAZIONE INTERNAZIONALE SUD SUD CISS</t>
  </si>
  <si>
    <t>MOVILIDAD SOSTENIBLE: MODERNIZACIÓN DEL SISTEMA DE TRANSPORTE PÚBLICO METROPOLITANO DE PASAJEROS DE QUITO A TRAVÉS DE LA DOTACIÓN DE TROLEBUSES</t>
  </si>
  <si>
    <t>Movilidad sostenible: modernización del sistema de transporte público metropolitano de pasajeros de quito a través de la dotación de trolebuses</t>
  </si>
  <si>
    <t xml:space="preserve">OFICINA DE LAS NACIONES UNIDAS DE SERVICIOS PARA PROYECTOS UNOPS </t>
  </si>
  <si>
    <t>MIKUNA KAWSANA COMER ES VIVIR. EMPODERAMIENTO DE LAS MUJERES PARA LA SOBERANÍA ALIMENTARIA DEL ALTO NAPO</t>
  </si>
  <si>
    <t>Mikuna kawsana comer es vivir. Empoderamiento de las mujeres para la soberanía alimentaria del alto napo</t>
  </si>
  <si>
    <t>ENTIDAD NACIONAL GIUSEPPINI DEL MURIALDO</t>
  </si>
  <si>
    <t>1. Contar con políticas públicas subnacionales, en coordinación con la política nacional de REDD+, a fin de desarrollar un modelo de gobernanza territorial inclusivo e innovador, que permita avanzar en la reducción de emisiones derivadas de la deforestación y degradación de sus bosques; 2. Desarrollar un sistema agroforestal innovador que incluya la producción sostenible con especies nativas entre el GADPPZ, el MAAE, el MAG, Proamazonia, nacionalidades indígenas y socios estratégicos de la provincia; y, 3. Implementar mecanismos innovadores para asegurar la conservación y restauración de los ecosistemas naturales de la provincia y los servicios ambientales que prestan.</t>
  </si>
  <si>
    <t>INNVOCIONES AGROECOLÓGICAS PARA LA ADAPTACIÓN AL CAMBIO CLIMÁTICO AED-LABS EC 23/02/02</t>
  </si>
  <si>
    <t>Innvociones agroecológicas para la adaptación al cambio climático aed-labs ec 23/02/02</t>
  </si>
  <si>
    <t>FUNDACION SUIZA DE COOPERACION AL DESARROLLO SWISSAID</t>
  </si>
  <si>
    <t>Para el año 2020, lograr una gestión ambientalmente racional de los productos químicos y de todos los desechos a lo largo de su ciclo de vida, de conformidad con los marcos internacionales convenidos, y reducir significativamente su liberación en el aire, el agua y el suelo a fin de reducir al mínimo sus efectos adversos para la salud humana y el medio ambiente. Alentar a las empresas, especialmente a las grandes empresas y a las empresas transnacionales, a adoptar prácticas sostenibles e integrar la información sobre sostenibilidad en su ciclo de presentación de informes.</t>
  </si>
  <si>
    <t>IMPLEMENTACIÓN DEL PROYECTO DE RESTAURACIÓN FORESTAL POR 4.000 HECTÁREAS EN LOS CANTONES PRIORIZADOS DE PROAMAZONÍA: SHUSHUFINDI, ORELLANA, MORONA Y TAISHA"; Y; IMPLEMENTACIÓN Y SEGUIMIENTO DE SISTEMAS DE PRODUCCIÓN AGROFORESTAL DE CACAO EN ZONAS DEFORESTADAS O DE PASTOS EN LA PROVINCIA DE SUCUMBÍOS Y ORELLANA</t>
  </si>
  <si>
    <t>Implementación del proyecto de restauración forestal por 4.000 hectáreas en los cantones priorizados de proamazonía: shushufindi, orellana, morona y taisha"; y; implementación y seguimiento de sistemas de producción agroforestal de cacao en zonas deforestadas o de pastos en la provincia de sucumbíos y orellana</t>
  </si>
  <si>
    <t>PROGRAMA DE LAS NACIONES UNIDAS PARA EL DESARROLLO</t>
  </si>
  <si>
    <t>INSTITUTO HUMANISTA PARA LA COOPERACION CON LOS PAISES EN DESARROLLO HIVOS</t>
  </si>
  <si>
    <t>APOYO AL PACTO GLOBAL DE ALCALDES POR EL CLIMA Y LA ENERGÍA EN LAS AMÉRICAS / SUPPORT FOR THE GLOBAL COVENANT OF MAYORS FOR CLIMATE AND ENERGY IN THE AMERICAS EC210700</t>
  </si>
  <si>
    <t>Apoyo al pacto global de alcaldes por el clima y la energía en las américas / support for the global covenant of mayors for climate and energy in the americas ec210700</t>
  </si>
  <si>
    <t>Garantizar la igualdad de oportunidades y reducir las desigualdades de resultados, en particular eliminando las leyes, políticas y prácticas discriminatorias y promoviendo leyes, políticas y medidas apropiadas a este respecto.</t>
  </si>
  <si>
    <t>MÁS CAFÉ MENOS CO2 COCO2</t>
  </si>
  <si>
    <t>Más café menos co2 coco2</t>
  </si>
  <si>
    <t>RIKOLTO INTERNATIONAL</t>
  </si>
  <si>
    <t>Fortalecimiento de la eficiencia energética, las energías limpias y la calidad ambiental en la EEQ.</t>
  </si>
  <si>
    <t>DESARROLLO DE CAPACIDADES Y FINANCIAMIENTO PARA LA ACCIÓN NACIONAL Y LOCAL SOBRE EL CLIMA Y LA BIODIVERSIDAD (CBF) PEQUEÑAS SUBVENCIONES IKI</t>
  </si>
  <si>
    <t>Desarrollo de capacidades y financiamiento para la acción nacional y local sobre el clima y la biodiversidad (cbf) pequeñas subvenciones iki</t>
  </si>
  <si>
    <t>De aquí a 2030, aumentar la resiliencia de las personas pobres y vulnerables y reducir su exposición y vulnerabilidad a los fenómenos extremos relacionados con el clima y otras perturbaciones y desastres económicos, sociales y ambientales.</t>
  </si>
  <si>
    <t>PROYECTO DE ENTRENAMIENTO EN SISTEMAS DE PRODUCCIÓN AGRÍCOLA EN ZONAS DE MONTAÑA PARA TÉCNICOS AGRÍCOLAS Y FORESTALES, RELACIONADO AL "PROYECTO INTEGRAL DE DIVERSIFICACIÓN AGROPRODUCTIVA Y RECONVESIÓN AGRÍCOLA PIDARA".</t>
  </si>
  <si>
    <t>Proyecto de entrenamiento en sistemas de producción agrícola en zonas de montaña para técnicos agrícolas y forestales, relacionado al "proyecto integral de diversificación agroproductiva y reconvesión agrícola pidara".</t>
  </si>
  <si>
    <t>UNIVERSIDAD ISA; PROGRAMA DE LAS NACIONES UNIDAS PARA EL DESARROLLO PNUD</t>
  </si>
  <si>
    <t>Fortalecer las capacidades de las comunidades del pueblo Kichwa de Rukullakta (PKR) en el acceso sostenible y aseguramiento de agua de calidad para uso humano y seguridad alimentaria a través de la implementación del modelo agrícola ancestral.</t>
  </si>
  <si>
    <t>ASISTENCIA TÉCNICA PROYECTO LEY DE GESTIÓN DE RIESGOS DE DESASTRES</t>
  </si>
  <si>
    <t>Asistencia técnica proyecto ley de gestión de riesgos de desastres</t>
  </si>
  <si>
    <t>ASAMBLEA NACIONAL DEL ECUADOR</t>
  </si>
  <si>
    <t>Movilidad sostenible: modernización del sistema de transporte público metropolitano de pasajeros de Quito a través de la provisión de trolebuses</t>
  </si>
  <si>
    <t>LA MOVILIDAD ELÉCTRICA COMO MOTOR DEL CAMBIO HACIA UNA TRANSICIÓN JUSTA Y TRANSFORMADORA DE GÉNERO HACIA LA MOVILIDAD ELÉCTRICA</t>
  </si>
  <si>
    <t>La movilidad eléctrica como motor del cambio hacia una transición justa y transformadora de género hacia la movilidad eléctrica</t>
  </si>
  <si>
    <t>PROGRAMA DE LAS NACIONES UNIDAS PARA EL MEDIO AMBIENTE PNUMA</t>
  </si>
  <si>
    <t>Reducir el nivel de desnutrición en las comunidades indígenas Kichwa del alto Napo fortaleciendo el rol de las mujeres en las prácticas de enriquecimiento de la biodiversidad agrícola del chacrón, en los procesos de conservación de los productos agrícolas y mejorando su conocimiento de las características nutricionales de las especies recuperadas.</t>
  </si>
  <si>
    <t>BIOCORREDOR ANDES NORTE: CONECTIVIDAD PARA LA RESILIENCIA DE LOS PAISAJES ANDINOS</t>
  </si>
  <si>
    <t>Biocorredor andes norte: conectividad para la resiliencia de los paisajes andinos</t>
  </si>
  <si>
    <t>COSPECOOPERACION PARA EL DESARROLLO DE PAISES EMERGENTES</t>
  </si>
  <si>
    <t>4.1 UNICEF ADAPTACIÓN AL CAMBIO CLIMÁTICO / SERVICIOS WASH</t>
  </si>
  <si>
    <t>4.1 unicef adaptación al cambio climático / servicios wash</t>
  </si>
  <si>
    <t>FONDO DE LAS NACIONES UNIDAS PARA LA INFANCIA UNICEF</t>
  </si>
  <si>
    <t xml:space="preserve">FONDO DE LAS NACIONES UNIDAS PARA LA INFANCIA UNICEF  </t>
  </si>
  <si>
    <t>Construir el proyecto de restauración en las comunidades socias de manera participativa y con enfoque de género. Implementar acciones de restauración activa y pasiva en áreas priorizadas por el PNR en comunidades de las parroquias Dayuma y Limoncocha.</t>
  </si>
  <si>
    <t>ASISTENCIA TÉCNICA PARA CERO FUGAS ENERGÉTICAS Y CONTAMINANTES EN LA INDUSTRIA</t>
  </si>
  <si>
    <t>Asistencia técnica para cero fugas energéticas y contaminantes en la industria</t>
  </si>
  <si>
    <t>COMUNIDADES IMPACTADAS POR PROYECTOS E INICIATIVAS QUE APORTAN A LA CONSERVACIÓN Y MANEJO SOSTENIBLE DE ECOSISTEMAS.</t>
  </si>
  <si>
    <t>Comunidades impactadas por proyectos e iniciativas que aportan a la conservación y manejo sostenible de ecosistemas.</t>
  </si>
  <si>
    <t>PROGRAMA MUNDIAL DE ALIMENTOS PMA</t>
  </si>
  <si>
    <t>COMARCA AFROECUATORIANA DEL NORTE DE ESMERALDAS</t>
  </si>
  <si>
    <t>FORTALECIMIENTO DE LA GESTIÓN AMBIENTAL DEL PAÍS</t>
  </si>
  <si>
    <t>Fortalecimiento de la gestión ambiental del país</t>
  </si>
  <si>
    <t>FORTALECIMIENTO DE LA GESTIÓN DEL AGUA</t>
  </si>
  <si>
    <t>Fortalecimiento de la gestión del agua</t>
  </si>
  <si>
    <t xml:space="preserve">ORGANIZACION DE LAS NACIONES UNIDAS PARA LA EDUCACION, LA CIENCIA Y LA CULTURA UNESCO  </t>
  </si>
  <si>
    <t>PROGRAMA HIDROLÓGICO INTERGUBERNAMENTAL</t>
  </si>
  <si>
    <t>Para 2020, aumentar sustancialmente el número de ciudades y asentamientos humanos que adopten e implementen políticas y planes integrados hacia la inclusión, la eficiencia en el uso de los recursos, la mitigación y adaptación al cambio climático, la resiliencia a los desastres, y desarrollar e implementar, en consonancia con el Marco de Sendai para la Reducción del Riesgo de Desastres 2015-2030, una gestión integral del riesgo de desastres en todos los niveles.</t>
  </si>
  <si>
    <t>HERRAMIENTAS DESARROLLADAS PARA TRANSVERSALIZACIÓN DE GÉNERO EN PROYECTOS ADAPTACIÓN AL CAMBIO CLIMÁTICO.</t>
  </si>
  <si>
    <t>Herramientas desarrolladas para transversalización de género en proyectos adaptación al cambio climático.</t>
  </si>
  <si>
    <t>COMARCA AFROECUATORIANA DEL NORTE DE ESMERALDAS; FONDO ECUATORIANO POPULORUM PROGRESSIO FEPP; UNIVERSIDAD CATÓLICA DE ESMERALDAS; UNIVERSIDAD POLITÉCNICA ESTATAL DEL CARCHI; MINISTERIO DE AGRICULTURA GANADERIA ACUACULTURA Y PESCA; MINISTERIO DE AMBIENTE Y AGUA; ASOCIACION DE AUTORIDADES TRADICIONALES INDIGENAS AWA; GOBIERNO PROVINCIAL DE CARCHI; GOBIERNO PROVINCIAL DE ESMERALDAS; GOBIERNO PROVINCIAL DE IMBABURA DEL ECUADOR</t>
  </si>
  <si>
    <t>La movilidad eléctrica como motor de cambio hacia una transición justa y transformadora de género hacia la movilidad eléctrica</t>
  </si>
  <si>
    <t>FOMENTAR INNOVACIONES RELEVANTES PARA EL CLIMA Y BAJAS EN CADMIO PARA MEJORAR LA RESILIENCIA Y LA INCLUSIVIDAD DE LA CADENA DE CACAO EN COLOMBIA, ECUADOR Y PERÚ (CLIMALOCA)</t>
  </si>
  <si>
    <t>Fomentar innovaciones relevantes para el clima y bajas en cadmio para mejorar la resiliencia y la inclusividad de la cadena de cacao en colombia, ecuador y perú (climaloca)</t>
  </si>
  <si>
    <t>CENTRO INTERNACIONAL DE AGRICULTURA TROPICAL CIAT</t>
  </si>
  <si>
    <t>INSTITUTO NACIONAL DE INVESTIGACIONES AGROPECUARIAS INIAP</t>
  </si>
  <si>
    <t>RED DE CREACIÓN DE PROTOTIPOS PARA HACER FRENTE AL CAMBIO CLIMÁTICO</t>
  </si>
  <si>
    <t>Red de creación de prototipos para hacer frente al cambio climático</t>
  </si>
  <si>
    <t>Para 2026, el Estado y la sociedad avanzan hacia la transición ecológica y hacia una economía sostenible e inclusiva, descarbonizada y resiliente a los efectos del cambio climático, conservando la biodiversidad, evitando la degradación de la tierra y la contaminación de los ecosistemas, con enfoque de género, inclusión y diversidad.</t>
  </si>
  <si>
    <t>FORTALECIMIENTO DE SISTEMAS ALIMENTARIOS DE LAS NACIONALIDADES Y PUEBLOS INDÍGENAS DEL ECUADOR RESILIENTES AL CAMBIO CLIMÁTICO</t>
  </si>
  <si>
    <t>Fortalecimiento de sistemas alimentarios de las nacionalidades y pueblos indígenas del ecuador resilientes al cambio climático</t>
  </si>
  <si>
    <t>INTERNATIONAL DEVELOPMENT RESEARCH CENTRE IDRC</t>
  </si>
  <si>
    <t>UNIVERSIDAD INTERCULTURAL DE LAS NACIONALIDADES Y PUEBLOS INDIGENAS AMAWTAY WASI</t>
  </si>
  <si>
    <t>PROGRAMA DE REDUCCIÓN DE INCENDIOS FORESTALES A TRAVÉS DE ACCIONES DE MANEJO INTEGRAL DEL FUEGO EN LA SIERRA Y COSTA DEL ECUADOR. "AMAZONÍA SIN FUEGO" FASE 2</t>
  </si>
  <si>
    <t>Programa de reducción de incendios forestales a través de acciones de manejo integral del fuego en la sierra y costa del ecuador. "amazonía sin fuego" fase 2</t>
  </si>
  <si>
    <t>FONDO DE INVERSIÓN AMBIENTAL SOSTENIBLE</t>
  </si>
  <si>
    <t>Comunidades impactadas por proyectos e iniciativas que contribuyen a la conservación y manejo sostenible de los ecosistemas.</t>
  </si>
  <si>
    <t>FORTALECIMIENTO DE CAPACIDADES PARA LA ADAPTACIÓN AL CAMBIO CLIMÁTICO DE LAS COMUNIDADES DE LA PARROQUIA TOACASO EN COTOPAXI, MEDIANTE PRÁCTICAS DE PRODUCCIÓN SOSTENIBLE Y RESILIENTE. FUNDACIÓN COTOPAXI</t>
  </si>
  <si>
    <t>Fortalecimiento de capacidades para la adaptación al cambio climático de las comunidades de la parroquia toacaso en cotopaxi, mediante prácticas de producción sostenible y resiliente. Fundación cotopaxi</t>
  </si>
  <si>
    <t>CARE INTERNACIONAL</t>
  </si>
  <si>
    <t>COTOPAXI FOUNDATION; CARE INTERNACIONAL</t>
  </si>
  <si>
    <t>Articulación política e institucional para el control forestal, el uso adecuado del suelo y la zonificación</t>
  </si>
  <si>
    <t>AFRONTAR LA EMERGENCIA CLIMÁTICA CON LAS MUJERES Y LOS PUEBLOS INDÍGENAS DE LA AMAZONIA ESTEE LAUDER</t>
  </si>
  <si>
    <t>Afrontar la emergencia climática con las mujeres y los pueblos indígenas de la amazonia estee lauder</t>
  </si>
  <si>
    <t xml:space="preserve">CONSERVATION INTERNATIONAL FOUNDATION CIF  </t>
  </si>
  <si>
    <t>ATN/CF-19408-EC DESARROLLO DE SOLUCIONES INNOVADORAS PARA LA GESTIÓN DE FUENTES HÍDRICAS DE QUITO (4RI)</t>
  </si>
  <si>
    <t>Atn/cf-19408-ec desarrollo de soluciones innovadoras para la gestión de fuentes hídricas de quito (4ri)</t>
  </si>
  <si>
    <t>EMPRESA PÚBLICA METROPOLITANA DE MOVILIDAD Y OBRAS PÚBLICAS DE QUITO(EPMMOP)</t>
  </si>
  <si>
    <t>ACOMPAÑAMIENTO AL MINISTERIO DE AMBIENTE, AGUA Y TRANSICIÓN ECOLÓGICA DEL ECUADOR (MAATE) EN LA IMPLEMENTACIÓN DE ACCIONES DE POLÍTICA EN EL MARCO DEL PRÉSTAMO SECTORIAL DE ENFOQUE AMPLIO PARA LA IMPLEMENTACIÓN DEL PLAN NACIONAL DE DESARROLLO EN EL SECTOR DE AGUA 2021– 2025 EN ECUADOR".</t>
  </si>
  <si>
    <t>Acompañamiento al ministerio de ambiente, agua y transición ecológica del ecuador (maate) en la implementación de acciones de política en el marco del préstamo sectorial de enfoque amplio para la implementación del plan nacional de desarrollo en el sector de agua 2021– 2025 en ecuador".</t>
  </si>
  <si>
    <t>Herramientas desarrolladas para la transversalización de la perspectiva de género en proyectos de adaptación al cambio climático.</t>
  </si>
  <si>
    <t>NUESTROS FUTUROS BOSQUES: AMAZONIA VERDE FASE II</t>
  </si>
  <si>
    <t>Nuestros futuros bosques: amazonia verde fase ii</t>
  </si>
  <si>
    <t>CIUDADES WWF DESAFÍO ONE PLANET CITY – WWF ECUADOR/ WWF CITIES ONE PLANET CITY CHALLENGE – WWF ECUADOR EC210100</t>
  </si>
  <si>
    <t>Ciudades wwf desafío one planet city – wwf ecuador/ wwf cities one planet city challenge – wwf ecuador ec210100</t>
  </si>
  <si>
    <t>WORLD WILDLIFE FUND WWF SUECIA</t>
  </si>
  <si>
    <t>WORLD WILDLIFE FUND  ECUADOR</t>
  </si>
  <si>
    <t>IMPLEMENTACIÓN DEL NUEVO MODELO DE GESTIÓN Y GOBERNANZA DE LOS BOSQUES Y VEGETACIÓN PROTECTORES</t>
  </si>
  <si>
    <t>Implementación del nuevo modelo de gestión y gobernanza de los bosques y vegetación protectores</t>
  </si>
  <si>
    <t>Fortalecimiento de los sistemas alimentarios de las nacionalidades y pueblos indígenas del Ecuador resilientes al cambio climático</t>
  </si>
  <si>
    <t>PRODUCCIÓN SOSTENIBLE Y LIBRE DE DEFORESTACIÓN</t>
  </si>
  <si>
    <t>Producción sostenible y libre de deforestación</t>
  </si>
  <si>
    <t>1. La Autoridad de Medio Ambiente, Agua y Transición Ecológica desarrolla y formaliza políticas públicas, marcos de gobernanza e instrumentos de planificación que promueven y fortalecen acciones para el manejo integrado del fuego y el manejo del uso del fuego a nivel local y nacional. 2. La autoridad nacional de medio ambiente, agua y transición ecológica, así como los actores locales en las áreas de intervención, fortalecen sus capacidades técnicas para el manejo integrado del fuego para el manejo del fuego forestal y el manejo del paisaje con estándares nacionales e internacionales. 3. Se sensibilice a los actores locales de las zonas de intervención sobre la problemática de los incendios forestales e implementen buenas prácticas agroforestales, así como alternativas a su uso indiscriminado y negligente, como medidas de prevención de incendios forestales en busca de mejorar la calidad de vida de sus comunidades. 4. El programa asegura una ejecución eficiente de las acciones técnicas y operativas programadas a través de un sistema de seguimiento y evaluación, y una adecuada visibilidad del proyecto.</t>
  </si>
  <si>
    <t>SEGURIDAD ALIMENTARIA Y AGRICULTURA RESILIENTE AL CLIMA FUNDACIÓN KAWSAY</t>
  </si>
  <si>
    <t>Seguridad alimentaria y agricultura resiliente al clima fundación kawsay</t>
  </si>
  <si>
    <t>FUNDACION DE CULTURAS INDIGENAS KAWSAY</t>
  </si>
  <si>
    <t>SEGURIDAD ALIMENTARIA Y AGRICULTURA RESILIENTE AL CLIMA UOCE</t>
  </si>
  <si>
    <t>Seguridad alimentaria y agricultura resiliente al clima uoce</t>
  </si>
  <si>
    <t>UNIÓN DE ORGANIZACIONES CAMPESINAS DE ESMERALDAS</t>
  </si>
  <si>
    <t>ESTUDIO DE ANÁLISIS Y PROSPECTIVA DE LA ELECTRO-MOVILIDAD EN ECUADOR Y EL MIX ENERGÉTICO AL 2030</t>
  </si>
  <si>
    <t>Estudio de análisis y prospectiva de la electro-movilidad en ecuador y el mix energético al 2030</t>
  </si>
  <si>
    <t>AGENCIA ESPAÑOLA DE COOPERACION INTERNACIONAL PARA EL DESARROLLO AECID</t>
  </si>
  <si>
    <t>INSTITUTO DE INVESTIGACIÓN GEOLÓGICO Y ENERGÉTICO  IIGE</t>
  </si>
  <si>
    <t>IMPLEMENTACIÓN DE UN SISTEMA AGROALIMENTARIO SOSTENIBLE, RESILIENTE Y NUTRITIVO ARROZ-PATO</t>
  </si>
  <si>
    <t>Implementación de un sistema agroalimentario sostenible, resiliente y nutritivo arroz-pato</t>
  </si>
  <si>
    <t>MINISTERIO DE AGRICULTURA Y GANADERÍA(MAG)</t>
  </si>
  <si>
    <t>Realizar un diagnóstico integral del sector agua y saneamiento ambiental que contenga documentos de planificación, gestión sectorial, resultados de indicadores, entre otros. Proponer una estructura documental para el Plan Nacional de Agua y Saneamiento Ambiental y acompañar al MAATE en el proceso de concordación de las bases del plan. Identificar y proponer alternativas para la implementación de proyectos de agua y saneamiento a nivel local (urbano y rural)</t>
  </si>
  <si>
    <t>LIVING LAB DE EDIFICACIÓN SOSTENIBLE IMPLEMENTADO EN EL ARCHIPIÉLAGO DE GALÁPAGOS-ECUADOR PARA LA FORMULACIÓN DE ESTÁNDARES, MARCO REGULATORIO Y TRANSFERENCIA DE CONOCIMIENTOS EN EFICIENCIA ENERGÉTICA A REGIONES INSULARES DE AMÉRICA LATINA Y EL CARIBE EN EL ÁMBITO DE LA RESILIENCIA AL CAMBIO CLIMÁTICO</t>
  </si>
  <si>
    <t>Living lab de edificación sostenible implementado en el archipiélago de galápagos-ecuador para la formulación de estándares, marco regulatorio y transferencia de conocimientos en eficiencia energética a regiones insulares de américa latina y el caribe en el ámbito de la resiliencia al cambio climático</t>
  </si>
  <si>
    <t>AGENCIA FRANCESA DE DESARROLLO AFD</t>
  </si>
  <si>
    <t>MENTEFACTURA</t>
  </si>
  <si>
    <t>HOJA DE RUTA PARA EL PROYECTO CERO COMBUSTIBLES FÓSILES EN LAS ISLAS GALÁPAGOS</t>
  </si>
  <si>
    <t>Hoja de ruta para el proyecto cero combustibles fósiles en las islas galápagos</t>
  </si>
  <si>
    <t>AGENCIA DE COOPERACION INTERNACIONAL DEL JAPON  JICA</t>
  </si>
  <si>
    <t>RESERVAS IRRECUPERABLES DE CARBONO</t>
  </si>
  <si>
    <t>Reservas irrecuperables de carbono</t>
  </si>
  <si>
    <t>NUESTROS BOSQUES DEL FUTURO: RESERVAS VITALES EN LA AMAZONÍA</t>
  </si>
  <si>
    <t>Nuestros bosques del futuro: reservas vitales en la amazonía</t>
  </si>
  <si>
    <t>Para 2030, duplicar la productividad agrícola y los ingresos de los pequeños productores de alimentos, incluidas las mujeres, los pueblos indígenas, los agricultores familiares, los pastores y los pescadores, incluso mediante el acceso seguro y equitativo a la tierra, otros recursos e insumos productivos, los conocimientos, los servicios financieros, los mercados y las oportunidades de empleo de valor añadido y no agrícola.</t>
  </si>
  <si>
    <t>"IMPLICAR A LAS COMUNIDADES LOCALES EN LAS ACCIONES PRIORITARIAS DE CONSERVACIÓN DEL ESTRECHO DE JAMBELI"</t>
  </si>
  <si>
    <t>"implicar a las comunidades locales en las acciones prioritarias de conservación del estrecho de jambeli"</t>
  </si>
  <si>
    <t>BIRDLIFE INTERNATIONAL</t>
  </si>
  <si>
    <t>AGUA POTABLE Y SANEAMIENTO EN LA COMUNIDAD KICHWA DE HUAMAURCO</t>
  </si>
  <si>
    <t>Agua potable y saneamiento en la comunidad kichwa de huamaurco</t>
  </si>
  <si>
    <t>2021-2021</t>
  </si>
  <si>
    <t>APROVECHAMIENTO DE LOS RESIDUOS DEL MARISCO DE GALÁPAGOS</t>
  </si>
  <si>
    <t>Aprovechamiento de los residuos del marisco de galápagos</t>
  </si>
  <si>
    <t>CONSERVATION INTERNATIONAL FOUNDATION - CIF</t>
  </si>
  <si>
    <t>2022-2022</t>
  </si>
  <si>
    <t>Análisis y estudio prospectivo de la electromovilidad en Ecuador y la matriz energética al 2030</t>
  </si>
  <si>
    <t>AUMENTAR LA RESILIENCIA DE LOS SISTEMAS ALIMENTARIOS ALTERNATIVOS EN ENTORNOS INFORMALES DE AMÉRICA LATINA Y EL CARIBE MEDIANTE INICIATIVAS DE ABAJO ARRIBA</t>
  </si>
  <si>
    <t>Aumentar la resiliencia de los sistemas alimentarios alternativos en entornos informales de américa latina y el caribe mediante iniciativas de abajo arriba</t>
  </si>
  <si>
    <t>INTERNATIONAL DEVELOPMENT RESEARCH CENTRE</t>
  </si>
  <si>
    <t>UNIVERSITÉ DE MONTRÉAL</t>
  </si>
  <si>
    <t>De aquí a 2030, duplicar la productividad agrícola y los ingresos de los pequeños productores de alimentos, incluidas las mujeres, los pueblos indígenas, los agricultores familiares, los pastores y los pescadores, en particular mediante el acceso seguro y equitativo a la tierra, otros recursos productivos e insumos, los conocimientos, los servicios financieros, los mercados y las oportunidades de empleo de valor añadido y no agrícola. Para 2030, garantizar sistemas sostenibles de producción de alimentos e implementar prácticas agrícolas resilientes que aumenten la productividad y la producción, ayuden a mantener los ecosistemas, fortalezcan la resiliencia al cambio climático, los fenómenos meteorológicos extremos, las sequías, las inundaciones y otros desastres, y mejoren progresivamente la calidad de la tierra y el suelo. Asegurar la participación plena y efectiva de la mujer y la igualdad de oportunidades de liderazgo en todos los niveles de la adopción de decisiones en la vida política, económica y pública.</t>
  </si>
  <si>
    <t>CENTROS DE ALIMENTOS SALUDABLES: CREACIÓN DE SISTEMAS AGROALIMENTARIOS SOSTENIBLES Y RESILIENTES EN LIMA Y QUITO</t>
  </si>
  <si>
    <t>Centros de alimentos saludables: creación de sistemas agroalimentarios sostenibles y resilientes en lima y quito</t>
  </si>
  <si>
    <t>RIKOLTO INTERNATIONAL S.O.N.</t>
  </si>
  <si>
    <t>GARANTIZAR EL DERECHO AL AGUA Y A LA REPARACIÓN DE PUEBLOS INDÍGENAS Y COLONOS DE LAS PROVINCIAS DE ORELLANA Y SUCUMBÍOS EN EL MARCO DE LA CRISIS AMBIENTAL, SANITARIA Y HUMANA PROFUNDIZADA POR EL COVID-19</t>
  </si>
  <si>
    <t>Garantizar el derecho al agua y a la reparación de pueblos indígenas y colonos de las provincias de orellana y sucumbíos en el marco de la crisis ambiental, sanitaria y humana profundizada por el covid-19</t>
  </si>
  <si>
    <t>AGENCIA ANDALUZA DE COOPERACION INTERNACIONAL PARA EL DESARROLLO</t>
  </si>
  <si>
    <t>2021-2022</t>
  </si>
  <si>
    <t>IMPACTO DEL COVID-19 EN LA AGRICULTURA FAMILIAR Y LA SEGURIDAD ALIMENTARIA EN AMÉRICA LATINA: RESPUESTAS DE POLÍTICA PÚBLICA BASADAS EN DATOS EMPÍRICOS</t>
  </si>
  <si>
    <t>Impacto del covid-19 en la agricultura familiar y la seguridad alimentaria en américa latina: respuestas de política pública basadas en datos empíricos</t>
  </si>
  <si>
    <t>CENTRO LATINOAMERICANO PARA EL DESARROLLO RURAL</t>
  </si>
  <si>
    <t>IMPLEMENTACIÓN DE LÍNEAS VERDES DE FINANCIAMIENTO PARA APUNTAR AL DESARROLLO SOSTENIBLE DEL PAÍS</t>
  </si>
  <si>
    <t>Implementación de líneas verdes de financiamiento para apuntar al desarrollo sostenible del país</t>
  </si>
  <si>
    <t>CORPORACION ANDINA DE FOMENTO - CAF</t>
  </si>
  <si>
    <t>CORPORACION NACIONAL DE FINANZAS POPULARES Y SOLIDARIAS CONAFIPS</t>
  </si>
  <si>
    <t>NORHED II CO2-EOR PARA CCUS</t>
  </si>
  <si>
    <t>Norhed ii co2-eor para ccus</t>
  </si>
  <si>
    <t>AGENCIA NORUEGA DE COOPERACIÓN AL DESARROLLO</t>
  </si>
  <si>
    <t>UNIVERSIDAD DE BERGEN</t>
  </si>
  <si>
    <t>P209 - CLIMA - IMPLEMENTACIÓN DEL PROYECTO JÓVENES POR EL AMBIENTE - CAMINO A LCOY 2021</t>
  </si>
  <si>
    <t>P209 - clima - implementación del proyecto jóvenes por el ambiente - camino a lcoy 2021</t>
  </si>
  <si>
    <t>MINISTERIO DE NEGOCIOS EXTRANJEROS Y EUROPEAS DE FRANCIA - MAEE</t>
  </si>
  <si>
    <t>ONG CON SEDE EN UN PAÍS EN DESARROLLO</t>
  </si>
  <si>
    <t>AGENCIA DE COOPERACIÓN INTERNACIONAL DE COREA - KOICA</t>
  </si>
  <si>
    <t>PROYECTO AMAZÓNICO EN LATAM. RESTAURACIÓN EN LA AMAZONÍA</t>
  </si>
  <si>
    <t>Proyecto amazónico en latam. Restauración en la amazonía</t>
  </si>
  <si>
    <t>“IMPLEMENTACIÓN DEL PROYECTO DE RESTAURACIÓN FORESTAL POR 4.000 HECTÁREAS EN LOS CANTONES PRIORIZADOS DE PROAMAZONÍA: SHUSHUFINDI, ORELLANA, MORONA Y TAISHA”; Y; "IMPLEMENTACIÓN Y SEGUIMIENTO DE SISTEMAS DE PRODUCCIÓN AGROFORESTAL DE CACAO EN ZONAS DEFORESTADAS O</t>
  </si>
  <si>
    <t>“implementación del proyecto de restauración forestal por 4.000 hectáreas en los cantones priorizados de proamazonía: shushufindi, orellana, morona y taisha”; y; "implementación y seguimiento de sistemas de producción agroforestal de cacao en zonas deforestadas o</t>
  </si>
  <si>
    <t>INSTITUTO HUMANISTA PARA LA COOPERACION CON LOS PAISES EN DESARROLLO - HIVOS</t>
  </si>
  <si>
    <t>DE PASTOS EN LA PROVINCIA DE SUCUMBÍOS Y ORELLANA"</t>
  </si>
  <si>
    <t>De pastos en la provincia de sucumbíos y orellana"</t>
  </si>
  <si>
    <t>COMISION EUROPEA</t>
  </si>
  <si>
    <t>APOYO A LA GENERACIÓN E IMPLEMENTACIÓN DE POLÍTICAS PÚBLICAS LOCALES DE ADAPTACIÓN Y MITIGACIÓN AL CAMBIO CLIMÁTICO  (CONGOPE)</t>
  </si>
  <si>
    <t>Apoyo a la generación e implementación de políticas públicas locales de adaptación y mitigación al cambio climático  (congope)</t>
  </si>
  <si>
    <t>DESARROLLO DE CAPACIDADES PARA EL MANTENIMIENTO DE PLANTAS DE ENERGÍA RENOVABLE (ECUADOR) (2021)</t>
  </si>
  <si>
    <t>Desarrollo de capacidades para el mantenimiento de plantas de energía renovable (ecuador) (2021)</t>
  </si>
  <si>
    <t>SECTOR PRIVADO ECUATORIANO</t>
  </si>
  <si>
    <t>ECONOMÍA CIRCULAR, UN MODELO SOSTENIBLE, RENOVABLE Y EFICIENTE EN EL ECUADOR</t>
  </si>
  <si>
    <t>Economía circular, un modelo sostenible, renovable y eficiente en el ecuador</t>
  </si>
  <si>
    <t>EJECUTAR EL PLAN DE IMPLEMENTACIÓN DE MEDIDAS Y ACCIONES REDD+ DE CONFENIAE  “GESTIÓN HOLÍSTICA DE LOS BOSQUES, BIODIVERSIDAD Y TERRITORIOS EN LAS NACIONALIDADES AMAZÓNICAS PARA COMBATIR EL CAMBIO CLIMÁTICO” / EXECUTE THE PLAN FOR THE IMPLEMENTATION OF REDD+ MEASURES AND ACTIONS OF CONFENIAE. EC208800</t>
  </si>
  <si>
    <t>Ejecutar el plan de implementación de medidas y acciones redd+ de confeniae  “gestión holística de los bosques, biodiversidad y territorios en las nacionalidades amazónicas para combatir el cambio climático” / execute the plan for the implementation of redd+ measures and actions of confeniae. Ec208800</t>
  </si>
  <si>
    <t>AGENCIA ESPAÑOLA DE COOPERACIÓN INTERNACIONAL PARA EL DESARROLLO AECID</t>
  </si>
  <si>
    <t>INSTITUTO DE INVESTIGACION GEOLOGICO Y ENERGETICO - IIGE</t>
  </si>
  <si>
    <t>ESTUDIO DE LA OBTENCIÓN DE BIO-PRODUCTOS A PARTIR DE LA PIRÓLISIS DE LA FRACCIÓN ORGÁNICA DE LOS RESIDUOS SÓLIDOS URBANOS (FORSU) PARA MITIGACIÓN DE IMPACTOS AMBIENTALES Y REVALORIZACIÓN DE RESIDUOS</t>
  </si>
  <si>
    <t>Estudio de la obtención de bio-productos a partir de la pirólisis de la fracción orgánica de los residuos sólidos urbanos (forsu) para mitigación de impactos ambientales y revalorización de residuos</t>
  </si>
  <si>
    <t>FUNDACION AVINA</t>
  </si>
  <si>
    <t>ALIANZA GIRO</t>
  </si>
  <si>
    <t>FORTALECIMIENTO DE CAPACIDADES DE ACTORES PARA LA GIRSU</t>
  </si>
  <si>
    <t>Fortalecimiento de capacidades de actores para la girsu</t>
  </si>
  <si>
    <t>PROGRAMA DE LAS NACIONES UNIDAS PARA EL DESARROLLO - PNUD</t>
  </si>
  <si>
    <t>MINISTERIO DEL AMBIENTE - MAE</t>
  </si>
  <si>
    <t>PREPARACIÓN DE LAS CONDICIONES HABILITANTES PARA LA ADAPTACIÓN A NIVEL NACIONAL Y ELABORACIÓN DEL PLAN NACIONAL DE ADAPTACIÓN AL CAMBIO CLIMÁTICO</t>
  </si>
  <si>
    <t>Preparación de las condiciones habilitantes para la adaptación a nivel nacional y elaboración del plan nacional de adaptación al cambio climático</t>
  </si>
  <si>
    <t>ORGANIZACION DE LAS NACIONES UNIDAS PARA EL DESARROLLO INDUSTRIAL - ONUDI</t>
  </si>
  <si>
    <t>PREPARACIÓN DE UN PLAN DE ELIMINACIÓN PROGRESIVA DE LOS HFC</t>
  </si>
  <si>
    <t>Preparación de un plan de eliminación progresiva de los hfc</t>
  </si>
  <si>
    <t>BANCO DE EXPORTACION E IMPORTACION DE COREA</t>
  </si>
  <si>
    <t>PROGRAMA DE INVERSIONES PARA APOYAR LA TRANSICIÓN DE LA MATRIZ ENERGÉTICA EN ECUADOR</t>
  </si>
  <si>
    <t>Programa de inversiones para apoyar la transición de la matriz energética en ecuador</t>
  </si>
  <si>
    <t>PROGRAMA DE MÁSTER EN CIENCIA Y POLÍTICA ENERGÉTICA (2019)</t>
  </si>
  <si>
    <t>Programa de máster en ciencia y política energética (2019)</t>
  </si>
  <si>
    <t>PROGRAMA DE MÁSTER EN DESARROLLO DE CAPACIDADES DE RESPUESTA AL CAMBIO CLIMÁTICO (2020)</t>
  </si>
  <si>
    <t>Programa de máster en desarrollo de capacidades de respuesta al cambio climático (2020)</t>
  </si>
  <si>
    <t>EMPRESA ELÉCTRICA QUITO</t>
  </si>
  <si>
    <t>Crosscutting</t>
  </si>
  <si>
    <t>Adaptación 50% y Mitigación 50%</t>
  </si>
  <si>
    <t xml:space="preserve">Al identificar las acciones de adaptación al cambio climático se diversificará las actividades productivas que se pueden llevar a cabo en el sitio de producción, diversificando asimismo los ingresos, incorporando aspectos de tecnología que permita el uso y manejo eficiente de los recursos. </t>
  </si>
  <si>
    <t>- Diversificación de actividades productivas económicas para los beneficiarios
- Fortalecimiento de la capacidad adaptativa de los beneficiarios
- Apropiación del proyecto para que sea sostenible en el tiempo</t>
  </si>
  <si>
    <t>Parte del Plan Nacional de Elimincación de los HFC, establece proyectos de reconversión tecnológica con la industria, que ocupa estas sustancias en sus procesos productivos.</t>
  </si>
  <si>
    <t>- Reconversión tecnológica con empresas de los sectores productivos.
- Capacitación a importadores, técnicos en refrigeración y aire acondicionado.
- Definición de Políticas Públicas relacionadas con el control de importación de sustancias agotadoras del ozono, así como establecimiento de cupos de importación.</t>
  </si>
  <si>
    <t>Técnicos nacionales del MAG con la experticia necesaria para conocer y aplicar la tecnológica keyline.</t>
  </si>
  <si>
    <t>5.000 héctareas (es poco), se pueden hacer muchas más, con SAF y/o barreras vivas implementadas por 5.000 familias directas (20.000 indirectas).
GADs nacionales replican el proyecto.</t>
  </si>
  <si>
    <t>Implementación de estándares y verificables para alcanzar certificaciones y apertura en nichos de mercados libres de deforestación.
Implementación de esquemas de trazabilidad de productos (commodities); además, productos forestales no maderables.
Medición de carbono en cadenas de valor y áreas de restauración.</t>
  </si>
  <si>
    <t>Aportar al país con resultados tangibles e instrumentos de verificación para acceder a fuentes de financiamiento enmarcadas en las decisiones de la Convención Marco de las Naciones Unidas para el Cambio Climático.
Generar información y herramientas de uso nacional para determinar acciones de prevención ante focos de deforestación, determinando costos de implementación y oportunidad por actividad.</t>
  </si>
  <si>
    <t>desplazamiento de diesel y uso de gas asociado como combustible para generación electrica</t>
  </si>
  <si>
    <t>Aprovechamiento de alrededor de 25 MMSCFD 
Apagado de 164 flares</t>
  </si>
  <si>
    <t>Las acciones que se realizan en un sector se pueden extrapolar hacia otras zonas con similares amenazas climáticas.</t>
  </si>
  <si>
    <t>Aumento de la resilincia climática en el sector Agricultura.</t>
  </si>
  <si>
    <t>Aunque hay prácticas simples y baratas que se usan globalmente para reciclar y reducir la cantidad
de desechos, hasta el momento éstas no se han aplicado en Galápagos, por ejemplo, la práctica
elemental de separar desechos orgánicos de los inorgánicos y plásticos. El reciclaje que se
propone nunca se ha intentado en Isabela.</t>
  </si>
  <si>
    <t>Buscamos reducir los efectos del cambio climático al reducir los gases de efecto invernadero, porque apuntamos a reducir la necesidad de transporte de alimentos a la isla.</t>
  </si>
  <si>
    <t xml:space="preserve">El presente proyecto incluye entre sus resultados el análisis para el uso del hidrógeno verde como vector energético y su integración con el sistema energético del país. En este sentido, el hidrógeno verde no ha sido implementado en forma significativa en el país, por lo que los hallazgos del estudio buscan proveer caminos para el desarrollo de tecnología a nivel país en las áreas de producción, almacenamiento, transporte, y uso de hidrógeno. </t>
  </si>
  <si>
    <t>Como resultado del programa se espera obtener: 
Documento conteniendo: el estado del arte en técnicas de generación de hidrógeno y conversión a energía eléctrica, la descripción y análisis de los usos potenciales del hidrógeno verde, el análisis para la integración con el sistema energético del país, y sugerencias de acción conjunta de los sectores público, privado, academia, y sociedad civil. Los hallazgos y metodología se presentarán en un artículo científico en una revista indexada de revisión por pares.</t>
  </si>
  <si>
    <t>La propuesta incluye la creación de una plataforma virtual para el análisis de consumo energético en edificaciones, enfocada en mejorar las condiciones de habitabilidad y ahorro energético en la costa ecuatoriana. La plataforma está orientada a ser de código abierto, permitiendo a los interesados en estudios de cambio climático acceder a su uso de forma gratuita y contribuir con el desarrollo de mejoras en el código fuente.</t>
  </si>
  <si>
    <t xml:space="preserve">Como resultados se espera:
•	Determinar la influencia del clima sobre el consumo energético del parque edificado en la zona de estudio.
•	Identificar del consumo energético al 2040 del parque edificado bajo los escenarios del IPCC.
•	Obtener la prospectiva energética del parque edificado y cuantificación de los GEI. 
•	Identificar estrategias de eficiencia energética para reducir el consumo energético futuro que permitan el planteamiento de normativas con miras a la mitigación y adaptación al cambio climático del parque edificado.
•	Generar insumos para actualizar el Capítulo 13 de eficiencia energética en edificaciones residenciales (NEC-HS-EE) de la Norma Ecuatoriana de la Construcción.
</t>
  </si>
  <si>
    <t>Investigation y desarrollo</t>
  </si>
  <si>
    <t xml:space="preserve">Comunidades empoderadas en mitigación al cambio climático </t>
  </si>
  <si>
    <t xml:space="preserve">Desarrollo nuevas tecnologías: I+D, monitoreo de plagas y riesgos agroclimáticos como sistemas de alerta temprana y herramientas de análisis de datos climáticos.
2. Innovación en prácticas agropecuarias. La investigación puede conducir a nuevas prácticas agrícolas más resilientes al cambio climático, mejorando la productividad y sostenibilidad del sector.
3 Transferencia de Tecnología: Colaboraciones Internacionales: El programa puede facilitar acuerdos con instituciones extranjeras para el intercambio de tecnologías avanzadas y conocimientos especializados.
</t>
  </si>
  <si>
    <t>Con la implementación del programa se espera optimizar la eficiencia de uso de agua y energía; obteniendo mayor rendimiento con menor uso de recursos naturales y económicos, fortaleciendo su capacidad para enfrentar los desafíos climáticos y promoviendo una mayor resiliencia y sostenibilidad en el sector.</t>
  </si>
  <si>
    <t>El proyecto "Determinación del consumo energético de combustible y factores de emisión en el sector transporte de Ecuador" desempeña un papel fundamental en el desarrollo y la transferencia de tecnología al promover la adopción de tecnologías avanzadas para la medición, monitoreo y optimización de la eficiencia energética de combustible y las emisiones vehiculares. Al implementar sistemas de telemetría y equipos portátiles de medición de emisiones (PEMS), el proyecto fomenta el desarrollo de capacidades técnicas en la medición precisa de emisiones de gases de efecto invernadero (GEI) en condiciones reales de operación, lo que es esencial para cumplir con los estándares internacionales.
Este enfoque tecnológico permite a las instituciones nacionales adquirir experiencia en el uso de equipos avanzados, promoviendo la transferencia de conocimientos sobre nuevas metodologías para el análisis de datos energéticos y de emisiones. Asimismo, facilita la integración de herramientas digitales que optimizan la recolección y análisis de información en tiempo real, incrementando la precisión y eficiencia en la evaluación del desempeño del sector transporte.
El proyecto también contribuye a la transferencia de tecnología mediante la evaluación de vehículos eléctricos, híbridos y sistemas de biocombustibles, promoviendo su adopción como alternativas sostenibles a los combustibles fósiles. Al identificar y evaluar las oportunidades de implementación de estas tecnologías en el contexto ecuatoriano, se generarán recomendaciones para la adaptación e integración de soluciones innovadoras en la infraestructura del transporte nacional.
Finalmente, los resultados del proyecto proporcionarán una base sólida para la formulación de políticas públicas que impulsen la inversión en tecnologías más limpias, incentivando el financiamiento internacional y la cooperación tecnológica. De esta manera, el proyecto no solo promueve la modernización del transporte, sino que también posiciona a Ecuador como un receptor activo de tecnología y un actor clave en los esfuerzos globales de mitigación del cambio climático.</t>
  </si>
  <si>
    <t>Con la implementación del proyecto "Determinación del consumo energético de combustible y factores de emisión en el sector transporte de Ecuador", se espera obtener resultados tangibles que contribuyan a la eficiencia energética y la reducción de emisiones de gases de efecto invernadero (GEI) en el sector transporte, apoyando los compromisos nacionales de Ecuador en la lucha contra el cambio climático.
El proyecto generará una base de datos exhaustiva que recopilará información detallada sobre el consumo de combustibles y las emisiones de GEI bajo condiciones locales de operación de los vehículos. Esta base de datos será crucial para realizar diagnósticos precisos y fundamentar la toma de decisiones en cuanto a la implementación de políticas públicas y programas de eficiencia energética.
El análisis de los datos obtenidos permitirá identificar áreas clave para reducir el consumo energético y las emisiones en el sector transporte. Entre las oportunidades de mejora se destacan la transición hacia vehículos eléctricos e híbridos, la adopción de biocombustibles, y la modernización de la flota vehicular, lo que ayudará a cumplir con los objetivos de reducción de emisiones de la Contribución Determinada a Nivel Nacional (NDC).
El proyecto capacitará a técnicos y profesionales locales en el uso de tecnologías avanzadas de medición, como los sistemas de telemetría y los equipos portátiles de medición de emisiones (PEMS). Esto garantizará una gestión más eficiente y continua de los datos relacionados con el desempeño energético y las emisiones.
Con los resultados obtenidos, se formularán recomendaciones para políticas públicas que promuevan la eficiencia energética y el uso de tecnologías limpias en el transporte. Estas propuestas estarán alineadas con los compromisos internacionales de Ecuador en el marco del Acuerdo de París, promoviendo un desarrollo sostenible y bajo en carbono a largo plazo.</t>
  </si>
  <si>
    <t xml:space="preserve">Mediante la utilización de nuevas tecnologías en el monitoreo de la calidad de agua  permitirá contar con información en tiempo real mediante  la aplicación de  tele detección, nuevos sensores remotos de monitoreo, el desarrollo y aplicación de modelos matemáticos se constituyen en una herramienta fundamental para poder determinar el comportamiento de un contaminante especifico o un grupo de contaminantes en los recursos hídricos superficiales. </t>
  </si>
  <si>
    <t>Contar con información de calidad de agua integrada en una base de datos de fácil acceso que pueda ser integrada con la información que se levante en territorio por los organismos competentes es imprescindible para el país tomando en consideración además lo expuesto por la FAO: "la creciente escasez de agua ejercerán presión sobre el suministro de alimentos (IPCC) así como sobre la mayor parte del agua dulce utilizada; de media, el 70 por ciento de esta última se utiliza para la agricultura (se necesitan entre 2000 y 5000 litros de agua para producir los alimentos diarios de una persona) (FAO)"; por lo que la información y el conocimiento generado servirá para el establecimiento de políticas públicas y la toma de decisiones de los organismos correspondientes; así como para el desarrollo de estudios e investigaciones.</t>
  </si>
  <si>
    <t xml:space="preserve">Adquisición de Software y hardware para modelación hidrológica, capacitación integral. </t>
  </si>
  <si>
    <t xml:space="preserve">Contar con la actualización del balance hídrico a nivel nacional así como su planificación de uso, aprovechamiento y conservación. </t>
  </si>
  <si>
    <t xml:space="preserve">El impacto esperado con la implementación del proyecto de transferencia de tecnología incluye una mejora significativa en la transición a una economía circular, a través de un registro más preciso de emisiones y residuos, lo que facilitará la identificación de áreas críticas y la adopción de medidas correctivas. Además, garantizará el cumplimiento de la legislación  y se proporcionarán datos valiosos para la toma de decisiones informadas en políticas públicas. </t>
  </si>
  <si>
    <t xml:space="preserve">El proyecto contribuye al desarrollo y transferencia de tecnología mediante la implementación de prácticas agroecológicas adaptadas a las condiciones locales y el uso de tecnologías de bajo costo que optimizan la resiliencia climática en los sistemas agroalimentarios. Las capacitaciones y asistencia técnica brindadas a los productores promueven el uso de técnicas sostenibles, como el manejo integrado de suelos, el compostaje, la agroforestería y el uso eficiente del agua, que no solo aumentan la productividad sino que también preservan el ecosistema.
La tecnología transferida incluye la promoción de sistemas agroforestales que combinan especies nativas con cultivos comerciales, lo cual mejora la biodiversidad y la fertilidad del suelo. Además, el uso de biofertilizantes y biopesticidas, derivados de recursos naturales locales, reemplaza los insumos químicos tradicionales, reduciendo costos y riesgos ambientales. Estas técnicas permiten una transición hacia sistemas de producción más sostenibles y resistentes a los cambios climáticos.
El proyecto también fomenta la adopción de tecnologías de monitoreo y gestión de los recursos hídricos, como sistemas de riego por goteo, que optimizan el uso del agua en áreas vulnerables. Asimismo, se promueve el uso de aplicaciones móviles y plataformas digitales para facilitar el intercambio de información entre los productores, técnicos y expertos, fortaleciendo la toma de decisiones informadas.
A través de talleres y demostraciones en campo, se facilita la transferencia de conocimientos y tecnologías desde centros de investigación agroecológica y universidades hacia las comunidades locales. Esto no solo fortalece las capacidades locales, sino que también promueve la innovación, adaptando las tecnologías a las necesidades y condiciones de los pequeños productores. En última instancia, se contribuye a la sostenibilidad de los sistemas agroalimentarios y a la preservación del ecosistema.
</t>
  </si>
  <si>
    <t xml:space="preserve">El resultado esperado con la implementación del proyecto es el fortalecimiento de la resiliencia climática de las comunidades productoras en la Sierra centro de Ecuador, mediante la adopción de prácticas agroecológicas y la creación de corredores agroecológicos que promuevan la biodiversidad y la sostenibilidad. Se espera que, al finalizar el proyecto, los productores hayan incorporado técnicas sostenibles que mejoren la salud de los suelos, conserven los recursos hídricos y diversifiquen sus cultivos, reduciendo así su vulnerabilidad a los efectos del cambio climático.
Un resultado clave será el aumento de la biodiversidad en las áreas de intervención, gracias a la restauración de suelos y la protección de especies nativas, lo que fortalecerá los servicios ecosistémicos y garantizará la sostenibilidad a largo plazo de los sistemas productivos. Además, se prevé una mejora en la seguridad alimentaria y en los ingresos de las comunidades participantes, debido al incremento en la productividad agrícola sostenible y la reducción de costos al disminuir el uso de insumos químicos.
A nivel comunitario, se espera que las redes locales se fortalezcan, con un mayor intercambio de conocimientos y experiencias entre los productores, lo que contribuirá a la construcción de capacidades y al empoderamiento de las comunidades para enfrentar los desafíos climáticos de manera autónoma. Este enfoque colaborativo y participativo también generará un impacto positivo en la cohesión social.
</t>
  </si>
  <si>
    <t>Se espera una disminución significativa en los residuos generados por empaques y envases, contribuyendo a la reducción de emisiones de gases de efecto invernadero (GEI) asociadas al ciclo de vida de los productos. Además, el proyecto fomentará una mayor colaboración internacional para el financiamiento y la transferencia de tecnología en temas de economía circular y gestión de residuos.</t>
  </si>
  <si>
    <t>El resultado esperado es la creación de un marco normativo integral que regule la gestión de empaques y envases bajo el principio REP, apoyado por tecnologías de monitoreo y reciclaje avanzadas. Este marco permitirá a Ecuador avanzar hacia una economía circular, reduciendo la generación de residuos y mejorando la eficiencia en el uso de materiales. Se espera también el fortalecimiento de las capacidades técnicas y regulatorias tanto en el sector público como en el privado, asegurando la sostenibilidad a largo plazo del sistema de gestión de residuos.</t>
  </si>
  <si>
    <t xml:space="preserve">Con base en los estudios se prevé la instalación de sistemas de alerta temprana, así como la elaboración e implementación de planes de recuperación de medios de producción agrícolas y pecuarios de familias campesinas afectadas. </t>
  </si>
  <si>
    <t>Familias campesinas de comunidades de los cantones Pucará, Santa Isabel y Nabón resilientes al cambio climático y el desarrollo sostenible</t>
  </si>
  <si>
    <t>Modelos Hidrológicos, hidráulica, proyecciones de cambio climático, modelos morfofonológicos, propuestas de infraestructura amigables con el medio ambiente, diseño de infraestructura ajustada al cambio climático, evitar riesgos, gobernanza en riesgos para la adaptación al cambio climático. 
Tambien aporta en la parte social para generar conciencia sobre la importancia de los flujos de agua sus cauces y el dominio hidrico publico, permitiendo la capacidad a los GADs de tener propuestas seria y concisas sobre el tratamiento de los ríos y Quebradas en sus diferentes cauces.</t>
  </si>
  <si>
    <t>Generar políticas publicas que los GADs puedan utilizar para reducir los riesgos hídricos y dadas desde la Autoridad única del Agua. También capacitaciones a la población sobre tipos de muros y metodologías para la prevención de los riesgo hídricos por erosión. Adaptarnos de mejor manera al entorno existente y que se modifica constantemente.</t>
  </si>
  <si>
    <t>El Componente Estratégico del Plan nacional GIRS establece como eje a la “Innovación sostenible y tecnología”. Este eje propiciará la investigación, el desarrollo y la innovación inherente a la Gestión Integral de Residuos y Desechos Sólidos en el Ecuador. Para esto, se tiene previsto analizar e incorporar soluciones tecnologías sostenibles y apropiadas que impulsen la economía circular en las diferentes fases de la GIRS, basados siempre en el principio de jerarquización. 
Por tal motivo una vez que se definan los programas y proyectos específicos de este eje, es importante estipular la transferencia de tecnologías.</t>
  </si>
  <si>
    <t>Implementación de programas y proyectos establecidos en el Plan nacional GIRS, que incluye el ámbito de la mitigación de cambio climático.</t>
  </si>
  <si>
    <t>El Programa Nacional de Manejo Integral del Fuego en Ecuador puede contribuir al desarrollo y transferencia de tecnología en escenarios de cambio climático de las siguientes maneras:
Adaptación de Prácticas Sostenibles: Promoviendo técnicas de manejo del fuego que son resilientes al cambio climático, como prácticas agroecológicas y sistemas de manejo de recursos que reducen la vulnerabilidad de los ecosistemas.
Desarrollo de Tecnologías Adaptativas: Fomenta la investigación y el desarrollo de tecnologías que ayuden a mitigar el impacto del fuego en contextos climáticos cambiantes, como métodos de monitoreo climático y herramientas para la predicción de incendios.
Capacitación en Resiliencia Climática: Ofrece formación a comunidades y técnicos en el uso de tecnologías que integran el manejo del fuego con estrategias de adaptación al cambio climático, como la gestión de suelos y el uso eficiente del agua.
Monitoreo y Evaluación de Ecosistemas: Implementa sistemas de monitoreo y alerta temprana que utilizan tecnologías avanzadas (como SIG y drones) permitiendo acciones preventivas y una respuesta más efectiva.
Fomento de Alianzas: Colabora con instituciones científicas y organizaciones internacionales para intercambiar conocimientos y tecnologías que aborden los efectos del cambio climático en la gestión del fuego. Ahor amismo hay enlace con el USFS, FAO, Amazon + de la Unión Europea, ademas de incntituciones academicas nacionales.
Sensibilización sobre Impactos Climáticos: Realiza campañas de sensibilización sobre cómo el cambio climático puede incrementar el riesgo de incendios, promoviendo un enfoque proactivo en el manejo del fuego.
Modelos Predictivos: Desarrolla y aplica modelos que incorporan variables climáticas para prever y gestionar mejor los riesgos de incendios en diferentes regiones del país.
A través de estas acciones, el programa no solo busca manejar el fuego de manera sostenible, sino también fortalecer la capacidad de adaptación de comunidades y ecosistemas frente a los desafíos que presenta el cambio climático.</t>
  </si>
  <si>
    <t>Incidir en la reducción de incendios forestales en Ecuador mediante la mejora de la protección y el manejo de ecosistemas en riesgo, impulsando la resiliencia de paisajes y comunidades frente a los impactos de estos incendios. Además, se busca fortalecer las capacidades no solo del MAATE, sino también de otros actores con competencias en la materia a nivel nacional y local.</t>
  </si>
  <si>
    <t>Incrementar la difusión de información a la colectividad.</t>
  </si>
  <si>
    <t>Se incrementa notablemente el control y reducción de emisiones de gases de efecto invernadero producidos por el relleno sanitario "Pichacay"; además de implementar e instalar tecnología de vanguardia en lo que a generación de energía eléctrica a biogás corresponde.</t>
  </si>
  <si>
    <t>Incremento de 1 MW de la potencia instalada de la central reflejado en la producción de cerca de 5.200 MW anuales, correspondientes a la reducción de cerca de 25.000 tCO2e.</t>
  </si>
  <si>
    <t>Desarrollo de la industria carrocera nacional. Disminución de la huella de carbono para logística de productos de exportación. Disminución del uso del subsidio de combustibles</t>
  </si>
  <si>
    <t>Incrementos de VE del transporte público y comercial en sustitución de los VCI que han cumplido TVU, por la disminución del costo inicial de compra gracias al incentivo y crédito</t>
  </si>
  <si>
    <t>La articulación de la Academia, el Sector Productivo y el Estado en torno a la generación, difusión y aprovechamiento del conocimiento y la tecnología son elementos fundamentales para impulsar procesos de desarrollo; en tal sentido, es necesario definir mecanismos que posibiliten una adecuada transferencia y asimilación de tecnología hacia aquellos sectores que lo requieren.</t>
  </si>
  <si>
    <t>Adquisición y Adaptación de Nuevas Tecnologías: La implementación de estaciones meteorológicas automáticas, sistemas de modelación numérica avanzados y plataformas tecnológicas como GEOGLOWS permite la adopción de nuevas tecnologías que son cruciales para la recolección y análisis de datos hidrometeorológicos en tiempo real. Transferencia de Conocimientos Técnicos: La transferencia de tecnología no se limita a los equipos, sino que también incluye la capacitación y el desarrollo de capacidades en el uso de las herramientas tecnológicas. Esto implica formar al personal en el manejo de nuevos softwares de modelación hidrometeorológica, sistemas de alerta temprana y plataformas de análisis de datos.</t>
  </si>
  <si>
    <t>La implementación de nuevas tecnologías y la interconexión de bases de datos permitirán al INAMHI ofrecer pronósticos meteorológicos e hidrológicos más precisos y confiables, mejorando la capacidad de anticipación ante fenómenos climáticos extremos.
La creación y optimización de sistemas de alerta temprana multirriesgo facilitará una respuesta más rápida y coordinada ante eventos de desastres naturales como inundaciones, sequías, y otros fenómenos adversos, protegiendo vidas y reduciendo pérdidas económicas.
Las instituciones públicas y privadas tendrán acceso a información hidrometeorológica estratégica, lo que permitirá una planificación y gestión más eficiente de los recursos hídricos, energéticos y agrícolas, apoyando decisiones fundamentadas y sostenibles.</t>
  </si>
  <si>
    <t>La repotenciación del monitoreo 24/7 de eventos adversos relacionados con la gestión de riesgos de desastres y eventos climáticos extremos en Ecuador tiene un impacto crucial al mejorar la detección temprana, lo que permite emitir alertas confiables y oportunas para minimizar daños. Esto optimiza la coordinación y respuesta ante emergencias, reduciendo el riesgo para poblaciones vulnerables y la infraestructura crítica, y disminuyendo pérdidas humanas y económicas. Además, fortalece la resiliencia comunitaria al proporcionar información en tiempo real para la toma de decisiones basadas en datos, promoviendo una gestión de riesgos más efectiva y adaptativa frente a los efectos del cambio climático.</t>
  </si>
  <si>
    <t xml:space="preserve">Los productores agrícolas, estudiantes de la academia, emprendedores y ambientalistas podrán acceder al manejo e interpretación de la información climática local,  generada en los laboratorios climáticos rurales provistos de instrumentos climáticos de tecnología y mediante aplicaciones móviles podran difundir la información para preveer y responder ante una variación climática desfavorable. </t>
  </si>
  <si>
    <t xml:space="preserve">Los beneficiarios contarán con laboratorios climáticos rurales para preveer y responder ante las condiciones climáticas adversas.
Los beneficiarios contarán con una red emprendimientos y fincas agroecológicas con acceso a la información de laboratorios climáticos.
Los beneficiarios contarán con protocolos de respuesta - acción ante los factores climáticos adversos locales.
Los beneficiarios contarán con una mesa técnica para la agricultura sostenible basada en el clima. 
Los beneficiarios contarán con la capacitación especializada en gestores de respuesta y acción ante factores climáticos adversos así como el fortalecimiento de sus habilidades blandas y duras. 
Los beneficiarios contarán la formación y acompañamiento técnico en bioemprendimientos y soluciones basadas en la natauraleza.
Los beneficiarios contarán con iniciativas para nuevos proyectos. </t>
  </si>
  <si>
    <t xml:space="preserve">La transferencia de tecnología en el ámbito de la red básica de meteorología e hidrología implica compartir conocimientos, herramientas y metodologías para mejorar la recolección, análisis y difusión de datos relacionados con el clima y el agua. </t>
  </si>
  <si>
    <t>Los resultados de una red básica meteorológica e hidrológica son amplios desde generar informacion misma que es transversal y tienen un impacto positivo en la sociedad, la economía y el medio ambiente.</t>
  </si>
  <si>
    <t>El proyecto permitirá implementar el Plan Nacional de Reducción de Residuos Plásticos, promoviendo el uso de tecnologías de sustitución de plásticos, y capacitará a actores clave en mejores prácticas para reducir la contaminación plástica. El uso de tecnologías avanzadas en reciclaje y gestión de residuos será esencial para lograr estos objetivos.</t>
  </si>
  <si>
    <t>Los resultados esperados incluyen la implementación exitosa del Plan Nacional de Reducción de Residuos Plásticos, la capacitación de actores clave en la gestión de residuos, y la reducción del uso de plásticos de un solo uso a nivel nacional. Asimismo, se espera que los proyectos piloto generen información valiosa para el desarrollo de políticas nacionales que promuevan la adopción de materiales alternativos y sostenibles.</t>
  </si>
  <si>
    <t>La micromovilidad eléctrica fomenta la utilización de modos de transporte amigables con el ambiente en reemplazo de vehículos de combustión interna disminuyendo la dependencia de los combustibles fósiles y reduciendo las emisiones de gases de efecto invernadero, mejorando el medio ambiente y la salud de la población.</t>
  </si>
  <si>
    <t>Modelo que determina una zona de influencia para establecer el uso de micromovilidad eléctrica como complemento al sistema de transporte público existente en el hipercentro de ciudades intermedias – caso de estudio Ambato.
Artículo científico para su publicación en revista de alto impacto.</t>
  </si>
  <si>
    <t>Planificar el camino hacia un cuidado de la salud con emisiones cero.</t>
  </si>
  <si>
    <t xml:space="preserve">poder realizar planes de manejo adecuado del recurso hídrico, toma de decisiones informadas. </t>
  </si>
  <si>
    <t>Puntos de contaminación identificados.</t>
  </si>
  <si>
    <t>El aumento de temperaturas y la variabilidad climática pueden intensificar la diseminación de residuos de medicamentos veterinarios y bacterias resistentes a través de ríos, afectando tanto la calidad del agua como la salud humana y animal. El proyecto busca abordar la relación entre la resistencia antimicrobiana y el cambio climático en Ecuador, cumpliendo con los compromisos climáticos y protegiendo los recursos hídricos.</t>
  </si>
  <si>
    <t>Reducción de la contaminación hídrica por residuos antimicrobianos.
Identificación de los efectos combinados del cambio climático y la resistencia antimicrobiana.
Políticas integradas de mitigación para la gestión de residuos veterinarios y protección de cuerpos de agua.
Cumplimiento de los compromisos climáticos y mejora en la transparencia en la gestión ambiental.</t>
  </si>
  <si>
    <t>En el Ecuador existe una brecha de tecnificación y modernización de riego de más de 200.000 hectáreas. La inversión con el enfoque de adaptación a cambio climático buscará el uso eficiente del recurso hídrico, pero además permitirá el uso de tecnologías para el cálculo adecuado de láminas y períodos de riego mediante el uso de sensores e interpretación mediante información de teledetección, además permitirá efectos complementarios como ahorro de fertilizantes con la transición de la fertilización edáfica a fertirriego.</t>
  </si>
  <si>
    <t>Reducción de la vulnerabilidad a la variabilidad climática de los sistemas productivos vitales para la seguridad alimentaria, lo cual permitirá al Ecuador una reserva estratégica de territorios dedicados a la provisión de alimentos básicos para la población.</t>
  </si>
  <si>
    <t>Mejoramiento de los procesos que lleva el Ministerio de Energía y Minas.</t>
  </si>
  <si>
    <t>Reducción de tiempos de respuesta de información a la Autoridad Ambiental Nacional.</t>
  </si>
  <si>
    <t xml:space="preserve">-Fortalecimiento organizativo y mejoras tecnológicas y  adaptativas, para asegurar la sostenibilidad de medios de vida en comunidades. (sostenibilidad de medios de vida en comunidades).
-Promoción de nuevos servicios financieros, tecnológicos y digitalizados (financiamiento movilizado para la adaptación climática)
</t>
  </si>
  <si>
    <t>Reducir el impacto del cambio climático sobre los grupos locales, los paisajes altoandinos y sus servicios ecosistémicos y aumentar su resiliencia mediante el uso de (i) instrumentos integrales de política y planificación, (ii) financiación, tecnologías y capacidades para prácticas adaptativas, (iii) información y datos necesarios, (iv) mecanismos de diálogo y redes de actores comprometidos.</t>
  </si>
  <si>
    <t xml:space="preserve">Transferencia de Tecnologías ambientales: Es decir, la transferencia de las formas de investigación basada en tecnologías para los diferentes grupos humanos e investigadores que visiten el Proyecto. </t>
  </si>
  <si>
    <t>Resultados:
1. Escuela de la Mundialidad establecida, que recibe investigadores y ecoturistas para el fomento de la conservación de la biodiversidad existente en la zona del río Zuñag como parte de la cuenca del río Pastaza y del Corredor Biológico Llanganates-Sangay.
2. Desarrollo de bioemprendimientos priorizando la participación de la mujer de las familias de las comunidades asentadas en la Cuenca del Río Pastaza, que aporten al ingreso económico de las familias y por ende el mejoramiento de la calidad de vida de las personas de esta parroquia.
3. Incremento de hectáreas conservadas como aporte a las Contribuciones Determinadas a Nivel Nacional NCD: Limitar el aumento medio de la temperatura mundial a 1,5 ºC con base a retención del carbono y la purificación del aire.</t>
  </si>
  <si>
    <t xml:space="preserve">Implementar cultivos bio diversos de rubros no convencionales de productos de origen vegetal nativo de la amazonia ecuatoriana </t>
  </si>
  <si>
    <t xml:space="preserve">Se beneficia a 100 familias de los cantones taisha y Morona con fortalecimiento de su cadena productiva </t>
  </si>
  <si>
    <t>Se contará con información meteorológica e hidrometerológica para uso de análisis de riesgos climáticos, eventos extremos, sequías, variabilidad climática y cambio climático.</t>
  </si>
  <si>
    <t>Se utilizara tecnologías basadas en la GUIA DE OGMP 2.0 para medición de metano nivel L4 y L5. Estas tecnologías pueden ser sensores de metano en tiempo real, drones, modelos avanzados de simulación</t>
  </si>
  <si>
    <t>Se espera disponer de datos de diversas fuentes para facilitar la toma de decisiones en lo que respecta a las medidas de mitigación</t>
  </si>
  <si>
    <t>Las actividades de implementación de estrategias para adaptación al cambio climático incluyen infraestructura en barrios de Cuenca con un adecuado monitoreo y evaluación de su eficiencia en reducir el consumo de agua potable. Las estrategias son co-construidas con las y los ciudadanos y los resultados formarán parte de estudios científicos y serán expuestos en talleres con los involucrados y con tomadores de decisión de la ciudad.</t>
  </si>
  <si>
    <t>Se espera encontrar estrategias de adaptación que reduzcan el uso de agua potable en zonas residenciales y otras estrategias que permitan a ETAPA, la empresa de agua potable, mejorar la oferta de agua potable.</t>
  </si>
  <si>
    <t>Será un sistema web muy dinámico, amigable y utilizado por TODAS las instituciones del Sistema Nacional, teniendo más de 400 instituciones interactuando y más de 4500 usuarios a nivel nacional</t>
  </si>
  <si>
    <t>La información agroclimática se transfiere a los actores del sector productivo en mesas agroclimáticas</t>
  </si>
  <si>
    <t xml:space="preserve">Una red de monitoreo agrometeorológico implementada y funcional </t>
  </si>
  <si>
    <t xml:space="preserve">Uso de plantas de la zona para generar alternativas como empleo y dinamizar la economía en áreas completamente abandonadas </t>
  </si>
  <si>
    <t>Investigación aplicada y desarrollo tecnológico</t>
  </si>
  <si>
    <t>Proyecto experimental piloto o pruebas a gran escala</t>
  </si>
  <si>
    <t>Mejoras en la tecnología ya existente</t>
  </si>
  <si>
    <r>
      <t xml:space="preserve">Information on financial support received by developing country Parties under Article 9 of the Paris Agreement </t>
    </r>
    <r>
      <rPr>
        <b/>
        <vertAlign val="superscript"/>
        <sz val="9"/>
        <rFont val="Times New Roman"/>
        <family val="1"/>
      </rPr>
      <t>a, b</t>
    </r>
  </si>
  <si>
    <t>En Ecuador, el socio local EcoCiencia pondrá a prueba el monitoreo en tiempo real de la degradación forestal utilizando imágenes satelitales de alta resolución para desarrollar una mayor comprensión de las causas de la degradación. EcoCiencia analizará la capacidad del gobierno, identificará las principales brechas y hará un seguimiento con las autoridades para mejorar el uso de la información. También trabajarán con los waorani para fortalecer sus capacidades de monitoreo para recibir alertas de datos, acceder a imágenes satelitales y redactar informes técnicos.</t>
  </si>
  <si>
    <t>Investigación, estudios y generación de conocimiento</t>
  </si>
  <si>
    <t>Programa de Maestría para el desarrollo de recursos humanos de los países en desarrollo en respuesta al cambio climático a través del programa de mejora de capacidades y avance para el mañana del CIAT</t>
  </si>
  <si>
    <t>This operation seeks to assist the government in its agenda to tackle selected structural challenges to foster growth, inclusion, job creation, and climate resilience, strengthen low-carbon development and help realize its commitment to become carbon neutral by 2050.</t>
  </si>
  <si>
    <t>Reducir el uso global de agroquímicos nocivos apoyando a los agricultores para que accedan a financiamiento, prácticas de producción innovadoras y sostenibles, y accedan de manera competitiva a los mercados de consumo en Ecuador.</t>
  </si>
  <si>
    <t>Adopción de tecnología y transferencia de tecnología probada</t>
  </si>
  <si>
    <t>Its objective is to catalyze a framework for regulatory and financial investment to detoxify the agriculture sector by eliminating the use of the most harmful inputs to food production systems</t>
  </si>
  <si>
    <t>Programa PROPIO- Proyecto - Creación de una red de grupos de investigación para el estudio de los efectos del cambio climático en la biodiversidad y la provisión de servicios ecosistémicos en bosques tropicales montaños de los Andes.</t>
  </si>
  <si>
    <t>Ecuador 2022 Estudio de la viabilidad técnica de producción de bioetanol a partir de residuos lignocelulósicos de los cultivos mayores itarios en Ecuador. Fase 2</t>
  </si>
  <si>
    <t>MITIGACIÓN</t>
  </si>
  <si>
    <t>Diseñar un sistema de información para monitoreo de costos de producción e inteligencia de mercados para sistemas de producción agroecológicos.alumnado tendrá a su cargo las siguientes tareas: 1. Analizar dinámicas productivas en sistemas productivos agroecológicos, previa identificación de territorios, tipologías y casos para estudio 2. Identificar impactos y limitaciones de mercados agroecológicos 3. Diseñar metodología de análisis de costos de producción en sistemas agroecológicos 4. Diseñar herramientas para recopilación de información 5. Diseñar e implementar sistema de información sobre costos de producciónLas becas de cooperación MERIDIES están destinadas a estudiantes de la UPV para la realización de prácticas o Proyectos Final de Carrera (PFC) en programas y proyectos de cooperación al desarrollo en países del Sur, a través de universidades, organizaciones no gubernamentales de desarrollo, organismos internacionales, entidades sociales y otros actores del sistema internacional de cooperación al desarrollo.</t>
  </si>
  <si>
    <t>Proyecto experimental o pruebas a escala</t>
  </si>
  <si>
    <t>Implantación de digestores anaerobios en comunidades rurales andinas en Ecuador.El alumnado tendrá a su cargo las siguientes tareas: - Cooperar en la programación y evaluación de capacitación realizada por emprendedores de las comunidades andinas - Fortalecer el desarrollo socio-económico del sector asociativo con un enfoque innovador de impacto social, participación ciudadana y medio ambiente, garantizando el desarrollo sostenible de Bolívar - Ayudar en los análisis de los materiales,  evaluación de biofilms soporte de microorganismos anaerobios en los digestores, desarrollo de modelos cinéticos, determinación de potenciales e instrucciones de manejo - Participar en el programa de formación de agricultores y técnicos - Determinación del poder calorífico, análisis elemental y proximal de los materialesLas becas de cooperación MERIDIES están destinadas a estudiantes de la UPV para la realización de prácticas o Proyectos Final de Carrera (PFC) en programas y proyectos de cooperación al desarrollo en países del Sur, a través de universidades, organizaciones no gubernamentales de desarrollo, organismos internacionales, entidades sociales y otros actores del sistema internacional de cooperación al desarrollo.</t>
  </si>
  <si>
    <t>Energía IDIQ</t>
  </si>
  <si>
    <t>AGENCIA PARA EL DESARROLLO INTERNACIONAL</t>
  </si>
  <si>
    <t>EN 2026, EL ESTADO Y LA SOCIEDAD AVANZAN HACIA LA TRANSICIÓN ECOLÓGICA Y HACIA UNA ECONOMÍA SOSTENIBLE E INCLUSIVA, DESCARBONIZADA Y RESILIENTE ANTE LOS EFECTOS DEL CAMBIO CLIMÁTICO, CONSERVANDO LA BIODIVERSIDAD, EVITANDO LA DEGRADACIÓN DE TIERRAS Y LA CONTAMINACIÓN DE LOS ECOSISTEMAS, CON ENFOQUE DE GÉNERO, INCLUSIÓN Y DIVERSIDADES.</t>
  </si>
  <si>
    <t>Escalamiento del proceso tecnológico</t>
  </si>
  <si>
    <t>EN 2026, EL ESTADO Y LA SOCIEDAD AVANZAN HACIA LA TRANSICIÓN ECOLÓGICA Y HACIA  UNA ECONOMÍA SOSTENIBLE E INCLUSIVA, DESCARBONIZADA Y RESILIENTE ANTE LOS EFECTOS  DEL CAMBIO CLIMÁTICO, CONSERVANDO LA BIODIVERSIDAD, EVITANDO LA DEGRADACIÓN DE  TIERRAS Y LA CONTAMINACIÓN DE LOS ECOSISTEMAS, CON ENFOQUE DE GÉNERO, INCLUSIÓN Y  DIVERSIDADES.</t>
  </si>
  <si>
    <t>EL OBJETIVO DEL PROYECTO ES MEJORAR EL SERVICIO DE TRANSPORTE PÚBLICO DE LA CIUDAD DE QUITO A TRAVÉS DE LA RENOVACIÓN DE LA FLOTA DE TROLEBUSES CON TECNOLOGÍA ELÉCTRICA QUE CONTRIBUYA A LA MOVILIDAD SOSTENIBLE CON LA REDUCCIÓN DE LAS EMISIONES CONTAMINANTES PARA LA PRESTACIÓN DE UN SERVICIO DE CALIDAD.</t>
  </si>
  <si>
    <t>PROMOVER UN MODELO DE GESTIÓN PÚBLICO-PRIVADO QUE CONTRIBUYA A LAS POLÍTICAS Y PRÁCTICAS DE ADAPTACIÓN Y MITIGACIÓN DEL CAMBIO CLIMÁTICO EN EL SECTOR CAFETALERO DE ECUADOR Y PERÚ, BASADO EN EVIDENCIAS DE SECUESTRO DE CARBONO EN SISTEMAS INNOVADORES DE PRODUCCIÓN AGROFORESTAL SOSTENIBLE.</t>
  </si>
  <si>
    <t>EVALUAR ALTERNATIVAS DE ALTA EFICIENCIA ENERGÉTICA MEDIANTE LA APLICACIÓN DE GEOTERMIA DE BAJA ENTALPÍA, MISMAS QUE CONTRIBUYAN A REDUCIR EL CONSUMO DE ENERGÍA ELÉCTRICA EN EDIFICIOS OCASIONADOS POR EL USO DE SISTEMAS DE CLIMATIZACIÓN CONVENCIONALES.</t>
  </si>
  <si>
    <t>9.2 PROMOVER LA INDUSTRIALIZACIÓN INCLUSIVA Y SOSTENIBLE Y, DE AQUÍ A 2030, AUMENTAR SIGNIFICATIVAMENTE LA PARTICIPACIÓN DE LA INDUSTRIA EN EL EMPLEO Y EL PRODUCTO INTERNO BRUTO, EN CONSONANCIA CON LAS CIRCUNSTANCIAS NACIONALES, Y DUPLICAR SU PARTICIPACIÓN EN LOS PAÍSES MENOS ADELANTADOS. 12.4 PARA 2020, LOGRAR EL OBJETIVO AMBIENTALMENTE RACIONAL GESTIÓN DE PRODUCTOS QUÍMICOS Y TODOS LOS DESECHOS A LO LARGO DE SU CICLO DE VIDA, DE CONFORMIDAD CON LOS MARCOS INTERNACIONALES ACORDADOS, Y REDUCIR SIGNIFICATIVAMENTE SU LIBERACIÓN AL AIRE, EL AGUA Y EL SUELO PARA MINIMIZAR SUS IMPACTOS ADVERSOS EN LA SALUD HUMANA Y EL MEDIO AMBIENTE. 12.6 ALENTAR A LAS EMPRESAS, ESPECIALMENTE LAS EMPRESAS GRANDES Y TRANSNACIONALES, PARA ADOPTAR PRÁCTICAS SOSTENIBLES E INTEGRAR INFORMACIÓN SOBRE SOSTENIBILIDAD EN SU CICLO DE PRESENTACIÓN DE INFORMES.</t>
  </si>
  <si>
    <t>APOYAR AL FORTALECIMIENTO DE LOS GOBIERNOS AUTÓNOMOS DESCENTRALIZADOS(GAD) MUNICIPALES EN EL DESARROLLO DE ESTUDIOS Y ESTRUCTURACIÓN DE PROYECTOSVINCULADOS A MOVILIDAD Y DESARROLLO URBANO SOSTENIBLE, CON ÉNFASIS EN SOLUCIONES DEINNOVACIÓN TECNOLÓGICA Y ADAPTACIÓN AL CAMBIO CLIMÁTICO</t>
  </si>
  <si>
    <t>ASISTENCIA TÉCNICA PARA ELIMINACIÓN DE REFRIGERANTES HCFCS AGOTADORES DE LA CAPA DE OZONO, INCLUYE RECOLECCIÓN, ALMACENAMIENTO Y PROCESO DE DESTRUCCIÓN SEGURA DE HCFCS EN HORNOS INDUSTRIALES DE ALTA TEMPERATURA, CAPACITACIONES PARA EL USO DE SUSTITUTOS ADECUADOS DE HCFCS Y UN TRABAJO INTEGRAL EN LAS ISLAS GALÁPAGOS PARA ELIMINACIÓN DEL USO DE HCFCS EN REFRIGERACIÓN Y AIRES ACONDICIONADOS,   Y SUSTANCIAS RELACIONADAS, EN EL MARCO DEL PROTOCOLO DE MONTREAL.</t>
  </si>
  <si>
    <t>PARA 2020, LOGRAR LA GESTIÓN AMBIENTALMENTE RACIONAL DE LOS PRODUCTOS QUÍMICOS Y DE TODOS LOS RESIDUOS A LO LARGO DE SU CICLO DE VIDA, DE CONFORMIDAD CON LOS MARCOS INTERNACIONALES ACORDADOS, Y REDUCIR SIGNIFICATIVAMENTE SU LIBERACIÓN A LA ATMÓSFERA, EL AGUA Y EL SUELO A FIN DE MINIMIZAR SUS EFECTOS ADVERSOS SOBRE LA SALUD HUMANA Y EL MEDIO AMBIENTE. ALENTAR A LAS EMPRESAS, ESPECIALMENTE A LAS GRANDES EMPRESAS Y TRANSNACIONALES, A QUE ADOPTEN PRÁCTICAS SOSTENIBLES E INTEGREN LA INFORMACIÓN SOBRE SOSTENIBILIDAD EN SU CICLO DE PRESENTACIÓN DE INFORMES.</t>
  </si>
  <si>
    <t>Programa: Iniciativa Alimentaria. Descripción: en apoyo de la investigación y el desarrollo de una aplicación móvil piloto que permite a los pequeños agricultores realizar un seguimiento de sus prácticas orgánicas y regenerativas para mejorar la gestión adaptativa del paisaje, mejorar los resultados agrícolas y el acceso a los mercados en Tailandia, Haití, Ecuador y República Dominicana.</t>
  </si>
  <si>
    <t>El Objetivo de Desarrollo (DOP) del Programa es ayudar al gobierno de Ecuador en su agenda para enfrentar desafíos esstructurales seleccionados para fomentar un desarrollo inclusivo, resiliente y bajo en carbono.</t>
  </si>
  <si>
    <t>Comunicación y difusión del proceso tecnológico</t>
  </si>
  <si>
    <t>The Program’s Development Objective (PDO) is to assist the government of Ecuador in its agenda to tackle selected structural challenges to foster inclusive, resilient, and low-carbon development.</t>
  </si>
  <si>
    <t>Incrementar las capacidades internas de la Subsecretaría de Distribución y Comercialización de Energía Eléctrica del Ministerio de Energía y Minas a través de la transferencia de conocimiento a un equipo de profesionales de las Empresas Públicas de Medellín. Este equipo estará preparado para replicar e implementar nuevos lineamientos y políticas en el sector de distribución eléctrica, con el objetivo de mejorar su eficiencia y cumplir con las expectativas y requerimientos de la demanda eléctrica nacional. Adicionalmente, se procurará adquirir lecciones aprendidas y mejores prácticas en la operación y gestión del sistema de distribución y comercialización de energía en la región.</t>
  </si>
  <si>
    <t>Apoyar al país en estrategias energéticas de transición justa que busquen: (i) fortalecer la gobernanza institucional, (ii) promover la eficiencia energética, (iii) apoyar la diversificación de la matriz energética hacia una matriz baja en carbono fomentando el uso de Fuentes de Energía Renovables No Convencionales (ERNC), (iv) modernizar la infraestructura eléctrica y (v) promover el acceso universal a la electricidad.</t>
  </si>
  <si>
    <t>El propósito de esta Cooperación Técnica (CT) es apoyar al Gobierno del Ecuador a través del Ministerio de Energía y Recursos Naturales No Renovables (MERNNR), para avanzar en el cumplimiento de los objetivos planteados en las estrategias de transición energética. En particular, las realizadas por el sector eléctrico, para reducir el uso de combustibles fósiles, tanto en los procesos productivos, como en las actividades de transporte y en los usos domésticos; y aumentar, en cambio, el uso de energía procedente de fuentes renovables libres de emisiones de gases de efecto invernadero. Los alcances específicos previstos con este TC permitirán; (i) Avanzar en los retos previstos en materia de sostenibilidad energética; a través de la generación eficiente, las energías renovables, la digitalización de los procesos operativos; (ii) Promover la seguridad energética mediante la integración energética nacional y regional; (iii) Apoyar la gobernanza energética; a través del fortalecimiento institucional; (iv) Avanzar en el cumplimiento de los objetivos establecidos en las iniciativas nacionales de Eficiencia Energética y; v) Apoyar la ejecución del Plan de Acción de Género para el Sector Eléctrico.</t>
  </si>
  <si>
    <t>El propósito de esta visita técnica es incrementar las capacidades internas en el CENACE a través de la transferencia de conocimiento a un equipo de profesionales que puedan replicar e implementar en el ámbito las lecciones aprendidas y las buenas prácticas internacionales.</t>
  </si>
  <si>
    <t>Apoyar a las Empresas Distribuidoras Eléctricas en el relevamiento de consumidores, la interconexión entre distribuidoras, la automatización de subcircuitos y fortalecer el sistema de medición de grandes clientes a través de la introducción de tecnología digital.</t>
  </si>
  <si>
    <t>EL PROYECTO CO2-EOR PARA CCUS EN COLOMBIA Y ECUADOR: PROYECTO DE INICIATIVA ENERGÉTICA NORUEGA TIENE COMO OBJETIVO CAPACITAR A LA PRÓXIMA GENERACIÓN DE INGENIEROS DE PETRÓLEO: INGENIEROS DE ENERGÍA, QUE TENDRÁN TODA LA CADENA DE VALOR DE LA CAPTURA Y UTILIZACIÓN DE CARBONO (CCUS) INTEGRADO EN SU EDUCACIÓN. DE ESTE MODO, ESTARÁN MÁS CUALIFICADOS PARA APLICAR SOLUCIONES SOSTENIBLES Y CONTRIBUIR AL DESARROLLO ENERGÉTICO DE AMÉRICA LATINA.</t>
  </si>
  <si>
    <t>Fortalecimiento de la capacidad de las personas encargadas del mantenimiento de las plantas de energía solar y del suministro de energía ecológica mediante la expansión de la energía solar y renovable local.</t>
  </si>
  <si>
    <t>Este componente del programa Ciencia/Conocimiento Indígena Unidos para Reducir la Pérdida de Carbono Forestal tiene como objetivo reducir las emisiones de carbono forestal de los paisajes indígenas causadas por la deforestación y la degradación forestal en Ecuador, utilizando una combinación de conocimiento científico y local.</t>
  </si>
  <si>
    <t>Generar un proyecto nacional de gran escala para implementar medidas de adaptación a escala local, considerando los resultados del análisis de riesgo climático a nivel de nota conceptual y una propuesta de preparación para fortalecer la planificación nacional de adaptación</t>
  </si>
  <si>
    <t>1. Metodología para priorización de áreas para inversión de financiamiento en adaptación al cambio climático adoptada por el CICC. 2. Áreas prioritarias de inversión para financiamiento de adaptación al cambio climático adoptada por el CICC. 3. Entidad Acreditada para proyecto de adaptación de larga escala oficializada. 4. 40 Reuniones con delegados técnicos de los sectores priorizados de adaptación que fortelecieron sus capacidades en riesgo climático y planificación de adaptación. 5. Propuesta de preparación GCF para escalar la planificación nacional de adaptación.</t>
  </si>
  <si>
    <t>1/ Realizar una evaluación técnica al Proyecto de la Fase I. En los aspectos de (i) funcionamiento de los invernaderos, (ii) funcionamiento de la instalación de geotermia y (iii) desarrollo de los proyectos productivos y de investigación agrícola que realiza en los invernaderos la Facultad de Agronomía de la Escuela Superior Politécnica de Chimborazo.-Identificar sobre el terreno la situación y realidad de la agroindustria de secado de quinua perteneciente a la Fundación Maquita Cushunchic que atenderá el nuevo proyecto de paneles solares térmicos (Fase-II).</t>
  </si>
  <si>
    <t>El acceso universal a agua de calidad afecta todos los aspectos del desarrollo y se relaciona directamente con los objetivos de desarrollo sostenible (ODS). Si estas cifras continúan, se estima que para el año 2050 el crecimiento económico de algunas regiones se reduzca hasta en un 6% del PIB. La investigación busca aportar a los ODS mediante el desarrollo de una novedosa membrana que servirá como base para filtros que permitan mejorar la calidad del agua.</t>
  </si>
  <si>
    <t>Estudio para la implementación de un sistema geotérmico-solar en el proceso de secado de granos y suministro de agua caliente en pla ntas de procesamiento agroindustrial de la provincia de Chimborazo, parroquia Calpi.</t>
  </si>
  <si>
    <t>FOMENTAR EL DESARROLLO Y EL ESCALAMIENTO DE PRÁCTICAS E INNOVACIONES PRODUCTIVAS BAJAS EN CADMIO Y RELEVANTES PARA EL CLIMA QUE SE ADAPTEN A LOS DIVERSOS CONTEXTOS DE LA PRODUCCIÓN DE CACAO DE PEQUEÑOS PRODUCTORES.</t>
  </si>
  <si>
    <t>ELABORAR UNA BASE LÍNEA DE ALMACENAMIENTO DE CARBONO Y SU DINÁMICA SOCIO-ECONÓMICA, EN SISTEMA DIFERENCIADOS EN CHAKRAS, BARBECHOS Y BOSQUES SECUNDARIOS EN LAS PROVINCIAS DE NAPO Y PASTAZA.</t>
  </si>
  <si>
    <t>REDUCCIÓN DE DEMANDA ENERGÉTICA Y EMISIONES DE GEI, IMPLEMENTANDO ESTÁNDARES DE EDIFICACIÓN SOSTENIBLE A TRAVÉS DE UN LIVING-LAB EN GALÁPAGOS, MAXIMIZACIÓN DEL USO DE RECURSOS RENOVABLES Y MEJORANDO LA CALIDAD DE VIDA.  TRANSFERENCIA DE ESTÁNDARES EN AL MENOS 2 REGIONES/PAÍSES DE ALYC Y SOCIALIZACIÓN DE RESULTADOS.</t>
  </si>
  <si>
    <t>Se mejoran las condiciones propicias para la implementación del desarrollo urbano sostenible de acuerdo con la Nueva Agenda Urbana, los Objetivos de Desarrollo Sostenible y el Acuerdo de París.</t>
  </si>
  <si>
    <t>The enabling conditions for implementing sustainable urban development in accordance with the New Urban Agenda, the Sustainable Development Goals and the Paris Agreement are improved.</t>
  </si>
  <si>
    <t>Para ayudar a establecer un sistema insular sostenible y autosuficiente, este proyecto tiene como objetivo fortalecer las comunidades locales a través de la rehabilitación de los ecosistemas y la promoción de prácticas agrícolas y turísticas climáticamente inteligentes.</t>
  </si>
  <si>
    <t>Tonnes of emissions avoided
584.2k
Beneficiaries
567.9k</t>
  </si>
  <si>
    <t>TCPF: Asistencia Técnica para la construcción participativa y diseño del Proyecto Galápagos compatible con el clima .</t>
  </si>
  <si>
    <t>INVODES pretende desarrollar un programa de formación para la adquisición de habilidades de investigación en el profesorado universitario de Ecuador orientado a los ODS. Ecuador carece de sistemas de formación en investigación y, por ende, de programas de doctorado consolidados. Apenas el 11% de su profesorado cuenta con el doctorado y ha realizado su formación doctoral fuera del país con unos costos inalcanzables para la mayoría (entre 20-40.000 USD) y por norma general, sin producción científica de calidad. La UCO inició en 2016 un programa de formación de doctores con 6 universidades articulando un sistema de reconocimiento por el que se les imparte en destino un curso de 30 ECTS como complementos de investigación con acceso a los programas de doctorado. Una formación financiada por las universidades de destino y/o los interesados. Sin embargo, la crisis sanitaria y económica de 2020 ha paralizado el proceso. Por tanto, INVODES pretende relanzar la iniciativa financiando los costos de las actividades necesarias para poder proseguir con el proceso de formación en investigación para el profesorado además de, planificar la ruta a seguir para la creación de una Escuela de Doctorado regional.</t>
  </si>
  <si>
    <t>Estudio para la implementación de un sistema geotérmico-solar en el proceso de secado de granos y suministro de agua caliente en pl antas de procesamiento agroindustrial de la provincia de Chimborazo, parroquia Calpi</t>
  </si>
  <si>
    <t>Estudio de la viabilidad técnica de producción de bioetanol a partir de residuos lignocelulósicos de los cultivos mayoritarios en Ec uador.</t>
  </si>
  <si>
    <t>Apoyo al desarrollo de proyectos de investigación enfocados en el uso de teledetección y técnicas de ingeniería de recursos hídricos para el desarrollo de herramientas para la gestión de los recursos naturales del Parque Nacional Cajas (PNC, Andes Australes de Ecuador). El estudiante colaborará con dos investigadores Principales de la UC y un docente asociado, brindando apoyo al desarrollo de los proyectos enfocados en teledetección e ingeniería de recursos hídricos. Así, en el ámbito de proyectos tales como el antes referido Uso de teledetección para el desarrollo de herramientas para la gestión de los recursos naturales del Parque Nacional Cajas el/la estudiante colaborará cuando menos con (i) elaboración de cartografía útil para la modelización hidrológica de zonas de estudio asociadas al PNC, (ii) apoyo a la modelización hidrológica de zonas de interés para los diferentes proyectos en desarrollo,   y (iii) apoyo a la modelización hidrodinámica de lagos de interés ubicados en el PNC. Cabe enfatizar que el(la) estudiante podría colaborar en el desarrollo de otras actividades (y, por ende, objetivos) distintos pero complementarios a los antes reseñados. Las tareas comprenderán, preferentemente pero siempre en sintonía con las condiciones sanitarias imperantes al momento de la incorporación del estudiante, trabajo en campo, en laboratorio y en gabinete (empleando sobre todo herramientas computacionales de SIG, métodos/softwares estadísticos, software de modelización de recursos hídricos, etc.). Las becas de cooperación MERIDIES están destinadas a estudiantes de la UPV para la realización de prácticas o Proyectos Final de Carrera (PFC) en programas y proyectos de cooperación al desarrollo en países del Sur, a través de universidades, organizaciones no gubernamentales de desarrollo, organismos internacionales, entidades sociales y otros actores del sistema internacional de cooperación al desarrollo.</t>
  </si>
  <si>
    <t>Apoyo al desarrollo de proyectos de investigación enfocados en el uso de teledetección y técnicas de ingeniería de recursos hídricos para el desarrollo de herramientas para la gestión de los recursos naturales del Parque Nacional Cajas (PNC, Andes Australes de Ecuador). SEGUNDO ESTUDIANTE EN ESTA PLAZAEl estudiante colaborará con dos investigadores Principales de la UC y un docente asociado, brindando apoyo al desarrollo de los proyectos enfocados en teledetección e ingeniería de recursos hídricos. Así, en el ámbito de proyectos tales como el antes referido Uso de teledetección para el desarrollo de herramientas para la gestión de los recursos naturales del Parque Nacional Cajas el/la estudiante colaborará cuando menos con (i) elaboración de cartografía útil para la modelización hidrológica de zonas de estudio asociadas al PNC, (ii) apoyo a la modelización hidrológica de zonas de interés para los diferentes proyectos en desarrollo,   y (iii) apoyo a la modelización hidrodinámica de lagos de interés ubicados en el PNC. Cabe enfatizar que el(la) estudiante podría colaborar en el desarrollo de otras actividades (y, por ende, objetivos) distintos pero complementarios a los antes reseñados. Las tareas comprenderán, preferentemente pero siempre en sintonía con las condiciones sanitarias imperantes al momento de la incorporación del estudiante, trabajo en campo, en laboratorio y en gabinete (empleando sobre todo herramientas computacionales de SIG, métodos/softwares estadísticos, software de modelización de recursos hídricos, etc.). Las becas de cooperación MERIDIES están destinadas a estudiantes de la UPV para la realización de prácticas o Proyectos Final de Carrera (PFC) en programas y proyectos de cooperación al desarrollo en países del Sur, a través de universidades, organizaciones no gubernamentales de desarrollo, organismos internacionales, entidades sociales y otros actores del sistema internacional de cooperación al desarrollo.</t>
  </si>
  <si>
    <t>Mejoramiento del proceso de producción de recetas para la elaboración de chocolates y apoyo en la implementación y mantenimiento, de huertos orgánicos en la Finca Experimental El Tigre de la carrera de Agroindustrias, PUCESE, Esmeraldas.El alumnado tendrá a su cargo las siguientes tareas: - Apoyo en el análisis de la composición actual de las recetas con las que se elaboran los chocolates actualmente en Choco Unión - Proponer mejoras a las recetas actuales y proponer nuevas recetas que se puedan aplicar en Choco Unión dadas sus características. - Analizar los posibles mercados para la colocación de los chocolates elaborados con las nuevas recetas. - Apoyo en la implementación de huertos urbanos ecológicosLas becas de cooperación MERIDIES están destinadas a estudiantes de la UPV para la realización de prácticas o Proyectos Final de Carrera (PFC) en programas y proyectos de cooperación al desarrollo en países del Sur, a través de universidades, organizaciones no gubernamentales de desarrollo, organismos internacionales, entidades sociales y otros actores del sistema internacional de cooperación al desarrollo.</t>
  </si>
  <si>
    <t>Enfocado a la formación de especialistas que cubran el vacío profesional en el área de ingeniería ambiental, personas técnicas especializadas en el diseño, explotación y mantenimiento de instalaciones de energías renovables, con la profundidad de conocimientos y la preparación técnica necesaria para afrontar cualquier proyecto en este campo.</t>
  </si>
  <si>
    <t>Breve descripción del proyecto (4 o 5 líneas)La fuerte degradación ambiental que sufre la Amazonía ecuatoriana de Sucumbíos (Ecuador) hace necesario un análisis profundo del grado de contaminación de los suelos y su vinculación con los focos de contaminación, para poder llevar a cabo la reactivación de una agricultura local sostenible, ambientalmente sana y socialmente justa. Para ello, se propone la creación de un Sistema de Información Territorial, como herramienta de análisis y gestión, basado en el diseño y creación de una base de datos espacial que permita la gestión de los datos ambientales y de suelos, el análisis estadístico y la producción cartográfica.</t>
  </si>
  <si>
    <t>tierras de cultivo</t>
  </si>
  <si>
    <t>La Actuación Semilla que se propone (8/9 meses) se centra en evaluar las características nutricionales y la adaptación medioambiental de variedades locales de quínoa de Ecuador.Uno de los objetivos será el de potenciar la colaboración científica, docente y estudiantil entre la UPM y la Universidad San Francisco de Quito (USFQ, mejor Universidad de Ecuador según el ranking QS),   continuando la sinergia iniciada hace dos años con el aprendizaje y aplicación de las herramientas moleculares en el estudio de la adaptación de los cultivos a sequía (ODS4. Meta 4.7). Los objetivos científicos de la propuesta se centran 1) estudiar los datos de pasaporte para la selección de variedades de quínoa locales con adaptación a sequía, 2) cultivar y evaluar parámetros agronómicos de dichas variedades en condiciones control y sequía, 3) analizar compuestos de interés nutricional y/o médico (nutraceúticos) de las variedades locales de quínoa en condiciones control y sequía y 4) analizar genéticamente por RT-qPCR la expresión diferencial de genes de adaptación a sequía De estas variedades locales de quínoa en condiciones control y sequía.</t>
  </si>
  <si>
    <t>El proyecto propuesto pretende fortalecer las estructuras investigadoras de la Universidad Nacional de Chimborazo (UNACH). Para ello, personal de la US se desplazará hasta Ecuador y se llevará a cabo un estudio medioambiental en la parroquia San Juan, un área contaminada debido a factores antropogénicos. Se analizará el grado de contaminación en suelo, en la planta nativa sigse y se introducirán técnicas de estudios microbiológicos en la UNACH que permitirán caracterizar las comunidades microbianas en la zona. Todas estas acciones van dirigidas hacia la sostenibilidad medioambiental y permitirán una mejor gestión de los recursos nacionales.</t>
  </si>
  <si>
    <t>La presente convocatoria tiene como objeto regular el procedimiento de concesión de ayudas de movilidad en régimen de concurrencia competitiva y objetividad, destinadas a financiar total o parcialmente movilidades realizadas por estudiantes de grado o postgrado de la Universidad Carlos III de Madrid, que quieren orientar su carrera hacia la cooperación y el desarrollo internacional. Las movilidades se realizarán en el marco de proyectos y actividades de alguno de los grupos que integran el catálogo de los Grupos de Cooperación de la Universidad Carlos III de Madrid, y deberán estar inscritas en alguna de las siguientes categorías: voluntariado, Trabajo de Fin de Grado, Trabajo de Fin de Máster o una estancia de investigación. Oferta 1. Voluntariado en la Universidad Técnica de Manabí, Ecuador. Vulnerabilidad Energética</t>
  </si>
  <si>
    <t>Proyecto hídrico en los Andes, región del Cotopaxi. Hacer que el acceso al agua potable, el saneamiento y la higiene de manos sea accesible para todas las personas y en todos los hogares, así como en las instalaciones públicas y las escuelas. También está prevista la formación sobre el agua.</t>
  </si>
  <si>
    <t>Descripción: Futuros Urbanos: Acción de los Jóvenes para Sistemas Alimentarios Urbanos Inclusivos y Resilientes al Clima</t>
  </si>
  <si>
    <t>ADAPTACIÓN</t>
  </si>
  <si>
    <t>achieve this through multi-stakeholder collaborations and locally-owned innovations</t>
  </si>
  <si>
    <t>La Agrocología, como herramienta práctica y como enfoque científico, aborda a través de sus tres dimensiones (ecológico-rproductiva, socioeconómica y político-cultural) las diversas formas de transición hacia sistemas agroalimentarios más sustentables, desde la finca hasta las formas de organización del consumo y las políticas públicas. La mirada compleja y transdisciplinar son parte esencial de la Agroecología como forma de encarar los problemas del sector agrario, del medio rural y el consumo de alimentos saludables. La comprensión de los procesos ecológicos y el papel de las formas tradicionales y modernas de la agriculturas sustentables junto con la comprensión de los procesos sociales y políticos de la organización de los sistemas agroalimentarios, son la base para reconocer tendencias y acompañar procesos de transición agroecológica en diferentes escalas y desde las tres dimensiones.</t>
  </si>
  <si>
    <t>El programa de investigación ADSIDEO-Cooperación tiene la finalidad de fomentar el desarrollo de proyectos de I+D+i en el ámbito de los Estudios sobre el Desarrollo, la Cooperación Internacional y la aplicación de la Tecnología para el Desarrollo Humano. Se trata de una convocatoria de investigación dirigida al personal docente e investigador de la UPV, quien puede solicitar ayudas para proyectos de investigación cuyo objetivo sea la obtención de un impacto positivo sobre la lucha contra la pobreza y sobre el desarrollo humano en las regiones más desfavorecidas. A través del programa se persigue que una mayor cantidad de proyectos de investigación de la UPV se adecúen a los criterios sectoriales y geográficos definidos en los planes directores de la cooperación española y valenciana, como herramienta para afianzar el compromiso de la UPV con los Objetivos de Desarrollo Sostenible de las Naciones Unidas y la lucha contra la pobreza. El objetivo del proyecto es desarrollar una estrategia para fomentar la producción y consumo de tubérculos autóctonos infrautilizados, a través del desarrollo de productos alimenticios que contribuyan a mejorar el estado nutricional de la población ecuatoriana. Además, se pretende concienciar a la población del valor nutritivo y funcional de dichos tubérculos y la viabilidad de éstos como ingredientes en otros productos alimentarios. Los resultados del proyecto pueden contribuir con el país a través del cambio en la matriz productiva, eje principal del Plan Nacional de Desarrollo 2017-2021 de Ecuador. Ecuador busca un crecimiento de la industria local que fomente las exportaciones de productos terminados, novedosos y de calidad que sean competitivos en el mercado internacional y que lleven el conocimiento ancestral. El proyecto estará respaldado en la experiencia en investigación de las dos Universidades participantes y las comunidades de agricultores de la zona 3 del país para desarrollar productos autóctonos, con valor nutricional y sostenible en el tiempo.</t>
  </si>
  <si>
    <t>Programa: Conservación y Restauración de la Naturaleza: Océano Pacífico. Descripción: Para avanzar en el objetivo de proteger eficazmente el Corredor Marino del Pacífico Tropical Oriental, el Bezos Earth Fund concedió 2,85 millones de dólares a MigraMar a finales de 2022. Durante los próximos cuatro años, MigraMar: 1) Desarrollará e implementará una plataforma regional de monitoreo para la red existente de áreas marinas protegidas de aguas abiertas, 2) Continuará recopilando datos sobre el estado de la población y la ecología del movimiento de las especies marinas en peligro de extinción, y 3) Diseñará un plan regional climáticamente inteligente de medidas regulatorias,  de conservación y espaciales para revertir la disminución de la población de especies marinas en peligro de extinción en todo el Pacífico Tropical Oriental.</t>
  </si>
  <si>
    <t>La tecnología industrial, el desarrollo orientado al mercado y la modernización de la agroalimentación en Ecuador han distanciado a los agricultores andinos de la sociedad en general y de sus entornos. Esto socava las relaciones sociales y la funcionalidad vital de los ecosistemas de las tierras altas. El colapso sociobiológico resultante pone en duda la salud, el bienestar y el futuro de las personas.   Este proyecto ayuda a los agricultores andinos de escasos recursos a hacer la transición hacia sistemas alimentarios regenerativos más saludables y productivos. Apoya a un grupo pionero de mujeres y jóvenes de los movimientos agroecológicos para fortalecer los sistemas alimentarios utilizando conocimientos sobre la microbiología del suelo y el bioma. Les permitirá poner a trabajar elementos descuidados o infrautilizados para mejorar la seguridad alimentaria, la economía y la mitigación del cambio climático. Los vínculos íntimos con las organizaciones indígenas y los movimientos agroalimentarios del país ayudarán a los participantes a informar continuamente sobre las intervenciones de promoción y políticas en sus comunidades, redes sociales y gobierno.   Este proyecto ayudará a los pueblos andinos a probar y abrir caminos para rehabilitar ecologías y restaurar ecosistemas. Esto incluye mejorar la seguridad alimentaria entre las poblaciones altamente vulnerables mediante la lucha contra la degradación de la tierra y la mejora de la productividad agrícola. También implica la adaptación a la variabilidad climática mediante el fortalecimiento del funcionamiento biológico de los suelos y la mitigación del cambio climático a través de la acumulación de carbono en las explotaciones agrícolas.</t>
  </si>
  <si>
    <t>Los sistemas alimentarios actuales son incapaces de satisfacer las necesidades de millones de personas que padecen hambre, carecen de micronutrientes clave o padecen enfermedades crónicas relacionadas con la dieta. Los sistemas alimentarios son muy vulnerables a los factores de estrés ambiental, cuyos efectos recaen de manera desproporcionada en los miembros de los hogares pobres, en particular las mujeres, las niñas y los pueblos indígenas. En 2020, 267 millones de personas en América Latina (40% de la población) experimentaron inseguridad alimentaria moderada o grave. Las prácticas insostenibles de producción de alimentos han tenido efectos nocivos en la conservación del clima y la biodiversidad y han agravado la pobreza entre los pequeños agricultores.   Este proyecto adoptará métodos de investigación participativa para involucrar a la sociedad civil y a los socios de investigación de países seleccionados de América Latina y el Caribe en la identificación de preguntas críticas de investigación para las transformaciones de los sistemas alimentarios desde la perspectiva de base, las limitaciones y condiciones para el escalamiento exitoso de modelos/soluciones agroecológicas a territorios específicos,  y estrategias para aumentar las capacidades de las organizaciones de base para influir en las transformaciones agroalimentarias en la región. Investigación y diseño e implementación de políticas públicas.  Fomentará la colaboración entre las organizaciones de base y los investigadores académicos para generar pruebas sólidas sobre el potencial de la agroecología para contribuir a sistemas alimentarios más resilientes, equitativos y saludables. También fortalecerá la capacidad de la sociedad civil y las instituciones académicas para contribuir a los debates y decisiones sobre políticas nacionales en relación con las transformaciones de los sistemas alimentarios.   Este proyecto es parte de una cohorte de siete proyectos apoyados por la Iniciativa de Transformación de los Sistemas Alimentarios del IDRC en las regiones de América Central y del Sur, Oriente Medio y África del Norte. Esta iniciativa tiene como objetivo fomentar la transformación hacia sistemas alimentarios equitativos, sostenibles y diversos que fortalezcan la resiliencia de las comunidades vulnerables al cambio climático, las pandemias y otras presiones y choques críticos mediante la comprensión de los mecanismos a través de los cuales los grupos que buscan la equidad pueden beneficiarse e impulsar el proceso de cambio,  Tanto a nivel local como a escala.</t>
  </si>
  <si>
    <t>Intercambio de información entre científicos y la sociedad civil sobre temas científicos de interés general. Empezando por los cafés científicos de las universidades de Cuenca y Guayaquil y temas como la transición energética, la biodiversidad y la garantía nutricional. Apoyo a la libertad de la ciencia.</t>
  </si>
  <si>
    <t>Programa de movilidad de estudiantes y personal tanto entrantes como salientes con instituciones de países no pertenecientes a la UE o sus asociados.</t>
  </si>
  <si>
    <t>CREACIÓN DE ESPACIOS DE MICRO LABORATORIOS AGROECOLÓGICOS -LLAMADOS LABORATORIOS AGROECOLÓGICOS PARA LA ADAPTACIÓN AL CAMBIO CLIMÁTICO (AED-LABS)PARA EXPERIMENTAR, INTERCAMBIAR Y FORTALECER LOS CONOCIMIENTOS PROPIOS.</t>
  </si>
  <si>
    <t>Prestar apoyo a la investigación sobre Abastecimiento de agua y saneamiento - Protección de los recursos</t>
  </si>
  <si>
    <t>Provide support to research onWater supply and sanitation - Resources protection</t>
  </si>
  <si>
    <t>Fortalecer los sistemas institucionales para la implementación y cumplimiento de medidas para el registro, conservación in situ y uso sostenible de CWR y SAT en el Ecuador, como ámbito complementario para la incorporación de CWR y SAT en las estrategias locales, nacionales y globales para la conservación de la agrobiodiversidad y su contribución al mejoramiento de la calidad de vida de la población rural.</t>
  </si>
  <si>
    <t>the project seeks to develop the institutional framework, regulations, and national
capacities to establish CWR and EWS conservation sites.</t>
  </si>
  <si>
    <t>El objetivo general de la operación es apoyar el fortalecimiento de los servicios públicos agropecuarios en el Ecuador. Los objetivos específicos son: i) elaborar estudios de diagnóstico y formular una propuesta de fortalecimiento de los servicios prestados por Agrocalidad; y ii) analizar aspectos del marco institucional del Instituto Nacional de Investigaciones Agropecuarias (INIAP) que permitan plantear una propuesta de mejoramiento de los servicios prestados.</t>
  </si>
  <si>
    <t>Antecedentes: En Ecuador, Trias busca cambiar la vida de los agricultores familiares y microempresarios, mejorando sus ingresos y su acceso a educación y salud, con conciencia de equidad y creando bienestar, apoyándoles a organizarse, relacionarse y actuar de manera conjunta en organizaciones y cooperativas. La propuesta de intervención con las organizaciones de productores y sus socios se fundamenta en estrategias que generan las diversas capacidades necesarias, tanto individuales como colectivas, para la gestión eficiente de su organización, buscando la viabilidad, rentabilidad y sostenibilidad de la misma al final de los 5 años de programa. Las estrategias se trabajan de forma articulada con la organización a través de planes socio-empresariales, basándose en el desarrollo de capacidades, herramientas y recursos, tanto estratégicos como operativos y de gestión, para promover procesos mejorados en todos los componentes de la organización para que ésta sea sostenible, autonóma e independiente. Se trabajará con 10 organizaciones de base (7 de agricultura familiar y 3 de microempresarios) en las provincias de la Sierra Centro y Sur, para fortalecer sus procesos de producción, transformación y comercialización, llegando a mercados con precios justos en 3 cadenas productivas (papa, quinua, agroecología). A nivel nacional se apoya la generación de políticas públicas a favor de la agricultura familiar y la agroecología. En todas las organizaciones se trabaja la inclusión de jóvenes y mujeres y sus procesos productivos comerciales, para dar oportunidades de desarrollo reales a estos dos grupos vulnerables. La promoción del emprendedurismo en las cooperativas de mujeres artesanas constituye un elemento clave para el empoderamiento de las mujeres en la economía rural. La formación de jóvenes líderes, es un componente crucial de este programa que se quiere abordar en sinergia con otros actores belgas como VECO y VVOB y en coordinación con universidades locales. -</t>
  </si>
  <si>
    <t>El gobierno húngaro, a través del Ministerio de Asuntos Exteriores y Comercio, donó una planta de tratamiento de agua en contenedores a la Municipalidad de Muisne.</t>
  </si>
  <si>
    <t>Las becas de cooperación MERIDIES están destinadas a estudiantes de la UPV para la realización de prácticas, TFG o TFM en programas y proyectos de cooperación al desarrollo en países del Sur, a través de universidades, organizaciones no gubernamentales de desarrollo, organismos internacionales, entidades sociales y otros actores del sistema internacional de cooperación al desarrollo. En la convocatoria de 2022 se ha financiado una beca para el proyecto «Mejoramiento del proceso de producción de chocolates y apoyo en la implementación y mantenimiento de huertos orgánicos en la Finca Experimental El Tigre» en colaboración con la Pontificia Universidad Católica del Ecuador Sede Esmeraldas (PUCESE).</t>
  </si>
  <si>
    <t xml:space="preserve">- la primera evaluación del sector salud sobre las vulnerabilidades y adaptacion al cambio climático
- disponibilidad de información sobre cambio climático y salud </t>
  </si>
  <si>
    <t>Desarrollo de la capacidad técnica en el país para la determinación experimental de factores de emisión de GEI en campo de productores y bases de datos para reportar a instancias internacionales.</t>
  </si>
  <si>
    <t>El fortalecimiento de capacidades del personal de la Red de Monitoreo de la SNGR y de los GAD cantonales en los procesos de monitoreo de eventos adversos y climáticos extremos tiene un impacto clave en la eficiencia y efectividad de la gestión de riesgos en todo el Ecuador. Al mejorar las competencias técnicas del personal, se incrementa la capacidad de detectar, analizar y responder de manera rápida y coordinada a estos eventos, lo que a su vez permite emitir alertas tempranas más precisas y reducir riesgos para la población y la infraestructura. Este fortalecimiento también fomenta una mejor coordinación interinstitucional, promoviendo una gestión integral y más resiliente frente a desastres naturales y fenómenos climáticos extremos.</t>
  </si>
  <si>
    <t>El impacto esperado al 2030, es el siguiente: El 60% de los GADM ha implementado un plan legal de regularización masiva de AHH y se cuenta con el 70% de actualización de catastro de bienes inmuebles de los GADM.</t>
  </si>
  <si>
    <t>El resultado esperado con la implementación es la disponibilidad de un Manual Técnico actualizado y adaptado a las necesidades actuales para la preparación de Agendas de Reducción de Riesgos. Este manual permitirá a los Gobiernos Autónomos Descentralizados (GAD) y otras entidades locales contar con una guía práctica y eficiente para integrar la gestión de riesgos de desastres y cambio climático en sus procesos de planificación, mejorando su capacidad de respuesta, mitigación y adaptación ante riesgos potenciales, y fomentando una cultura de prevención y resiliencia a nivel local.</t>
  </si>
  <si>
    <t>Es la creación de un paquete metodológico y lineamientos claros que fortalezcan la gobernanza de la gestión de riesgos de desastres en los GAD provinciales y parroquiales. Esto permitirá a los gobiernos locales contar con herramientas prácticas y estrategias efectivas para integrar la gestión de riesgos en sus procesos de planificación, mejorar la capacidad de respuesta ante desastres, y fomentar un desarrollo territorial más resiliente y sostenible.</t>
  </si>
  <si>
    <t>Manejo adecuado del territorio asociado con la información generada</t>
  </si>
  <si>
    <t>Presentar un nuevo nivel de referencia de emisiones foretales completo, un inventario de INGEI en el sector USCUSS completo y con datos nacionales, escalerar dichas metodologías e evaluación de programas y proyectos de Patrimonio Natural y de Patrimonio Forestal Nacional en el sector USCUSS, una evaluación nacional de los bosques completa para compaginarlo con los reportes globales sobre los bosques y las Contribuciones Voluntarias en materia de Bosques</t>
  </si>
  <si>
    <t>Resultados esperados 
1.⁠ ⁠Fortalecer el sistema de vigilancia entomológica a lo largo de transectos, a traves de  tecnologías para la captura, identificación, registro y comunicación de datos sobre presencia / ausencia de mosquitos adultos y larvas.
2.⁠ ⁠Mejorar la capacidad del personal tecnico del INSPI y el MSP para el uso de datos climáticos: identificación de fuentes de datos, capacitación, estimación de necesidades de hardware y software, dotación de tecnología.
3.⁠ ⁠Elaborar mapas de riesgo que oriente las actividades de vigilancia para el monitoreo Ae. aegypti y Ae. albopictus</t>
  </si>
  <si>
    <t>Se busca contar con una estructura de cartera más sostenible, fomentando la puesta en práctica de acciones ambientalmente amigables y el fortaleciemento de las capacidades con la implementación de estrategias y herramientas replicables en materia de resiliencia al cambio climático y mejora del desempeño social y la causalidad entre la provisión de productos y servicios y las condiciones de vida de los clientes.</t>
  </si>
  <si>
    <t>Se espera contar con Instrumentos de gestión actualizados y adaptados a las necesidades de cada Área de Protección Hídrica, así como también, mejorar la coordinación y cooperación entre actores involucrados.</t>
  </si>
  <si>
    <t xml:space="preserve">Tener una población resiliente frente al cambio climático y salud. </t>
  </si>
  <si>
    <t>Uso del suelo conforme sus características productivas en suelos óptimos y rubros  adecuados para obtener rendimientos altos, además generar mejores ingresos.</t>
  </si>
  <si>
    <t>.</t>
  </si>
  <si>
    <t>Título completo del proyecto: Fortalecimiento de las capacidades técnicas en producción agroecológica y nutrición saludable de mujeres campesinas e indígenas de barrios empobrecidos de Ambato (Ecuador) :: Contribuir a la reducción de pobreza y desigualdad de la población más vulnerable enAmbato - Ecuador.</t>
  </si>
  <si>
    <t>Mujeres campesinas liderando la producción resiliente al cambio climático y la gestión sostenible de Mujeres campesinas liderando la producción resiliente al cambio climático y la gestión sostenible de los recursos hídricos ...</t>
  </si>
  <si>
    <t>PARA 2030, AUMENTAR LA RESILIENCIA DE LOS POBRES Y DE LAS PERSONAS EN SITUACIÓN DE VULNERABILIDAD Y REDUCIR SU EXPOSICIÓN Y VULNERABILIDAD A LOS FENÓMENOS EXTREMOS RELACIONADOS CON EL CLIMA Y A OTRAS PERTURBACIONES Y CATÁSTROFES ECONÓMICAS, SOCIALES Y MEDIOAMBIENTALES.</t>
  </si>
  <si>
    <t>APOYAR A MUJERES INDÍGENAS Y SUS COMUNIDADES PARA LA CONSERVACIÓN DE ÁREAS IMPORTANTES DE LOS BOSQUES AMAZÓNICOS EN BOLIVIA, ECUADOR Y PERÚ.</t>
  </si>
  <si>
    <t>El objetivo de esta cooperación técnica es contribuir al fortalecimiento de las capacidades institucionales de la COICA para enfrentar los desafíos del desarrollo sostenible e inclusivo y la conservación del capital natural de la Amazonía. Buscará apoyar a la COICA en sus capacidades técnicas y de gestión frente a los gobiernos, los pueblos afiliados a la Entidad Coordinadora, otros grupos de la sociedad civil, donantes y organizaciones financieras internacionales y nacionales.</t>
  </si>
  <si>
    <t>El objetivo de este proyecto de cooperación técnica (CT) es apoyar al Gobierno de Ecuador en el desarrollo del diseño del nuevo proyecto de préstamo: Fortalecimiento del Sistema de Alerta Temprana Fase 2 (EC-L1285), basado en las mejores prácticas internacionales y los estándares del BID.</t>
  </si>
  <si>
    <t>FORTALECER LA CAPACIDAD DE LOS GOBIERNOS LOCALES PARA DESARROLLAR, IMPLEMENTAR Y MONITOREAR POLÍTICAS PÚBLICAS DE ADAPTACIÓN Y MITIGACIÓN AL CAMBIO CLIMÁTICO, EN COORDINACIÓN CON EL CONGOPE Y OTRAS INSTITUCIONES RELEVANTES</t>
  </si>
  <si>
    <t>EL OBJETIVO DEL PROYECTO ES TRANSFORMAR LOS RESIDUOS PESQUEROS ACTUALES DE LA PESCA INSULAR DE GALÁPAGOS EN PRODUCTOS APROVECHABLES, CON EL FIN DE APOYAR UN SECTOR PESQUERO Y AGRÍCOLA LOCAL DINÁMICO Y AUTOSUFICIENTE DENTRO DE UNA ECONOMÍA CIRCULAR EN GALÁPAGOS.</t>
  </si>
  <si>
    <t>Facilitar la integración de la adaptación en la planificación, políticas y estrategias de desarrollo de los seis sectores priorizados, y en programas y proyectos (nuevos o en curso). Reducir la vulnerabilidad y el riesgo climático, mediante la construcción de resiliencia y capacidad adaptativa en los seis sectores priorizados para la adaptación en Ecuador</t>
  </si>
  <si>
    <t>Beca cofinanciada con la FC, según convenio específico de colaboración entre FC y la UA, de 5/05/2022, para la realización del Máster en Gestión Sostenible y Tecnologías del Agua, curso 2022/2023. Beneficio: Karina Mishell Ruiz Guerrero.</t>
  </si>
  <si>
    <t>Beca cofinanciada con la FC según convenio específico de colaboración entre FC y la UA, de 05/5/2022, para la realización del Máster en Planificación y Gestión de Riesgos Naturales, curso 2022/2023. Beneficiario como Stalin Jiménez Yucta</t>
  </si>
  <si>
    <t>Título completo del proyecto: Igualdad, resiliencia agroalimentaria y recuperación socioeconómica con 86 personas productoras y emprendedoras (49 mujeres y 37 hombres) en Bolívar, Ecuador? :: El propósito último del proyecto es contribuir al fomento del derecho a la soberanía alimentaria y a la participación de 49 productoras y 37 productores en 2 cantones de Bolívar, a través del fortalecimiento de sus sistemas de producción agroecológicos sostenibles, la gobernanza asociativa, y el impulso de la economía local solidaria que articula el comercio justo y el consumo responsable.</t>
  </si>
  <si>
    <t>La restauración de los ecosistemas de montaña andinos ha mejorado.</t>
  </si>
  <si>
    <t xml:space="preserve">- Mejoras en 6 Cadenas de Valor (leche. queso, quinua, miel, fibra de alpaca, turismo) entorno a un total de 25 asociaciones con 1631 socios/as (623 mujeres, 1008 hombres) y 512 proveedores.
- 5 contratos de cooperación con el sector privado (PPP) en implementación entorno a mejoras en Cadenas de Valor de leche, especería, curtiduría.
- Más de 1790 ha de páramos bajo medidas de restauración.
- 1 nuevo APH creado (APH Retén Ichubamba)
- Mecanismos e instrumentos locales de financiamiento para la restauración promovidos en las provincias de Bolívar y Cañar
- 10 Mecanismos de concertación para la planificación local fortalecidos y operativos (7 instrumentos de planificación construidos de forma participativa)
- 1 sistema de monitoreo local en coordinación con la academia en implementación en Sierra Centro; 1 sistema de monitoreo local en construcción en Cañar.
- Aportes a la implementación de la primera NDC realizados (APH Retén Ichubamba, Área de Restauración La Capilla, Aportes a la Política Pública del sector PN en relación al PAN-P y los Lineamientos de Restauración de Paisajes Altoandinos, Nuevo Aporte Escuela de Restauración)
- 1 Comunidad de Práctica "Minga de la Montaña" fortalecida y operativa, más de 15 mingas locales desarroladas y modelo de mesas técnicas para el desarrollo del PAN-P integrado en MAATE. </t>
  </si>
  <si>
    <t>Antecedentes: En general: Implementar un sistema de monitoreo participativo de los recursos naturales e identificación y reducción de amenazas -- Específico: Implementación de estrategias de monitoreo de la biodiversidad utilizando herramientas técnicas aplicadas por supervisores indígenas que forman parte de los supervisores de la comunidad Waorani o Nearaani -- -- Objetivos: 1/ Se han fortalecido las capacidades técnicas y organizativas de las organizaciones y comunidades Waorani,   con énfasis en la gestión participativa e integrada del territorio, el monitoreo independiente del uso de los recursos naturales y el comercio ilegal de productos forestales -- 2/ Implementación de una plataforma socioecológica para el monitoreo de los bosques y la vida silvestre del territorio Waorani -- 3/ Desarrollo de una estrategia para reducir el comercio de vida silvestre,  Con énfasis en la comunicación educativa efectiva y la gestión de alternativas económicas -- --</t>
  </si>
  <si>
    <t>El reto para las comunidades pesqueras artesanales de Ecuador es conseguir mantener ingresos sin recurrir al incremento del número de capturas. La economía de estas comunidades se basa en la venta del producto de forma inmediata y sin procesar, sin embargo, las mujeres pueden dar un valor añadido con el procesado del pescado. Este proyecto aborda 3 enfoques: i) equidad de género y pesca artesanal, ii) gestión sostenible de los recursos pesqueros y la biodiversidad y iii) potencial de transformación/procesado, modelos de consumo y cálculo del valor agregado. Para el i) es necesario conocer la percepción de las personas involucradas sobre el cambio climático y el papel de la mujer en el sector pesquero, con el fin de mejorar el protagonismo de las mujeres. En el ii) se pretende evitar la pesca incidental de especies no objetivo mediante el uso de artes de pesca más sostenibles y selectivos. Y en el iii) se pretende que las mujeres de forma sostenible procesen el pescado fresco local con el fin de mejorar su comercialización, higiene, valor y vías de comercialización y evaluar el grado de aceptación de los consumidores hacía estos productos Agencia Andaluza de Cooperación Internacional para el Desarrollo</t>
  </si>
  <si>
    <t xml:space="preserve">A pesar de la magnitud de las pérdidas y daños causados por estos eventos en las últimas décadas, no existe una cuantificación económica oficial en Ecuador que permita al país participar efectivamente en las negociaciones nacionales o internacionales relacionadas con el mecanismo de Pérdidas y Daños (L&amp;D) de la WCNFC.  </t>
  </si>
  <si>
    <t xml:space="preserve">The main goal of this Readiness support is to create, and bolster enabling conditions in Ecuador to effectively conceptualize the L&amp;D mechanism and set the institutional, technical, and operational capacities for its future implementation in the country. </t>
  </si>
  <si>
    <t>ACOMPAÑAR TÉCNICAMENTE A CONFENIAE EN LA IMPLEMENTACIÓN DE LAS ACCIONES PRIORIZADAS EN EL MARCO DE SU PLAN DE IMPLEMENTACIÓN (PDI) DE MEDIDAS Y ACCIONES REDD+ “GESTIÓN HOLÍSTICA DE LOS BOSQUES, BIODIVERSIDAD Y TERRITORIOS EN LAS NACIONALIDADES AMAZÓNICAS PARA COMBATIR EL CAMBIO CLIMÁTICO”</t>
  </si>
  <si>
    <t>Conservación ambiental y transición ecológica mediante el turismo, los bioemprendimientos y la gesti Conservación ambiental y transición ecológica mediante el turismo, los bioemprendimientos y la gestión de los recursos naturales en Ecuador.</t>
  </si>
  <si>
    <t>Antecedentes: General: Promover el manejo sostenible integral del Bosque de Páramo en el Noroeste del Ecuador, a través de la conectividad de las áreas protegidas (públicas, privadas y comunitarias), la gobernanza participativa y el manejo sostenible -</t>
  </si>
  <si>
    <t>DESARROLLO DE CAPACIDADES PARA CATALIZAR ACCIONES Y COMPROMISOS A NIVEL NACIONAL Y MUNDIAL PARA REDUCIR LA CONTAMINACIÓN POR PLÁSTICOS, INCLUYENDO EN EL MEDIO AMBIENTE MARINO</t>
  </si>
  <si>
    <t>REFORZAR LA CAPACIDAD DE LAS PERSONAS ENCARGADAS DEL MANTENIMIENTO DE LAS CENTRALES SOLARES Y DEL SUMINISTRO DE ENERGÍA ECOLÓGICA MEDIANTE LA EXPANSIÓN DE LA ENERGÍA SOLAR Y RENOVABLE LOCAL.</t>
  </si>
  <si>
    <t>FORTALECER A LOS ACTORES EN EL ÁMBITO DE LA MITIGACIÓN DEL CAMBIO CLIMÁTICO Y LA ADAPTACIÓN AL MISMO, ASÍ COMO LA DIVERSIDAD BIOLÓGICA.</t>
  </si>
  <si>
    <t>Capacitación y asistencia técnica a pequeños productores. Suministro de material para la realización de fincas modelo. Estudio sobre el desarrollo de una estrategia de comercialización de café. Apoyar las mesas de conciliación de los planes territoriales de desarrollo agropecuario.</t>
  </si>
  <si>
    <t>El objetivo de impacto de este proyecto es evitar y revertir la deforestación y degradación en la Amazonía ecuatoriana, al tiempo que se garantizan los derechos y los medios de vida sostenibles de los pueblos indígenas y las comunidades locales, a través de soluciones climáticas naturales.</t>
  </si>
  <si>
    <t>This project's impact goal is to avoid and reverse deforestation and degradation in the Ecuadorian Amazon, while guaranteeing the rights and sustainable livelihoods of indigenous peoples and local communities, through natural climate solutions.</t>
  </si>
  <si>
    <t>IMPLEMENTAR UN SISTEMA INTEGRAL DE ECONOMÍA CIRCULAR EN EL ECUADOR QUE FOMENTE LA SOSTENIBILIDAD, LA RENOVABILIDAD Y LA EFICIENCIA EN EL MANEJO DE RECURSOS NATURALES, LA PRODUCCIÓN DE BIENES Y SERVICIOS, ASÍ COMO LA GESTIÓN DE RESIDUOS, CON EL FIN DE PROMOVER UN DESARROLLO ECONÓMICO EQUITATIVO Y AMBIENTALMENTE RESPONSABLE PARA EL PAÍS.</t>
  </si>
  <si>
    <t>Esta iniciativa se desarrolla en el marco de los compromisos adquiridos en la Cumbre EU-LAC, del pasado 18 de julio de 2023, en la cual la UE se comprometió a movilizar 40.000 millones de euros para la realización de diversas inversiones de acción climática, de transformación digital y la promoción del desarrollo integral y sostenible en la región de Latinoamérica y El Caribe.</t>
  </si>
  <si>
    <t>esta iniciativa que está articulada en los siguientes ejes: estrategia nacional e integral de descarbonización para alcanzar finanzas sostenibles y mejorar la matriz productiva del país; proyectos de inversión y asistencia técnica para apoyar infraestructura y servicios sostenibles a nivel local.</t>
  </si>
  <si>
    <t>Fortaleciendo capacidad comercializadora de mujeres rurales asociadas de Cotacachi con enfoque de re Fortaleciendo capacidad comercializadora de mujeres rurales asociadas de Cotacachi con enfoque de red, innovación, competitividad y derechos</t>
  </si>
  <si>
    <t>Para mejorar la equidad, la integración y la sostenibilidad de los programas de protección social seleccionados, y en caso de una crisis o emergencia elegible, responder a ella con prontitud y eficacia.</t>
  </si>
  <si>
    <t>Cross referencing the SR’s
information with administrative databases such as taxes,social security records, and DRM databases (including
the Single Registry of Victims under the National Risk Management and Emergencies Service (SNGR)) is also
expected to enable SR’s rapid and adequate identification of the most vulnerable in times of emergency,
including climate change related shocks.</t>
  </si>
  <si>
    <t>El presente proyecto tiene como objetivo mejorar las capacidades para la defensa del territorio, gobernabilidad y revalorización de la identidad cultural de los PPII y afroecuatorianos de Ecuador, en especial de las mujeres, en el contexto de crisis generada por la COVID-19. Para ello se fortalecerá la defensa, recuperación y restauración de los territorios de pueblos y comunidades indígenas y afroecuatorianos amenazados por la imposición de proyectos extractivistas, se fortalecerá y visibilizará el liderazgo de mujeres indígenas y afrodescendientes en derechos de PPII y afroecuatorianos y de las mujeres, defensa del territorio y soberanía alimentaria. También se promoverán procesos de autodeterminación de pueblos indígenas mediante la recuperación y revalorización de conocimientos ancestrales, la gestión de la salud y sanación comunitaria y la aplicación de la justicia indígena y derecho propio. En el proyecto, ejecutado por la organización ecuatoriana Acción Ecológica, participarán como titulares de derechos directas 1070 personas (545 mujeres y 525 hombres).</t>
  </si>
  <si>
    <t>COMUNIDAD AUTÓNOMA DEL PRINCIPADO DE ASTURIAS</t>
  </si>
  <si>
    <t>FORTALECER LAS CAPACIDADES DE LOS ACTORES DE LA GESTIÓN INTEGRAL DE RESIDUOS SÓLIDOS EN TEMAS COMO: DERECHOS HUMANOS, SALUD Y SEGURIDAD OCUPACIONAL, RESPONSABILIDAD SOCIAL CORPORATIVA.</t>
  </si>
  <si>
    <t>FACILITAR UN PROCESO CON LÍDERES INDÍGENAS EN LA AMAZONÍA PARA QUE PUEDAN DEFINIR/REFINAR Y SISTEMATIZAR SUS INTERESES Y NECESIDADES RELACIONADAS CON LA PROTECCIÓN, MANEJO Y RESTAURACIÓN DE LOS BOSQUES TROPICALES, COMO ESTRATEGIA PARA LA MITIGACIÓN Y ADAPTACIÓN AL CAMBIO CLIMÁTICO.</t>
  </si>
  <si>
    <t>Compartir y comprender la visión de crecimiento sostenible por país a través de una gestión atmosférica eficiente para el desarrollo sostenible, políticas de gestión y seguimiento de la calidad del aire, y compartir el conocimiento y la experiencia necesarios para la planificación a largo plazo</t>
  </si>
  <si>
    <t>Para mejorar el diseño y el desarrollo de plantas fotovoltaicas, energía eólica, ESS, etc., Para mejorar la operación y el mantenimiento de plantas fotovoltaicas, Para mejorar el sistema fotovoltaico conectado a la red, Para mejorar el seguimiento y la evaluación de las plantas fotovoltaicas</t>
  </si>
  <si>
    <t>IMPLEMENTAR PRÁCTICAS RESILIENTES DE ADAPTACIÓN AL CAMBIO CLIMÁTICO CON LAS COMUNIDADES DE LA PARROQUIA TOACASO EN COTOPAXI, PARA LOGRAR UNA PRODUCCIÓN SOSTENIBLE QUE APORTEN A LA SOBERANÍA ALIMENTARIA, CONSERVACIÓN DE LOS RECURSOS NATURALES Y A LA AUTONOMÍA ECONÓMICA DE PEQUEÑOS PRODUCTORES AGROECOLÓGICOS.</t>
  </si>
  <si>
    <t>Mejorar la resiliencia al cambio climático de las familias de las áreas de manglar de Bunche y Sálima y de la Reserva Marino Costero Galera San Francisco, mediante la conservación de sus recursos naturales, la producción sostenible, el empoderamiento de las mujeres y el fortalecimiento institucional.</t>
  </si>
  <si>
    <t>La COVID-19 ha puesto de manifiesto las conexiones multidimensionales entre las fuerzas económicas, las políticas públicas y las desigualdades sociales. En Lima, Perú y Quito, Ecuador, uno de los principales desafíos que enfrentaron las autoridades en su respuesta a la pandemia fue proporcionar alimentos a millones de personas y minimizar los riesgos de contagio. La pandemia puso de manifiesto la falta de resiliencia de los sistemas agroalimentarios y los factores conexos, como las limitaciones institucionales y de transporte, las desconexiones entre productores, autoridades y consumidores, los defectos estructurales de las cadenas alimentarias comerciales, las deficiencias en la calidad agroecológica y las dietas saludables, y la saturación de los mercados.   Este proyecto promoverá el desarrollo de centros municipales de alimentación, es decir, plataformas vecinales locales compuestas por redes en las que se intercambian alimentos entre agricultores, mercados de alimentos, grupos de consumidores y otras partes interesadas estratégicas. Sobre la base de los esfuerzos realizados por las dos ciudades para promover sistemas agroalimentarios sostenibles, el proyecto tiene como objetivo fortalecer la resiliencia y la inclusión de los sistemas agroalimentarios urbanos y periurbanos para resistir las crisis pandémicas, económicas y climáticas mediante la comprensión de los impulsores interconectados de la producción y el acceso a alimentos saludables.   A través de la investigación-acción participativa, el proyecto generará evidencia científica y social para promover políticas públicas que garanticen alimentos nutritivos para los grupos vulnerables y mejoren la resiliencia de los mercados locales de alimentos. Las actividades incluyen una evaluación de los sistemas agroalimentarios actuales y la identificación y mejora de las mejores prácticas. El proyecto también evaluará los centros alimentarios como una respuesta política novedosa para mejorar la seguridad nutricional. A corto plazo, ayudará a mejorar las respuestas de las ciudades a los desafíos actuales al involucrar a los municipios, los agricultores y los consumidores en las plataformas existentes.</t>
  </si>
  <si>
    <t>El proyecto busca mejorar el acceso a agua potable y las condiciones de salud de la población de 17 comunidades vulnerables de la parroquia rural El Tingo, provincia de Cotopaxi. La población titular de derechos se corresponde con 3.106 personas (1.596 mujeres), mayoritariamente indígenas, con unos indicadores socio-sanitarios que reflejan una alta vulnerabilidad (pobreza superior al 90%). Con el desarrollo de la intervención se fortalecerán las capacidades locales para la gestión y uso sostenible del sistema de abastecimiento de agua, se mejorará la sostenibilidad ambiental con la elaboración de planes y protocolos de manejo de los recursos hídricos y se desarrollarán prácticas y hábitos en salud, para optimizar el uso del agua, pvenir enfermedades y mitigar los efectos de la COVID-19,   Desde un enfoque de equidad de género, que priorice la participación de las mujeres en condiciones de igualdad, especialmente en los espacios de tomade decisión.</t>
  </si>
  <si>
    <t>Título completo del proyecto: MUJERES PRODUCTORAS DE ALIMENTOS CON ENFOQUE DE SOBERANÍA ALIMENTARIA Y VALOR AGREGADO REACTIVAN LA ECONOMÓA SOCIAL Y SOLIDARIA, AL PIE DEL PARQUE NACIONAL COTACACHI-CAYAPAS NORTE DEL ECUADOR::</t>
  </si>
  <si>
    <t>IMPLEMENTACIÓN DE UN SISTEMA AGROALIMENTARIO SOSTENIBLE, RESILIENTE Y NUTRITIVO ARROZ-PATO. PEQUEÑOS Y PEQUEÑAS PRODUCTORES RURALES DE ARROZ / HOMBRES Y MUJERES DE LA AFC DE LAS PROVINCIAS DE GUAYAS, MANABÌ, LOS RÍOS Y LOJA RECIBEN ASISTENCIA TÉCNICA E INSUMOS PARA LA IMPLEMENTACIÓN DEL SISTEMA AGROALIMENTARIO.</t>
  </si>
  <si>
    <t>PARA 2030, DUPLICAR LA PRODUCTIVIDAD AGRÍCOLA Y LOS INGRESOS DE LOS PRODUCTORES DE ALIMENTOS A PEQUEÑA ESCALA, EN PARTICULAR LAS MUJERES, LOS PUEBLOS INDÍGENAS, LOS AGRICULTORES FAMILIARES, LOS PASTORES Y LOS PESCADORES, ENTRE OTRAS COSAS MEDIANTE UN ACCESO SEGURO Y EQUITATIVO A LA TIERRA, OTROS RECURSOS PRODUCTIVOS E INSUMOS, CONOCIMIENTOS, SERVICIOS FINANCIEROS, MERCADOS Y OPORTUNIDADES DE VALOR AÑADIDO Y EMPLEO NO AGRÍCOLA. PARA 2030, GARANTIZAR SISTEMAS SOSTENIBLES DE PRODUCCIÓN DE ALIMENTOS Y APLICAR PRÁCTICAS AGRÍCOLAS RESILIENTES QUE AUMENTEN LA PRODUCTIVIDAD Y LA PRODUCCIÓN, QUE AYUDEN A MANTENER LOS ECOSISTEMAS, QUE REFUERCEN LA CAPACIDAD DE ADAPTACIÓN AL CAMBIO CLIMÁTICO, LAS CONDICIONES METEOROLÓGICAS EXTREMAS, LAS SEQUÍAS, LAS INUNDACIONES Y OTROS DESASTRES, Y QUE MEJOREN PROGRESIVAMENTE LA CALIDAD DE LA TIERRA Y EL SUELO. GARANTIZAR LA PARTICIPACIÓN PLENA Y EFECTIVA DE LAS MUJERES Y LA IGUALDAD DE OPORTUNIDADES DE LIDERAZGO A TODOS LOS NIVELES DE TOMA DE DECISIONES EN LA VIDA POLÍTICA, ECONÓMICA Y PÚBLICA.</t>
  </si>
  <si>
    <t>Implementar y Financiar de la Adaptación Basada en Ecosistemas (AbE) por parte del Sector agroalimentario para reducir el riesgo climático y los impactos ambientales en Ecuador</t>
  </si>
  <si>
    <t>Se han realizado las zonificaciones con base en estudios de riesgo climático tanto para la cadena de valor de la leche como en cacao. Hasta el momento en UNOCACE se tienen 124 beneficiarios entre capacitación y seguimiento técnico, El proyecto desarrollará y probará 13 modelos de negocios con datos climáticos y agrícolas e implementará al menos cinco instrumentos financieros/soluciones de transferencia de riesgos financieros para permitir la financiación y la inversión de AbE en la agricultura. Al menos 7.219 productores adoptarán estos enfoques y una plataforma de múltiples actores facilitará la coordinación público-privada comunitaria y promoverá una rápida adopción a gran escala.</t>
  </si>
  <si>
    <t>DISEÑAR E IMPLEMENTAR INSTRUMENTOS DE FINANCIAMIENTO SOSTENIBLE QUE PERMITAN AL MINISTERIO DE ECONOMÍA Y FINANZAS CONSEGUIR RECURSOS CONCESIONALES A LARGO PLAZO PARA QUE EL PAÍS PUEDA OBTENER FINANCIAMIENTO PARA ACTIVIDADES VINCULADAS A OBJETIVOS DE CAMBIO CLIMÁTICO, BIODIVERSIDAD Y DESARROLLO SOSTENIBLE.</t>
  </si>
  <si>
    <t>FORTALECER LAS CAPACIDADES TÉCNICAS DEL PERSONAL CLAVE DENTRO DEL MINISTERIO DE ECONOMÍA Y FINANZAS, Y OTROS ACTORES ESTRATÉGICOS, EN MATERIA DE FINANCIAMIENTO CLIMÁTICO, SOSTENIBLE Y CO-BENEFICIOS.  APOYAR LA CREACIÓN Y OPERACIONALIZACIÓN DE UN COMITÉ DE FINANZAS SOSTENIBLES. DESARROLLAR UN). MARCO  DE BONOS TEMÁTICOS PARA APOYAR EMISIONES TEMÁTICAS QUE LE PERMITA AL GOBIERNO DEL ECUADOR FINANCIAR ACTIVIDADES VERDES, AZULES, SOCIALES O SOSTENIBLES, ADHIRIÉNDOSE A LOS ESTÁNDARES INTERNACIONALES Y LOS PRINCIPIOS DEL INTERNATIONAL CAPITAL MARKET ASSOCIATION (ICMA DESARROLLAR HOJAS DE RUTA PARA LA POSIBLE EMISIÓN DE BONOS BASADOS EN RESULTADOS. ESTABLECER UNA HOJA DE RUTA PARA LA IMPLEMENTACIÓN DE OPERACIONES DE CANJE DE DEUDA POR CLIMA Y BIODIVERSIDAD.</t>
  </si>
  <si>
    <t>La comunidad indígena Shuar de Cuchaentza, en la región Amazonas, iniciará un proyecto de agricultura orgánica para la generación de ingresos y la reforestación. En 4 hectáreas se plantará Guayusa, una planta próxima para el té y otros fines, así como otras 86 plantas endémicas, que tradicionalmente habían sido cultivadas por las comunidades Shuar. Estos serán vendidos como productos orgánicos (frutas, verduras, hierbas medicinales, cosméticos, etc.) con el fin de generar ingresos para la comunidad indígena. Otros objetivos son el empoderamiento de las mujeres (los puestos clave de la asociación están ocupados por mujeres), la creación de un proyecto faro para la región para incentivar a otras comunidades Shuar a seguir su ejemplo y pvenir una mayor deforestación demostrando que existen formas sostenibles de creación de ingresos.</t>
  </si>
  <si>
    <t>Protección del medio ambiente, educación y formación general sobre el medio ambiente - Ayuntamiento de Annecy</t>
  </si>
  <si>
    <t>La iniciativa ?? Busca apoyar el diseño e implementación efectiva del enfoque de derechos y justicia ambiental en procesos de conservación y manejo sostenible de recursos en tierras y territorios indígenas de Centro y Sudamérica con soluciones basadas en la naturaleza desde su propia visión como comunidades indígenas. Ayudará a fortalecer las estructuras de gobernanza y las capacidades para contribuir a la gestión e integridad de los territorios como base para la conservación de la biodiversidad, el aumento de la resiliencia y las oportunidades para mejorar sus medios de vida.  El proyecto apoyará a los grupos indígenas de América Latina (Centroamérica y Amazonía) ayudando: - A las comunidades indígenas de ecosistemas altamente biodiversos a aplicar herramientas y mecanismos para pvenir y reducir las golosinas en su gestión territorial.  - A las personas defensoras y líderes ambientales a mejorar sus capacidades de gestión, incidencia y comunicación para una gobernanza y defensa equitativa de los derechos territoriales.  - Organizaciones de pueblos indígenas y redes de comunicación para visibilizar los aportes del CPI a la conservación, fortalecer la prevención y denunciar las amenazas a su integridad.  - A los defensores del medio ambiente y a las organizaciones de pueblos indígenas a armonizar sus agendas y propuestas de acción para negociarlas en foros internacionales y regionales.</t>
  </si>
  <si>
    <t>Antecedentes: El objetivo general es mejorar los medios de vida de las comunidades indígenas y rurales en Ecuador, para fortalecer OSC en manejo inclusivo y participativo de recursos forestales (productos y servicios) (OE1) y evitar la deforestación por mejoramiento de los medios de vida a través de cadenas de valor sostenibles de productos agroforestales (OE2). Nos centramos en tres regiones de Ecuador: Sierra Sur, Sierra Norte y Amazonía Central en consorcio con 10 contrapartes. Las intervenciones pueden estimular cambios en la práctica diaria de los beneficiarios. Concretamente: 1) mejorar la gestión de áreas protegidas (co-manejo) y aprovechamiento de productos y servicios forestales, 2) mejorar la comercialización de productos forestales no maderables, 3) establecer procesos de gestión inclusivos y participativos, 4) mejorar sistemas agroforestales, 5) fortalecer organizaciones y capacidades. Después de cinco años, las comunidades serarán capaces de obtener una ganancia triple de su capital natural: gana el clima, la biodiversidad y la situación socioeconómica. De esta manera, se puede romper el círculo vicioso de la degradación de la tierra que amenaza las comunidades en Ecuador y reducir su vulnerabilidad al cambio climático. Los objetivos específicos son los siguientes: OE 1: Fortalecimiento de comunidades y OSCs en manejo inclusivo y participativo del bosque y sus recursos (productos y servicios) aplicando modelos innovadores en beneficio del desarrollo en las comunidades en 2 zonas de intervención: Zona 1: Sierra Sur y Zona 2: Amazonía Central OE 2: Deforestación evitada por mejoramiento de los medios de vida a través de cadenas de valor sostenibles de productos agroforestales en zonas de amortagamiento de áreas protegidas en 3 zonas de intervención: Zona 1: Sierra Sur, Zona 2: Amazonía Central y Zona 3: Sierra Norte. -</t>
  </si>
  <si>
    <t>Antecedentes: El programa Vinculando el Agro-aprendizaje para un Mundo Sostenible (¡VAMOS!) constituye el compromiso de VVOB con la realización de la Meta 4.4. del ODS4 y el Objetivo 5 del Marco Estratégico Conjunto (JSF) del Ecuador. Indirectamente, el programa también contribuye a la consecución del Objetivo 3 de JSF. Más concretamente, ¡VAMOS! tiene como objetivo mejorar la calidad de la enseñanza de la agricultura y el emprendimiento -y, por lo tanto, el aprendizaje- en las escuelas secundarias (nivel bachillerato) del Ecuador que ofrecen el campo de estudio 'Producción Agropecuaria'. El programa introduce un modelo de educación agrícola y empresarial eficaz y con perspectiva de género que combina el estudio y la orientación profesional, el aprendizaje basado en proyectos para el emprendimiento agrícola y el aprendizaje basado en el trabajo, y que vincula a las escuelas con el mundo laboral de la agricultura para la prestación de estos tres componentes. A lo largo del programa, 528 docentes en servicio y 144 directivos en servicio de las provincias de Bolívar, Esmeraldas, Los Ríos, Manabí y Pastaza contarán con las competencias para ello, llegando a 8.311 estudiantes de secundaria general y 11.641 estudiantes de educación media técnica. Gracias a ¡VAMOS!, se beneficiarán de oportunidades de desarrollo profesional continuo (DPC) de calidad proporcionadas por los servicios de asesoría pedagógica del Ministerio de Educación y tres universidades: la Pontifica Universidad Católica Sede Esmeraldas, la Universidad Nacional de Educación y la Universidad Técnica de Manabí. Socios estratégicos del mundo laboral agrícola para fomentar la colaboración, el diálogo y el aprendizaje adaptativo con el objetivo de diseñar una estrategia de escalamiento a nivel nacional. Esta estrategia se basará en la evidencia sobre los programas de desarrollo profesional en servicio ofrecidos por la asesoría y las universidades.  -- Objetivos: Los directores de las escuelas y maestros de las escuelas técnicas secundarias que ofrecen Producción Agropecuaria brindan una educación agrícola y empresarial efectiva y con perspectiva de género.  --</t>
  </si>
  <si>
    <t>Las comunidades indígenas y de pequeños agricultores de la región del proyecto fortalecen su identidad cultural, aseguran el suministro de alimentos y protegen activamente su hábitat natural.</t>
  </si>
  <si>
    <t>Título completo del proyecto: : Fortalecimiento de las capacidades de los actores norte amazónicos Ecuatorianos para el ejercicio del dh al agua en un escenario de covid-19 a través del uso de tecnologías de la información y comunicación. Fase 2 :: Objectius: reducir la vulnerabilidad hídrica de la población de la Amazonía Norte a través del fortalecimiento de los actores inmersos en el ejercicio del Derecho Humano al Agua y bajo un escenario de nueva normalidad post COVID-19. Dentro de este objetivo, sedefine como objetivo específico fortalecer el proceso de asociatividad inclusiva eincidencia en la gestión del agua en un contexto de nueva normalidad post COVID-19 a través de la introducción de las tecnologías de la información y comunicación (TIC). Resultado 1) se mejora el ciclo integral del agua en un escenario de nueva normalidad post covid19, a través del impulso en el manejo de datos abiertos, libres y democráticos en el ámbito socioeducativo y con enfoque de género y basado en derechos humanos y resultado 2) Que las organizaciones fortalecen su articulación para la mejora en la gestión del agua de laAmazonía Norte en un escenario post COVID-19,   Logrando estructuras más paritariasy aumentando su capacidad de incidencia frente a un contexto creciente deemergencias.</t>
  </si>
  <si>
    <t>El programa tiene como objetivo contribuir a un desarrollo rural sostenible, endógeno y equitativo que garantice condiciones de vida dignas para 521 familias campesinas que habitan y dependen del Ecosistema de Bosque Seco Tropical (EBST). Atiende especialmente a la situación de vulnerabilidad de las mujeres productoras, en 4 cantones de la provincia Manabí, mediante:- el fortalecimiento, basado en derechos, de la gobernanza hídrica-ambiental que asegure una gestión ambientalmente sostenible del recurso hídrico, - el posicionamiento de un modelo de transición agroecológica que armonice una producción agroalimentaria soberana y resiliente con el cuidado del EBST,   Y - La mejora de las capacidades de autonomía económica poniendo en valor nuevos productos de biocomercio de calidad e identidad. Todo ello en el marco de la Economía Social y Solidaria y el Comercio Justo.</t>
  </si>
  <si>
    <t>La cuenca amazónica es uno de los sistemas de mayor importancia relativa para el mantenimiento de los equilibrios climáticos globales, la biodiversidad planetaria, así como para muchas actividades agrícolas que dependen directa o indirectamente de su funcionamiento. La reciente crisis provocada por la COVID-19 ha aumentado la presión sobre este sistema debido a la migración del campo a la ciudad en busca de fuentes de alimentos y medios de vida. Esto se suma a los más de 30 millones de habitantes ya asentados en centros urbanos ubicados dentro de la región amazónica y a los 1,5 millones de habitantes pertenecientes a comunidades indígenas. La región que contiene la cuenca amazónica se enfrenta a importantes transformaciones, algunas de las cuales pueden provocar cambios que tendrán impacto a nivel global. La deforestación, la extensión de la infraestructura, la alteración de los cursos de agua y los planes de producción de energía que ocurren o se están analizando en los países que constituyen esta región son parte de un conjunto de amenazas con impacto directo sobre una población muy significativa en los 8 países que comparten los servicios ecológicos producidos por el ecosistema amazónico.   En octubre de 2021, la Red de Soluciones para el Desarrollo Sostenible de las Naciones Unidas presentó el trabajo de un Panel Científico para la Amazonía. Esto incluye una revisión de las contribuciones más recientes de diversas comunidades científicas sobre el estado de la cuenca, y la formulación de una agenda de trabajo para favorecer el bienestar de las comunidades locales y de las poblaciones más directamente dependientes de su operación. Este proyecto es una iniciativa complementaria que busca analizar las experiencias y el interés de los financiadores de la ciencia y la investigación para el desarrollo en el fortalecimiento de las capacidades de las organizaciones locales lideradas por grupos indígenas interesados en el desarrollo, uso y traducción del conocimiento científico, con el objetivo de favorecer la visibilidad de sus contribuciones al bienestar de la población más directamente relacionada con el funcionamiento de la Cuenca amazónica a nivel local e internacional nivel.</t>
  </si>
  <si>
    <t>ReScuE - Reciclaje Responsable y Sustentable de Residuos de Aparatos Eléctricos y Electrónicos (RAEE) en Cuenca-EcuadorEl alumnado tendrá a su cargo las siguientes tareas: ? Apoyo en la actualización de la línea base sobre la gestión actual de los RAEE, que conste de un mapeo de los procesos y actores. ? Apoyo en la construcción participativa del diseño del sistema de gestión de RAEE, a través de metodologías participativas y el enfoque sistémico. Específicamente, en el diagnóstico de la situación t estrategias para el diseño de un sistema sólido de gestión de RAEE. ? Apoyo en la realización de evaluaciones ambientales, económicas y sociales del sistema diseñado. ? Apoyo en la implementación del sistema logístico y de capacitación para el sistema de RAEE. Las becas de cooperación MERIDIES están destinadas a estudiantes de la UPV para la realización de prácticas o Proyectos Final de Carrera (PFC) en programas y proyectos de cooperación al desarrollo en países del Sur, a través de universidades, organizaciones no gubernamentales de desarrollo, organismos internacionales, entidades sociales y otros actores del sistema internacional de cooperación al desarrollo.</t>
  </si>
  <si>
    <t>La declaratoria Kawsak Sacha tiene como objetivo, preservar y conservar de manera sostenible los espacios territoriales libre de actividades extractivas como petrolera, maderera, biopiratería u otras. Cumplir con esta declaratoria, es un compromiso de las comunidades amazónicas con el objetivo de resolver los problemas ecológicos y sociales asociados a prácticas agrícolas que necesitan un cambio a sistemas más sustentables. Las capacitaciones en gestión sostenible de chakras agroecológicas y medicinales, sensibilización ambiental y promoción del Sumak Kawsay a las comunidades amazónicas CEPLOA y Puka Rumi, son actividades diseñadas de manera estratégica para cumplir con este compromiso Kawsak Sacha:R1: Impartida la capacitación en gestión sostenible de las chakras comunitarias y familiares en las comunidades, desde la estrategia de la agroecología y economías verdes. R2: Impartidos los talleres de sensibilización ambiental y gestión sostenible del agua, a las comunidades CEPLOA y Puka Rumi.R3: Impartidos talleres y capacitaciones en fortalecimiento de la cultura ancestral kichwa como potencial de desarrollo comunitario, con perspectiva de género como estrategia de sostenibilidad en el aprendizaje a las comunidades CEPLOA y Puka Rumi.</t>
  </si>
  <si>
    <t>MEJORA DE LAS CONDICIONES DE VIDA Y RESILIENCIA AL CAMBIO CLIMÁTICO DEL PUEBLO INDÍGENA KICHWA EN EL ALTO NAPO.</t>
  </si>
  <si>
    <t>REDUCIR EL NIVEL DE DESNUTRICIÓN EN LAS COMUNIDADES INDÍGENAS KICHWA DEL ALTO NAPO FORTALECIENDO EL ROL DE LA MUJER EN LAS PRÁCTICAS DE ENRIQUECIMIENTO DE LA BIODIVERSIDAD AGRÍCOLA DE LA CHAKRA, EN LOS PROCESOS DE CONSERVACIÓN DE PRODUCTOS AGRÍCOLOS Y MEJORANDO SU CONOCIMIENTO DE LAS CARACTERÍSTICAS NUTRICIONALES DE LAS ESPECIES RECUPERADAS.</t>
  </si>
  <si>
    <t>Antecedentes: El reto de Rikolto en Ecuador, es contribuir a mejorar la calidad de vida de los pequeños productores agrícolas, mediante una efectiva vinculación al mercado, a través de estrategias de intervención que profesionalicen a sus organizaciones, para comercializar productos de calidad que generen ingresos más estables a las familias. Para esto se plantean 4 ejes de trabajo: 1) Apoyar a organizaciones de productores para que tengan modelos empresariales profesionalizados, con uso eficaz de nuevos sistemas de información (digitalización), y estén posicionados en mercados diferenciados con productos de calidad. 2) Generar evidencias de empresas agro–alimentarias que realizan adquisición sustentable y fomentan la participación de los(as) jóvenes rurales en la cadena. 3) Generar e implementar políticas públicas y privadas, que fomenten un entorno empresarial favorable para garantizar la sustentabilidad e inclusión. 4) Gestionar conocimientos a través de plataformas a nivel nacional e internacional, que promuevan la reflexión y la construcción de políticas públicas y privadas. Para esto se trabajará en los sectores de Café y Cacao, además, dentro de un enfoque más territorial, con frutas y hortalizas frescas dentro de una propuesta de Food Smart Cities en Quito. Se tendrá un fuerte enfoque de sustentabilidad, con la integración de buenas prácticas ambientales y medidas de adaptación-mitigación al cambio climático y con un enfoque multi-actor, para fomentar una gobernanza adecuada entre lo(a)s productores, empresa privada y demás tomadores de decisiones. -</t>
  </si>
  <si>
    <t>DESARROLLAR MARCOS ESTRATÉGICOS PARA MEJORAR EL ACCESO A LA FINANCIACIÓN CLIMÁTICA INTERNACIONAL, Y PROMOVER LAS INVERSIONES DEL SECTOR PRIVADO EN PLANES DE MITIGACIÓN Y ADAPTACIÓN. ADEMÁS, EL FORTALECIMIENTO DE LA CAPACIDAD DE LAS INSTITUCIONES FINANCIERAS LOCALES PARA INTEGRAR LAS NORMAS AMBIENTALES, SOCIALES Y DE GOBERNANZA EN SUS OPERACIONES E INSTRUMENTOS.</t>
  </si>
  <si>
    <t>Entrega de certificados de participación CICC y CIFST
Informe sobre canje de deuda por naturaleza/clima
Mesa redonda interministerial (MAATE, MEF, MREMH)
Reunión con SNP – MAATE y MEF para aprobación de observaciones finales al acuerdo ministerial de mesa de finanzas sostenibles
Talleres de fortalecimiento de capacidades ESG (2do y 3ro) y entrega de certificados de participación
Aprobación de TDRs para contratación de fortalecimiento de capacidades SARAS para el BGR
Desarrollo de marco de bonos verdes, introducción y sección de uso de recursos
Diagnóstico de políticas, legislación y regulaciones de APPs y mejores prácticas internacionales
Mesas redondas sobre APPs climáticamente inteligentes (Comité Apps-CIFST-MAATE y actores privados-bancas multilaterales)</t>
  </si>
  <si>
    <t>Consolidar la gestión integral, inclusiva y sostenible de los agro-ecosistemas locales y del recurso hídrico, que asegure medios de vida dignos para 493 mujeres y 431 hombres, personas productoras y emprendedoras de 25 organizaciones comunitarias que habitan en ecosistemas frágiles de bosque seco tropical de la provincia de Manabí, incidiendo en el empoderamiento socioeconómico de las mujeres y en la reducción de la desigualdad entre géneros</t>
  </si>
  <si>
    <t>El proyecto busca mejorar el acceso a agua potable y condiciones de salud, de la población de 17 comunidades vulnerable, de la Parroquia Rural El Tingo, provincia de Cotopaxi. La población titular de derechos se corresponde con 3.106 personas (1.596 mujeres), mayoritariamente indígenas, con unos indicadores socio-sanitarios que reflejan una alta vulnerabilidad (pobreza superior al 90%). Con el desarrollo de la intervención, se fortalecerán las capacidades locales para la gestión y uso sostenible del sistema de abastecimiento de agua, se mejorará la sostenibilidad ambiental con la elaboración de planes y protocolos de manejo de los recursos hídricos y se desarrollarán prácticas y hábitos en salud, para optimizar el uso del agua y la mitigación de los efectos de la COVID-19,   Desde un enfoque de equidad de género, que priorice la participación de las mujeres en condiciones de igualdad, especialmente en los espacios de toma de decisión.</t>
  </si>
  <si>
    <t>PROMOVER EL LIDERAZGO Y LA PARTICIPACIÓN DE LAS MUJERES RURALES DE LA SIERRA CENTRO, EN PRODUCCIÓN AGRÍCOLA, SEGURIDAD ALIMENTARIA Y PROTECCIÓN DE LOS RECURSOS NATURALES, MEDIANTE LA PROMOCIÓN DE TÉCNICAS DE ADAPTACIÓN Y MITIGACIÓN AL CAMBIO CLIMÁTICO EN LAS PROVINCIAS DE COTOPAXI, CHIMBORAZO Y BOLÍVAR</t>
  </si>
  <si>
    <t>El objetivo principal del proyecto es promover la conservación de los bosques y la compensación de carbono a través de la restauración forestal mediante la entrega de incentivos monetarios a las comunidades locales de la Reserva de la Biosfera del Chocó Andino (RBCA) a través de la mejora y el monitoreo del innovador sistema de comercio digital de carbono existente en Fundación Futuro,  Comprometiendo a las comunidades y empresas locales a promulgar prácticas de gestión sostenibles.</t>
  </si>
  <si>
    <t>Descripción: OurCity: Manta se espera generar oportunidades para los jóvenes a través de acciones colectivas multiactor, nuevas tecnologías y herramientas digitales que posibiliten el acceso a una educación de calidad, participación y empoderamiento, incidencia en la toma de decisiones, desarrollo de competencias profesionales y técnicas, co-creando una ciudad sostenible, incluyente e innovadora, con espacios públicos seguros en Manta y que atienda a retos globales como el cambio climático.</t>
  </si>
  <si>
    <t>Se espera generar oportunidades para los jóvenes a través de acciones colectivas multiactor, nuevas tecnologías y herramientas digitales que posibiliten el acceso a una educación de calidad, participación y empoderamiento, incidencia en la toma de decisiones, desarrollo de competencias profesionales y técnicas, co-creando una ciudad sostenible, incluyente e innovadora, con espacios públicos seguros en Manta y que atienda a retos globales como el cambio climático.</t>
  </si>
  <si>
    <t>EL OBJETIVO DEL PROYECTO ES CAPACITAR A 300 JÓVENES ECUATORIANOS DE TODO EL PAÍS EN TEMAS AMBIENTALES CON MIRAS A LA CONFERENCIA LOCAL DE JÓVENES DE ECUADOR (LCOY) COMO ANTESALA DE LA CUMBRE MUNDIAL DE LA JUVENTUD SOBRE EL CAMBIO CLIMÁTICO (COY16) Y LA COP26 DE LAS NACIONES UNIDAS.</t>
  </si>
  <si>
    <t>Formular la planificación a largo plazo que permita cumplir el objetivo de descarbonización durante la segunda mitad de siglo, reduciendo las emisiones de gases de efecto invernadero (GEI), conservando y aumentado los sumideros de carbono, conforme a las capacidades y circunstancias nacionales, sin perjudicar la competitividad y desarrollo de los distintos sectores priorizados de la mitigación del cambio climático.</t>
  </si>
  <si>
    <t>La formulación del PLANMICC se ha realizdo a través de un proceso de co-construcción, con la participación de actores de gobierno central, gobiernos subnacionales (provinciales y municipales), academia, sector privado, cooperación internacional y sociedad civil. 
Durante todo el proceso que arrancó en 2021, se han realizado más de 28 talleres y eventos, en donde se han registrado más de 1.000 participantes de diferentes instituciones.
Para establecimiento del escenario plausible de reducción de emisiones de GEI, denominado "Compromiso Climático 2070", se utilizó el modelo OSeMOSYS-Ec, acompañando de la metodología de Toma de Decisión Robusta, a fin de reducir las incertidumbres propias de la planificación a largo plazo.
Se estableció la visión nacional de descarbonización con un horizonte temporal hasta el 2070, lo que está alineado al Compromiso Climático 2070.</t>
  </si>
  <si>
    <t>FORTALECER LAS CAPACIDADES DEL BANCO DE DESARROLLO DEL ECUADOR B.P. PARA APOYAR EL PROCESO DE ACREDITACIÓN ANTE EL FONDO VERDE PARA EL CLIMA</t>
  </si>
  <si>
    <t>La acreditación por parte del FVC al BDE, ampliará el abanico de oportunidades de financiamiento para proyectos de bajas emisiones y resiliencia climática, incorporando más recursos y fondos baratos en la intermediación financiera para promover el desarrollo de proyectos que acerquen al país al cumplimiento de sus contribuciones determinadas a nivel nacional.</t>
  </si>
  <si>
    <t>Antecedentes: Las comunidades indígenas y ecuatorianas de la Amazonía y el Chocó-Darién viven en la selva ecuatoriana, pero sufren una deforestación que altera su hábitat natural, el agua, pero también su cultura ancestral, degradando su bienestar y haciéndolos más vulnerables al cambio climático. Esta deforestación es el vestigio de un modelo económico, basado en la exportación de materias primas, pero también de una agricultura insostenible. Nuestro programa tiene como objetivo proponer un nuevo modelo económico local integrado, donde el bosque y las áreas protegidas estén en armonía, beneficiando a los hombres y mujeres que viven alrededor y en ellos. Se divide en 3 componentes geográficamente integrados: una mejor gestión participativa de las áreas de conservación, un desarrollo económico sostenible alrededor y en las áreas protegidas, así como una mayor consideración de la protección de los bosques por parte de la población y las autoridades locales. Este modelo se desarrollará con nuestros 2 socios WWF-Ecuador y Altrópico en las cuencas de Putumayo, Pastaza y Mira, donde el potencial de desarrollo económico (ecoturismo, cacao, productos forestales no maderables, tala), los actores (Achuar, Awa, Chachis, afroecuatorianos,...) y el modo de manejo forestal (gestionado por el estado o nacionalidades indígenas) son diferentes. Esto permitirá extraer mejores lecciones para una posible replicabilidad. - Objetivo específico: La calidad de vida de las comunidades forestales ecuatorianas en las cuencas hidrográficas Mira, Pastaza y Putumayo está mejorando gracias al desarrollo de sistemas de producción sostenibles y la preservación de sus bosques y ecosistemas -</t>
  </si>
  <si>
    <t>COMPARTIR Y COMPRENDER LA VISIÓN DEL CRECIMIENTO SOSTENIBLE POR PAÍSES A TRAVÉS DE UNA GESTIÓN ATMOSFÉRICA EFICIENTE PARA EL DESARROLLO SOSTENIBLE POLÍTICAS DE GESTIÓN Y CONTROL DE LA CALIDAD DEL AIRE Y COMPARTIR LOS CONOCIMIENTOS Y LA EXPERIENCIA NECESARIOS PARA LA PLANIFICACIÓN A LARGO PLAZO.</t>
  </si>
  <si>
    <t>Contribuir al desarrollo de recursos humanos que contribuyan positiva y eficazmente al mejoramiento de la tecnología agrícola en los países en desarrollo</t>
  </si>
  <si>
    <t>FORMAR A LOS FUNCIONARIOS DE LOS PAÍSES EN DESARROLLO EN LOS ÁMBITOS DE LA CIENCIA Y LA POLÍTICA ENERGÉTICAS CON EL FIN DE MEJORAR SU COMPETENCIA GLOBAL PARA FOMENTAR LA CREACIÓN DE EMPRESAS.</t>
  </si>
  <si>
    <t>PROGRAMA DE MÁSTER PARA EL DESARROLLO DE LOS RECURSOS HUMANOS DE LOS PAÍSES EN DESARROLLO EN RESPUESTA AL CAMBIO CLIMÁTICO</t>
  </si>
  <si>
    <t>Escalar el enfoque AbE para aumentar la resiliencia al cambio climático de comunidades y ecosistemas vulnerables en zonas rurales de Ecuador, Guatemala y Costa Rica.</t>
  </si>
  <si>
    <t>Programa de Asistencia Técnica
3 políticas nacionales 
1 política subnacional/local
En 308 hectáreas se implementan 10 medidas de adaptación para fortalecer la resiliencia climática. 
950 personas con quienes se trabaja directamente, beneficiando a alrededor de de 3800 personas
7 viveros 
30 hectáreas reforestadas.
8 jornadas de reforestación
5840 especies nativas forestales y 11000 frutales sembradas.
8037 especies nativas en coproducción entre forestales, frutales y cacao con la red de viveros
3 mecanismos financieros para la adaptación al cambio climático.</t>
  </si>
  <si>
    <t>Implementar el enfoque de manejo integrado del paisaje para la promoción de medios de vida sostenibles y la protección de los servicios ecosistémicos en los Andes, en línea con el ODS: 15 (15.1, 15.2, 15.3) y el ODS 2 (2.3, 2.3)</t>
  </si>
  <si>
    <t xml:space="preserve">5 491 ha en agricultura sostenible
11 423 ha con prácticas ganaderas sostenibles
110 914 ha ha en conservación
2 774 ha en restauradas
2931 productores con asistencia técnica
11 acuerdos de cooperación firmados con gobiernos locales
15 juntas de agua en procesos de legalizacion 
7 herramientas técnicas generadas en mesas técnicas
Fondo ambiental d e Cotopaxi
Plan de manejo APH SImiatug
Ordenanza de árboles patrimoniales la Mana
Ordenanza para promover la produccion agroecologica de Cotopaxi
Ordenanza para la protección, restauracipon y cuidado del ecosistema Páramo - Guaranda
Plan Nacional de Acción Páramo
Guía de planes de manejo de bosques
4 Planes de negocio en ejecución
Informe de análisis de implicaciones y riesgos; e, identificación de brechas claves que se derivan de las nuevas regulaciones europeas para el sector de productos orgánicos en la oferta exportable desde Ecuador
Propuesta de Ley para creación, estructura, funcionamiento y financiamiento de las Organziaciones de las Cadenas Agroalimentarias </t>
  </si>
  <si>
    <t>Antecedentes: El proyecto tiene como objetivo promover sistemas socioecológicos resilientes y el bienestar de los pueblos indígenas y las comunidades locales (pueblos indígenas y comunidades locales) que viven y dependen de los bosques tropicales y el agua dulce en los tres paisajes de la Amazonía y el Chocó en Ecuador, permitiéndoles recuperar y asegurar los servicios ecosistémicos para las generaciones futuras. Serán más conscientes de la importancia y el valor de su territorio y se sentirán corresponsables de su gestión y protección, que fortalece la gobernanza y en la que mujeres y hombres participan en igualdad de condiciones en la toma de decisiones.  Nos esforzamos para que todo esto se desarrolle en asociación con una sociedad civil que valore sus medios de vida y sus recursos naturales. Se habrán fortalecido los procesos educativos locales (con niños, niñas y jóvenes) y la reflexión sobre la importancia de la conservación de los recursos naturales, así como el fortalecimiento de los mecanismos de gobernanza comunitaria local como condición habilitante que permitirá un mayor control comunitario de los territorios a través de procesos de justicia social y equidad,  Sin dejar a nadie atrás. Además, las comunidades locales de estos paisajes tendrán medios de vida sostenibles, con vínculos claros con mercados justos y mecanismos de distribución interna adecuados para los beneficios generados en base a sistemas de producción libres de deforestación.  Por último, contarán con más y mejores mecanismos de conservación de bosques y aguas en estos paisajes para contribuir a la provisión a largo plazo de servicios ecosistémicos y hábitats saludables para la biodiversidad.  -- Objetivos: Al 2026, las comunidades locales y los pueblos indígenas, incluidos los jóvenes, en 3 paisajes forestales de la Amazonía y el Chocó del Ecuador mejorarán sus capacidades y participación en la gestión sostenible de su territorio, y adoptan medios de vida que recuperan y mantienen servicios ecosistémicos clave al tiempo que mejoran su economía.  --</t>
  </si>
  <si>
    <t>APLICAR LA EXPERIENCIA DE REPÚBLICA DOMINICANA EN EL PROYECTO PIDARA, SOBRE LA TRANSFERENCIA DE ENTRENAMIENTOS EN SISTEMAS DE PRODUCCIÓN AGRÍCOLA EN ZONAS DE MONTAÑA.</t>
  </si>
  <si>
    <t>Servicios de apoyo a la Subsecretaría de Cambio Climático para la elaboración de la propuesta de Ley de Cambio Climático de Ecuador</t>
  </si>
  <si>
    <t>Se realizaron 5 talleres de construcción participativa con la paricipación de actores públicos (miembros del CICC y otros), privados, academia, socieedad civil y organizaciones sociales. Se cuenta con un borrador preliminar de la Ley, que todavía está siendo trabajado.</t>
  </si>
  <si>
    <t>Explorar el potencial para desarrollar planes a nivel de la ciudad para la adaptación y mitigación basada en la naturaleza, así como estrategias de financiamiento, y capacidades de implementación.</t>
  </si>
  <si>
    <t>Antecedentes: Los resultados en Ecuador se centran en mejorar la resiliencia de los ecosistemas forestales en el Bosque Seco del Sur, el Bosque Nuboso del Noroeste y el Sureste y la Selva Amazónica. El programa empodera a las comunidades locales para que se conviertan en mejores guardianes de los bosques que habitan. Para lograrlo, BOS+ identificó 5 socios locales especializados en manejo forestal sostenible, conservación forestal, prácticas agroforestales mejoradas, restauración forestal y educación. Mediante la capacitación de "centinelas" o monitores ambientales, el programa mejorará la conservación de los bosques. Monitorearán las fronteras, los cambios forestales y los puntos calientes, contribuyendo a la prevención de incendios. Al mismo tiempo, apoyaremos campañas de concienciación sobre la importancia de los bosques. Se fortalecerá a las comunidades locales para que elaboren planes cualitativos de ordenación forestal sostenible, que son una parte esencial de la conservación de los bosques. También nos centraremos en formas sostenibles de generar ingresos y asegurar los medios de vida de las comunidades locales, mediante el suministro de productos forestales de calidad y cosechados de manera sostenible.  El programa ampliará, mejorará y diversificará las prácticas agroforestales. El objetivo es extender la duración del uso de las tierras agrícolas mediante la aplicación de sistemas agroforestales mejorados. De esta manera, el programa también impulsará la calidad del producto y beneficiará la salud de los consumidores locales. Las áreas de restauración forestal se enriquecerán con especies locales y nuevas técnicas de restauración. La labor en materia de políticas, tanto a nivel local como nacional, será fundamental para lograr este resultado. La combinación de socios establecida fortalecerá la labor en materia de políticas, ya que los asociados con más experiencia en la labor en materia de políticas pueden contar con las aportaciones de los beneficiarios locales. Se mejorarán las capacidades de gestión administrativa y técnica a través del aprendizaje mutuo, también para las organizaciones beneficiarias y BOS+. Por último, pero no menos importante, un proyecto educativo innovador intercambiará entre niños del sur de Ecuador y Bélgica, lo que permitirá mejorar su sistema educativo local y su autoestima.   -- Objetivos: Los pueblos indígenas y las comunidades locales (PICL) del Bosque Seco del Sur, del Bosque Nuboso del Noroeste y del Sudeste y de la Selva Amazónica contribuyen a mejorar la resiliencia de los paisajes forestales y el entorno socioecológico en el que habitan, asegurando un triple beneficio para la biodiversidad, el clima y el bienestar de los habitantes --</t>
  </si>
  <si>
    <t>El objetivo de esta cooperación técnica no reembolsable es fortalecer las estrategias y acciones que Ecuador está implementando contra la deforestación en la Amazonía ecuatoriana, en línea con los objetivos de la Iniciativa Amazonía del BID.</t>
  </si>
  <si>
    <t>PEQUEÑOS AGRICULTORES EN CAYAMBE Y MUISNE, PRINCIPALMENTE MUJERES JÓVENS, MEJORAN SUS INGRESOS Y REDUCEN SUS CONDICIONES DE INEQUIDAD, MEDIANTE EL FORTALECIMIENTO DE PRÁCTICAS AGROECOLÓGICAS, AGRICULTURA SUSTENTABLE Y EL FORTALECIMIENTO DE LA PRODUCCIÓN Y MERCADOS LOCALES</t>
  </si>
  <si>
    <t>El proyecto pretende ayudar a satisfacer las necesidades alimentarias inmediatas de las poblaciones vulnerables, garantizando la seguridad alimentaria y el acceso a alimentos sanos, nutritivos y suficientes, y contribuir al fortalecimiento de sistemas agroalimentarios sostenibles que apoyen la conservación de los ecosistemas y aumenten las capacidades de los productores para adaptarse al cambio climático.</t>
  </si>
  <si>
    <t>la División de Mercados Laborales del Banco Interamericano de Desarrollo busca desarrollar la capacidad técnica del Servicio Público de Empleo (SPE) ecuatoriano a través de una variedad de actividades. En este sentido, se requiere de un profesional que pueda diseñar una estrategia y servicios, para los SPE, para promover empleos verdes, con enfoque de género</t>
  </si>
  <si>
    <t>the Labor Markets Division at the Inter-American Development bank seeks to develop technical capacity of the Ecuadorian Public Employment Service (PES) through a variety of activities. In this sense, a professional is required who can design a strategy and services, for the PES, to promote green jobs, with a gender focus</t>
  </si>
  <si>
    <t>En América Latina y el Caribe, al igual que en otros lugares, la pandemia de COVID-19 ha exacerbado la vulnerabilidad de las comunidades marginadas y de bajos ingresos. Están experimentando una mayor inseguridad alimentaria y están sufriendo más los impactos en cascada de los peligros naturales y el cambio climático. Sin embargo, todos los días producen soluciones informales y de abajo hacia arriba a estos problemas, transformando los espacios públicos, la vivienda y las condiciones urbanas al margen de las influencias y planes de las autoridades. Estas soluciones de abajo hacia arriba aún no se comprenden completamente, y se sabe poco sobre cómo las condiciones de informalidad urbana —donde la infraestructura y los servicios son escasos, la tenencia de la tierra es discutida, las estructuras de gobernanza son frágiles y las condiciones de vivienda son malas— influyen en el surgimiento, la sostenibilidad y la ampliación de los sistemas alimentarios alternativos. Se trata de sistemas alimentarios locales, saludables, equitativos, inclusivos y culturalmente relevantes.  Este proyecto busca explorar: (a) cómo las soluciones informales de abajo hacia arriba interactúan con los sistemas alimentarios y contribuyen a hacerlos más resilientes a impactos como el cambio climático y las pandemias, (b) cómo los sistemas urbanos como la infraestructura y la vivienda en asentamientos informales influyen en la resiliencia y vulnerabilidad de los sistemas alimentarios alternativos y,  Al hacerlo, cómo influyen en la capacidad de las personas para hacer frente a los impactos del cambio climático, y (c) las condiciones para ampliar el impacto, transferir resultados y superar las barreras de implementación hacia sistemas alimentarios alternativos resilientes en América Latina y el Caribe.   El objetivo es utilizar esos conocimientos para apoyar los esfuerzos sobre el terreno, específicos a nivel local, para fortalecer los sistemas alimentarios alternativos, así como para generar y practicar lecciones relacionadas con el sistema alimentario, con miras a reducir las vulnerabilidades y aumentar la resiliencia. El proyecto involucrará actividades de investigación, capacitación e implementación en cuatro países: Ecuador, Colombia, Chile y Cuba. También incluirá la creación de redes y el intercambio de actividades entre los cuatro países, así como entre otros países del Corredor Seco de Centroamérica. Producirá nuevos conocimientos y generará cambios en las políticas a través de exploraciones innovadoras que combinen la investigación empírica, la investigación-acción y el diseño. Estas actividades ayudarán a mejorar la capacidad local y la interacción entre los líderes comunitarios, los funcionarios públicos y los socios académicos, y a equipar mejor a las comunidades e instituciones para enfrentar los desafíos de la inseguridad alimentaria y los peligros naturales en los próximos años.</t>
  </si>
  <si>
    <t>La iniciativa y las futuras intervenciones afines darán como resultado que los pueblos indígenas y las comunidades locales, en particular las mujeres y los jóvenes, hayan reclamado un papel central como innovadores empoderados, implementadores y defensores de la gobernanza territorial y las soluciones climáticas que beneficien a las personas y la naturaleza en paisajes prioritarios en América Latina. El proyecto abordará cuestiones socioambientales que son críticas para la protección de la naturaleza transfronteriza en América Latina.  Se centrará en tres paisajes transfronterizos clave en América Latina, donde WWF buscará involucrar, empoderar, fortalecer su voz y buscar una mayor equidad para que los pueblos indígenas y las comunidades locales sean activos en la búsqueda de un desarrollo sostenible que beneficie a las personas y la naturaleza. Estos paisajes son el hogar de comunidades indígenas y locales, que pueden desempeñar un papel clave en el desarrollo sostenible, pero cuyos derechos humanos a menudo no se respetan o aplican adecuadamente, incluido su derecho a la tierra, el acceso a la información y la participación en los procesos de toma de decisiones.  Estas comunidades a menudo no tienen los requisitos previos necesarios para amplificar sus voces y tienen un papel más prominente en la influencia de las políticas. Los paisajes seleccionados también proporcionan un contexto útil para abordar la igualdad de género, ya que las mujeres indígenas y los pueblos locales a menudo son excluidas de los procesos de toma de decisiones.  La falta de oportunidades económicas para los pueblos indígenas y las comunidades locales en estos lugares ejerce una presión especial sobre las mujeres, que a menudo se quedan en la comunidad con sus hijos cuando los hombres emigran a la ciudad en busca de empleo.  El proyecto tiene como objetivo implementar medidas para abordar estas desigualdades y desafíos.    Desde una perspectiva regional y de gestión ambiental, el enfoque en estos paisajes transfronterizos agregará valor porque permitirá implementar enfoques y acciones similares en cada país y abordar las necesidades de conectividad entre áreas protegidas y a través de las fronteras. La combinación de un enfoque de paisaje y coordinación regional conducirá a una conservación más eficaz de la biodiversidad y a beneficios para las personas, lo que no puede lograrse mediante intervenciones puramente nacionales.  Será posible aumentar los impactos a través del aprendizaje compartido, la creación de alianzas transfronterizas para influir en las políticas y trabajar con organizaciones que trasciendan las fronteras nacionales. El curso de este proyecto se centrará en tres estrategias principales: a) actividades generadoras de ingresos que promuevan medios de vida sostenibles para hombres, mujeres y sus familias, b) creación de capacidades y alianzas de organizaciones de titulares de derechos, y c) la promoción de soluciones equitativas para el clima y la naturaleza.  Este proyecto contribuye a los objetivos globales de WWF en materia de Bosques y Gobernanza, a los planes estratégicos de las oficinas de WWF involucradas en esta propuesta y está alineado con los objetivos de la estrategia para la cooperación regional de desarrollo de Suecia con América Latina 2021-2025.</t>
  </si>
  <si>
    <t>Título completo del proyecto: FORTALECIMIENTO DE LAS CAPACIDADES DE LOS ACTORES NORTEAMAZÓNICOS ECUATORIANOS POR EL EJERCICIO DEL DERECHO AL AGUA EN UN ESCENARIO POST-COVID19 A TRAVÉS DEL USO DE TECNOLOGÍAS DE LA INFORMACIÓN Y COMUNICACIÓN. :: El trabajo de ISF en la Amazonía Norte de Ecuador en el ámbito de los Derechos Ambientales y del Derecho Humano en el Agua son parte de la identificación de este proyecto. Este proceso ha permitido establecer alianzas con actores tanto de sectores sociales como institucionales, involucrando en la definición de esta propuesta a titulares de derechos, responsabilidades y obligaciones, caracterizando colectivamente las siguientes problemáticas: 1) Ausencia de información hídrica y sobre cambio climático, contaminación, 2) Ausencia de capacidades locales en materia hídrica, 3) Dificultad para la articulación publicocomunitaria,   4) Escasa renovación de liderazgos, 5) Discriminación entre sexos, 6) Deslegitimación de los espacios de participación, y 6) Baja representatividad de mujeres y nacionalidades. A estos factores, deben sumarse los efectos económicos, sociales, culturales y ambientales que ha provocado la pandemia de la Covid-19 y la gran brecha tecnológica en diversos colectivos del sector rural para incidir en la exigibilidad de los suyos derechos. En este marco, se ha diseñado una intervención con el objetivo de reducir la vulnerabilidad hídrica de la población de la Amazonía Norte a través del fortalecimiento de los actores inmersos en el ejercicio del Derecho Humano en el Agua y bajo un escenario de nueva normalidad postCovid-19, con el objetivo específico de fortalecer el proceso de asociatividad inclusiva e incidencia en la gestión del agua a través de la introducción de las tecnologías de la información y comunicación (TIC). La propuesta se ha diseñado con una lógica de intervención hídrica, por encima de los límites político-administrativos, y desde la articulación de acciones entre titulares de derechos, responsabilidades y obligaciones. Por ello, se propone coordinar y ejecutar la propuesta desde los espacios de concertación en materia hídrica, implicando en la definición y ejecución las instituciones titulares de obligaciones como los Gads Provinciale de Orellana y Sucumbíos, especialmente el GADPO que actuará como a contraparte principal por sus fortalezas en gestión ambiental y cambio climático, y en las organizaciones de segundo orden titulares de responsabilidades como la Asociación de Juntas de Agua La Belleza (AJAAPySLB) y el Consorcio de Juntas de Agua de Sucumbíos, Napo y Orellana (CJASNO).</t>
  </si>
  <si>
    <t>Antecedentes: Producción agropecuaria sostenible: se promoverán prácticas innovadoras para mejorar la productividad, con procesos de capacitación y gestión de calidad, se fortalecerán las capacidades de los técnicos de las OP para promover la implementación de sistemas de producción diversificados, además del cultivo principal (café y cacao), se fomentará el cultivo de cultivos que contribuyan a la seguridad alimentaria y a la generación de ingresos complementarios,   Se apoyará a las organizaciones para gestionar la producción de café y cacao de calidad, de acuerdo con los estándares del mercado internacional y local. Se evaluará la profesionalización de las OP y se desarrollarán planes de mejora para contribuir a una mejor gestión de las OP y prepararlas para ofrecer mejores servicios y condiciones de mercado. Mercados Inclusivos: las OP fortalecerán sus relaciones comerciales inclusivas a través de la co-creación de negocios, con propuestas de valor diferenciadas, fortalecimiento de capacidades y asesoría para iniciativas empresariales, agronegocios y emprendimientos propiedad de jóvenes y mujeres, quienes utilizarán tecnologías y procesos eficientes que agregarán valor a sus emprendimientos y promoverán circuitos cortos de comercialización, incentivando además una mayor oferta en sus organizaciones.  Los modelos de negocio inclusivos se documentarán y compartirán en espacios de múltiples partes interesadas. Entornos propicios: Se promoverá el acceso a servicios financieros viables y otros servicios de OP no financieros, se fortalecerán y apoyarán las plataformas de múltiples partes interesadas para diseñar, generar e influir en el desarrollo de políticas públicas, estrategias y planes nacionales que contribuyan a la sostenibilidad e inclusión de los sectores. Para llevar a cabo estas actividades y contribuir a la generación de ingresos dignos y fortalecer la resiliencia, nos coordinaremos con las OP, los sectores público, privado y financiero, las empresas, la academia, las ONG y las organizaciones sectoriales.  -- Objetivos: Los sectores del café y el cacao en Ecuador son más resilientes, sostenibles e inclusivos, lo que ayuda a generar ingresos dignos para los productores agrícolas y empresarios, incluidas las mujeres y los jóvenes, al tiempo que aumenta la disponibilidad de productos alimenticios sostenibles.  --</t>
  </si>
  <si>
    <t>PROMOVER LA GESTIÓN SOSTENIBLE DE LOS BOSQUES Y LOS RECURSOS FORESTALES, FORTALECIENDO LA RECUPERACIÓN DE SERVICIOS ECOSISTÉMICOS PARA PRESERVAR LOS MEDIOS DE VIDA RURALES ANTE EL CAMBIO CLIMÁTICO (ODS 15, META 15.2, ODS 13).</t>
  </si>
  <si>
    <t>LAS COMUNIDADES LOCALES APORTAN AL MEJORAMIENTO DE LA RESILIENCIA DE LOS PAISAJES FORESTALES EN LAS ÁREAS DE INTERVENCIÓN EN EL BOSQUE SECO DEL SUR, BOSQUE NUBLADO DEL NOROCCIDENTE Y SURORIENTE Y LA SELVA AMAZÓNICA COMO SISTEMAS SOCIO-ECOLÓGICOS QUE HABITAN, LOGRANDO UN TRIPLE APORTE EN EL ÁMBITO DEL CLIMA, LA BIODIVERSIDAD Y EL BIENESTAR DE LAS PERSONAS EN LAS COMUNIDADES.</t>
  </si>
  <si>
    <t>Versión del RNCC 2.0: Complementariedades y Mejoras</t>
  </si>
  <si>
    <t>Desarrollar los módulos de seguimiento de la NDC, adaptación, y Pérdidas y Daños, así como del Artículo 6. Fortalecer los arreglos institucionales existentes y mejorar la calidad de la información disponible. Completar los módulos del sistema de Monitoreo, Reporte y Verificación (MRV) del Registro Nacional de Cambio Climático. Implementar las mejoras identificadas en el Primer Informe Bienal de Actualización (1BRT) y en el informe de evaluación del Equipo Técnico Revisor de la CMNUCC (TER).</t>
  </si>
  <si>
    <t>2026 a 2029</t>
  </si>
  <si>
    <t>Ministerio del Ambiente, Agua y Transición Ecológica</t>
  </si>
  <si>
    <t>Planificada</t>
  </si>
  <si>
    <t>El RNCC es fortalecido y provee información oportunamente, además ha logrado la interoperabilidad con otros sistemas de entidades proveedoras de Información. La Autoridad Nacional de transparencia climática se encuentra fortalecida y cuenta con personal especializado que contribuyen en el desarrollo de reportes de cambio climático</t>
  </si>
  <si>
    <t>Sexta Comunicación Nacional y Tercer Reporte Bienal de Transparencia y Segundo Reporte Bienal de Transparencia</t>
  </si>
  <si>
    <t>Preparación de entrega de los Reportes Nacionales correspondientes al periodo.</t>
  </si>
  <si>
    <t>2024 a 2028</t>
  </si>
  <si>
    <t>Generación actualizada de la información presentada en el reporte previo, Cumplimiento de los compromisos del país ante la Convención Marco de las Naciones Unidas sobre el Cambio Climático y el Acuerdo de París.</t>
  </si>
  <si>
    <t>2028 a 2032</t>
  </si>
  <si>
    <t>Cumplimiento de los compromisos del país ante la Convención Marco de las Naciones Unidas sobre el Cambio Climático y el Acuerdo de París.</t>
  </si>
  <si>
    <t>2029 a 2032</t>
  </si>
  <si>
    <t>Implementando el Sistema de Transparencia Climática del Ecuador</t>
  </si>
  <si>
    <t>Fortalecer los sistemas de transparencia de Ecuador para cumplir con los requisitos del ETF bajo el Acuerdo de París sobre el Cambio Climático agilitando la recolección, gestión, procesamiento y producción de información climática de alta calidad.</t>
  </si>
  <si>
    <t>Ministerio del Ambiente, Agua y Transición ecológica</t>
  </si>
  <si>
    <t>Desarrollo de la primera versión del Sistema del Registro Nacional de Cambio Climático del Ecuador, a través del cual se implementa el MTR.</t>
  </si>
  <si>
    <t>Quinta Comunicación Nacional sobre Cambio Climático y Primer Reporte Bienal de Transparencia - 5CN-1RBT</t>
  </si>
  <si>
    <t xml:space="preserve">Preparación y presentación del informe combinado BTR1/NC5 a la CMNUCC </t>
  </si>
  <si>
    <t>Finalizado</t>
  </si>
  <si>
    <t>Desarrollar el diseño conceptual del sitio web del RNCC y aplicación web MRV nacional, así como la versión piloto (v.1.0) y versión (v.1.1)</t>
  </si>
  <si>
    <t>Desarrollo de la versión inicial del marco estructural del aplicativo, con sus bases conceptuales articuladas.</t>
  </si>
  <si>
    <t>Implementación de sistemas agroforestales en sistemas de producción sostenibles en la agricultura familiar campesina.</t>
  </si>
  <si>
    <t>Gestionar procesos de importación de productos agropecuarios y analizar el impacto en la producción nacional.</t>
  </si>
  <si>
    <t>Determinación de factores de emisión de GEI de los principales rubros agrícolas al cambio climático</t>
  </si>
  <si>
    <t>Mejorar la infraestructura tecnológica -plataforma virtual que fue desarrollada para la medición de gases de efecto invernadero en ganadería, en la cual se incluya la medición de captura de carbono en sistemas silvopastoriles así como la integración de la reversión de la degradación de tierras, y reduciendo los riesgos de desertificación en provincias vulnerables.</t>
  </si>
  <si>
    <t>Se propone contar con estudios sobre que permitan conocer el riesgo de desastres naturales (deslizamientos en masa y otros eventos peligrosos), así como las vulnerabilidades de las familias y comunidades; identificar e implementar procesos de fortalecimiento de capacidades de respuesta y recuperación de medios de vida afectados de las subcuencas de los ríos León, San Francisco y Vivar (Azuay)</t>
  </si>
  <si>
    <t>Análisis de la pobreza energética en viviendas del Ecuador</t>
  </si>
  <si>
    <t>El objetivo general del proyecto es desarrollar un marco integral para la evaluación y mitigación de la pobreza energética en viviendas del Ecuador, el cual se llevará a cabo mediante la ejecución de tres fases:  línea base, impacto del cambio climático y soluciones de mitigación para poblaciones vulnerables
La primera fase contempla la recolección y análisis de datos sobre el consumo energético, subsidios del servicio eléctrico, ingresos económicos, y condiciones de vivienda en diversas regiones del país, la identificación de los principales factores que contribuyen a la pobreza energética en el contexto nacional y la definición de la línea base de pobreza energética en el todo el territorio. Posteriormente, en la segunda fase se analizará la afectación del cambio climático, sobre la demanda de energía para calefacción y refrigeración; y se evaluará la vulnerabilidad de diferentes regiones y grupos poblacionales ante los diferentes escenarios del IPCC. Finalmente, la tercera fase se realizará una revisión de estrategias y tecnologías actuales con potencial para reducir la pobreza energética, incluyendo mejoras en la eficiencia energética y diseño bioclimático, y se evaluará el impacto de dichas soluciones, en casos de estudio en diferentes zonas climáticas del Ecuador, mediante modelos energéticos calibrados.</t>
  </si>
  <si>
    <t>Mejoramiento de la productividad agrícola de los usuarios del canal de riego ´Acequia Comunaria de Quisapincha´ con la utilización de insumos y materiales de la propia finca.</t>
  </si>
  <si>
    <t>Proceso de mejoramiento de productividad del campo a través de sistemas de riego y tecnificacion con herramientas de tecnología 4.0</t>
  </si>
  <si>
    <t>Proyecto Normativo  de Regulación de Asentamientos Humanos y Construcciones Informales.</t>
  </si>
  <si>
    <t>Proyecto normativo para la regularización de asentamientos humano y cosntrucciones informales que incluya programas de hábitat y espacio público para contener los procesos de expiación urbana de los GADM así como disminuir en la exposición de asentamientos humanos en zonas de alta vulnerabilidad</t>
  </si>
  <si>
    <t>Repotenciación del monitoreo 24/7 de eventos adversos de gestión de riesgos y eventos climáticos extremos en el Ecuador.</t>
  </si>
  <si>
    <t>Zonificación de áreas agrícolas contaminadas por metales pesados.</t>
  </si>
  <si>
    <t>Actualización y socialización de estudios sobre zonas de alta incidencia de eventos peligrosos y climáticos</t>
  </si>
  <si>
    <t>Se espera disminuir la proliferación de asentamientos humanos y construcciones inseguras a nivel nacional.</t>
  </si>
  <si>
    <t>Repotenciación del monitoreo 24/7 de eventos adversos relacionados con la gestión de riesgo de desastres y eventos climáticos extremos en todo el Ecuador</t>
  </si>
  <si>
    <t>La SNGR cuenta con un personal que trata de monitorear la situación de las amenazas naturales y eventos adversos climáticos del Ecuador y necesita de solidos conocimientos para poder mejorar su trabajo operativo e identificar parámetros relacionados con el cambio climático y su relación con la gestión del riesgo de desastres. También el personal de monitoreo mantiene comunicación permanente con el personal de las UGR y con las salas de situación existentes, por lo que es necesario que todos se encuentren capacitados y con los conocimientos estandarizados. Para esto se desarrollarían 20 talleres provinciales de 5 días de duración, cada uno, por lo que es necesario obtener fondos para estos fortalecimientos para el personal de la SNGR y los Gobiernos Locales Cantonales</t>
  </si>
  <si>
    <t>Fortalecimeinto de capacidades al personal de la Red de Monitoreo de la SNGR y los GAD cantonales en eventos natuales y eventos climáticos extremos.</t>
  </si>
  <si>
    <t>El proyecto busca reforestar más de 150 especies endémicas y frutales, propias de la amazonía, las mismas que dan sostenibilidad de alimentación a las aves y animales terrestres, así mismo del aprovechamiento de las semillas para la elaboración de collares, aretes, calianas entre otros.</t>
  </si>
  <si>
    <t>En el análisis el propósito es evaluar la infraestructura construida por las siguientes instituciones en la cuenca baja del río Paute, la cual tenia el propósito de reducir el impacto de acumular sedimentos en las represas de los proyectos Hidroelectricos Mazar y Molino lo que acorta la vida util de estos proyectos, también permitían recuperar el cauce del río Paute desde el dique residual ubicado en la zona de La Josefina, hasta la ciudad de Paute.
Los impactos al cambio climático están produciendo que las margenes se estén erosionando aguas abajo del dique residual y aguas arriba  inundaciones anualmente, este levantamiento de información permitirá tomar medidas de adaptación al cambio climático ya que estos criterios no fueron considerados en los modelos iniciales, a lo cual tampoco se considero el crecimiento de la ciudad de cuenca (cambio de uso de Suelo) asi como perdidas de páramos.</t>
  </si>
  <si>
    <t>Evaluación a las medidas tomadas por el deslizamiento de La Josefina en el año 1993, y su impacto en relación al cambio climatico, y analizando la mitigación para proteger la cuenca del río Paute aguas arriba y aguas abajo del dique residual de la Josefina.</t>
  </si>
  <si>
    <t>La SNGR cuanta con un sistema web que levantó en el 2022 y que conserva gran parte de las funcionalidades para la administración y manejo de información culitativa y cuantitativa de Registros Históricos de amenazas naturales, climáticas, oceanográficas e hidrometeorológicas,  para monitorear, alertar y registrar eventos para la toma de decisiones en un solo aplicativo, lo que permite a todos los actores, tener la información consolidada y centralizada para que se pueda utilizar para la toma de decisiones o para la actualizaciones de PDyOT, Planes de Respuesta, Planes de Emergencia, entre otros documentos donde es importante tener la información histórica para saber como un territorio se encuentra adaptándose y siendo resiliente. este sistema se lo quiere repotenciar y adaptar nuevas funcionalidades que nos han pedido los actores locales en donde el mismo ya fue socializado.</t>
  </si>
  <si>
    <t>Repotenciación del sistema de información para los registros históricos de datos de monitoreo cualitativo y cuantitativo de amenazas naturales (climáticas, oceanográficas, geológicas, hidrometeorológicas) y datos de afectaciones y ejecución de planes de respuesta y recuperación para la toma de decisiones y atención a la población</t>
  </si>
  <si>
    <t xml:space="preserve">Proyecto:  Analizar la variabilidad de temperatura histórica en las 3 regiones del Ecuador en un contexto de cambio climático </t>
  </si>
  <si>
    <t xml:space="preserve">Cuantificar el incremento de la temperatura en la Costa, Sierra y Amazonía usando las series de datos  mas largas disponibles en estaciones referenciales. 
Comparar los resultados obtenidos con la tendencia mundial de incremento de temperatura. </t>
  </si>
  <si>
    <t xml:space="preserve">Analizar la variabilidad de temperatura histórica en las 3 regiones del Ecuador en un contexto de cambio climático </t>
  </si>
  <si>
    <t xml:space="preserve">Apoyo de un consultor para el manejo de temas de adaptación y mitigación de Cambio Climático del sector de energía.
</t>
  </si>
  <si>
    <t>Colaboración con el punto focal de cambio climático del Ministerio de Energía y Minas a través de un consultor para el manejo de temas de adaptación y mitigación de Cambio Climático del sector de energía.</t>
  </si>
  <si>
    <t>Construcción sostenible, sistema de manejo de aguas residuales y biodigestores, paneles solares, cultivo sintrópico en manejo de caña de azúcar</t>
  </si>
  <si>
    <t>Finca bioagroturistica con producción de aguardiente</t>
  </si>
  <si>
    <t>Repotenciación Sistema de Información de Registros Históricos de amenazas naturales, climáticas, oceanográficas e hidrometeorológicas</t>
  </si>
  <si>
    <t>Convenio de cooperación interinstitucional para proyectos de energías renovables y medidas de adaptación al cambio climático CELEC SUR 2023-2028</t>
  </si>
  <si>
    <t>Establecimiento de un convenio interinstitucional de las aplicaciones en el dominio espacio temporal como soporte a la toma de decisiones para proyectos de energías renovables y medidas de adaptación al cambio climático para CELEC SUR 2023-2028</t>
  </si>
  <si>
    <t>Detección y medición de emisiones de metano L4 y L5 para las instalaciones de UPSTREAM de EPPETROECUADOR. Al momento se encuentra en ejecución mediciones de metano hasta nivel 3. Una vez levantada la información completamente, se deberá realizar mediciones nivel L4 y nivel 5 según las directrices de OGMP 2.0</t>
  </si>
  <si>
    <t>Detección y medición de emisiones de metano L4 y L5 para las instalaciones de UPSTREAM de EPPETROECUADOR.</t>
  </si>
  <si>
    <t>El proyecto titulado "Determinación del consumo energético de combustible y factores de emisión en el sector transporte de Ecuador para promover la eficiencia energética y uso de energía renovable" tiene como objetivo principal cuantificar el consumo de combustibles fósiles y determinar los factores de emisión de gases de efecto invernadero (GEI) en el sector transporte, principal consumidor de energía del país. Para ello, se llevará a cabo un exhaustivo levantamiento de datos mediante la implementación de tecnologías avanzadas de telemetría y sistemas portátiles de medición de emisiones (PEMS).
Las mediciones se realizarán en condiciones reales de operación, considerando variables como la geografía, altitud y el comportamiento del tránsito en diferentes regiones del país. Se utilizarán PEMS para medir directamente las emisiones de dióxido de carbono (CO₂), óxidos de nitrógeno (NOx) y material particulado (PM) durante la operación normal de vehículos representativos del parque automotor ecuatoriano. Estos equipos portátiles proporcionarán datos precisos sobre el desempeño energético de cada vehículo bajo diversas condiciones operativas, como tráfico urbano y periurbano, así como en rutas interprovinciales.
La telemetría permitirá monitorear el consumo de combustible, las velocidades de operación y otros parámetros operativos que influencian la eficiencia energética. Este enfoque garantizará una evaluación robusta y contextualizada de los patrones de consumo y emisión en el sector transporte, generando un conjunto de datos clave para la formulación de políticas públicas dirigidas a la mitigación de GEI y la transición hacia tecnologías más limpias y renovables, como la electrificación del transporte y el uso de biocombustibles.
Los resultados obtenidos servirán como base para el desarrollo de propuestas regulatorias y la identificación de oportunidades de financiamiento y transferencia de tecnología, en el marco del Acuerdo de París y las prioridades nacionales de Ecuador en materia de cambio climático.</t>
  </si>
  <si>
    <t>Proporcionar un conjunto de herramientas y resultados que serán utilizados para múltiples fines estratégicos en el ámbito de la mitigación del cambio climático y la modernización del transporte. Uno de los principales usos esperados es la mejora en la precisión de los inventarios nacionales de emisiones, mediante la recopilación de datos actualizados y detallados sobre el consumo de combustibles y las emisiones de gases de efecto invernadero (GEI) en diferentes categorías de vehículos y condiciones operativas. Asimismo, los resultados del proyecto servirán como insumo clave para el desarrollo de políticas públicas que promuevan la eficiencia energética en el sector transporte. Las mediciones y análisis permitirán identificar áreas prioritarias donde se puedan aplicar tecnologías de baja emisión, como vehículos eléctricos e híbridos, y se podrán diseñar incentivos para la renovación del parque automotor y la adopción de energías renovables, como los biocombustibles.
El proyecto también tiene un componente educativo, donde los datos generados y la experiencia adquirida en el uso de sistemas avanzados de telemetría y equipos portátiles de medición de emisiones (PEMS) serán utilizados para capacitar a técnicos y profesionales en la medición de emisiones y eficiencia energética. Esta transferencia de conocimiento fortalecerá las capacidades técnicas locales, garantizando la sostenibilidad de las acciones de mitigación a largo plazo.</t>
  </si>
  <si>
    <t>Uso de energías alternativas y reducción de emisiones de GEI</t>
  </si>
  <si>
    <t>Renovación de vehículos de combustión interna por vehículos eléctricos en el transporte público y comercial del Ecuador</t>
  </si>
  <si>
    <t>Reducción del consumo de combustible fósiles mediante la renovación de vehículos de combustión interna por vehículos eléctricos en el transporte público y comercial del Ecuador y su proceso de chatarrización</t>
  </si>
  <si>
    <t>Soluciones energéticas UPSTREAM (ex Programa de Eficiencia Energética OGE&amp;EE)</t>
  </si>
  <si>
    <t>Aprovechamiento de gas asociado para generación eléctrica, desplazando Diesel como combustible</t>
  </si>
  <si>
    <t>Aprovechamiento de gas asociado: gas to power/ GLP/ Gasolina / Gas to liquid</t>
  </si>
  <si>
    <t>Busca visibilizar el rol de la mujer en el sector agropecuario.  Tomando en cuenta que en la AFC principalmente, son las mujeres quienes gestionan las parcelas ligadas a la producción sostenible y consecuentemente en acciones de adaptación al cambio climático, a través de ese modelo productivo.  Por ende están ligadas al cuidado de recursos naturales y productivos, es necesario transversalizar acciones afirmativas ligadas al cambio climático, iniciando desde procesos de sensibilización. En ese sentido, se trabajó en la elaboración de un marcador de género y cambio climático que sería importante poder implementarlo y sobre todo llegara determinar resultados.</t>
  </si>
  <si>
    <t>Transversalizar acciones afirmativas ligadas al cambio climático, iniciando desde procesos de sensibilización</t>
  </si>
  <si>
    <t>Gestión para el desarrollo e implementación de Planes de Manejo de Áreas de Protección Hídrica</t>
  </si>
  <si>
    <t>Considerando que actualmente se han delimitado y establecido 33 Áreas de Protección Hídrica, es importante que estas cuenten con su instrumento de gestión para garantizar su adecuado co-manejo con enfoque de cuenca hidrográfica y lo establecido en la Ley Orgánica de Recursos Hídricos, Usos y Aprovechamiento del Agua, con los actores corresponsables de la protección y gestión de los recursos hídricos.</t>
  </si>
  <si>
    <t>Se espera que estos instrumentos de gestión sean desarrollados e implementados a nivel desconcentrado, para el manejo eficiente de las Áreas de Protección Hídrica (APH).</t>
  </si>
  <si>
    <t>Conservación de aproximadamente 30000 ha de bosques y zonas de recarga hídrica con el objetivo de mejorar la calidad ambiental y la cantidad y calidad de agua en las áreas de influencia de centrales y embalses de generación del ABVP Collay para la conservación de los recursos hídricos, flora y fauna a través del mejoramiento de sus medios de vida agropecuarios con la aplicación del enfoque de cambio climático y seguridad alimentaria</t>
  </si>
  <si>
    <t xml:space="preserve">Convenio de cooperación para el fortalecimiento de las comunidades de las zonas de influencia del ABVP Collay </t>
  </si>
  <si>
    <t>MINISTERIO DE AMBIENTE, AGUA Y TRANSICION ECOLOGICA DEL ECUADOR</t>
  </si>
  <si>
    <t>Proyecto Readiness - Generación de un Marco Conceptual para el Registro Nacional de Cambio Climático del Ecuador (RNCC)</t>
  </si>
  <si>
    <t>Cumplimiento de los compromisos del país ante la Convención Marco de las Naciones Unidas sobre el Cambio Climático y el Acuerdo de París.
Generación de la Quinta Comunicación Nacional y Primer Reporte Bienal de Transparencia.</t>
  </si>
  <si>
    <t>Cuarto Reporte Bienal de Transparencia y Séptima Comunicación Nacional y Quinto Reporte Bienal de Transparencia</t>
  </si>
  <si>
    <t xml:space="preserve"> Sexto Reporte Bienal de Transparencia y Octava Comunicación Nacional y Séptimo Reporte Bienal de Transparencia</t>
  </si>
  <si>
    <t>Conservación de aproximadamente 30000 ha de bosques alto andinos y zonas de párramos en áreas de recarga hídrica en la zona de amortiguamiento del Parque Nacional Sangay con el objetivo de mejorar la calidad ambiental y la cantidad y calidad de agua, a través del programa de promotores ambientales comunitarios de la zona baja de la Sub Cuenca del Río Paute.</t>
  </si>
  <si>
    <t>Establecer una red de referencia orientada a establecer programas de control sobre la calidad del agua, los cuales a su vez permitirán evaluar la efectividad de las políticas ambientales establecidas sobre esta temática así como el efecto que causa sobre los recursos hídricos los cambios que se producen en los usos del suelo y el desarrollo socio-productivo en cada cuenca. Por lo que generar conocimiento sobre la calidad de los recursos hídricos en las cuencas de los ríos Napo, Santiago, Pastaza, Esmeraldas y Guayas, mediante la generación, sistematización, evaluación y análisis de la información resultante de los monitoreos periódicos y sistemáticos de la calidad de agua, de la determinación de parámetros in-situ; así como de los respectivos análisis en laboratorio de parámetros físico-químicos, biológicos, y compuestos orgánicos que afectan las características de los recursos hídricos, la información generada permitirá establecer una metodología para determinar un índice de calidad de agua que de manera objetiva permita determinar la calidad de los recursos hídricos ya que se caracterizara de forma estadística la contaminación, además  el conocimiento generado sobre la dinámica de los recursos hídricos permitirá generar acciones frente a la variabilidad y el cambio climático.</t>
  </si>
  <si>
    <t xml:space="preserve">Proceso formativo dirigido a líderes y dirigentes de comunidades campesinas e indígenas, con el objetivo de fortalecer la administración, operación y mantenimiento de los sistemas de agua potable.
Bajo una modalidad híbrida: virtual en plataforma e-learning mediante convenio con un universidad local y fase presencial implementada por el personal en campo de Ayuda en Acción.
Se abordan los siguientes temas:
1.	Conservación y Protección de las Fuentes de Agua 
2.	Gestión Social y Administrativa del Agua 
3.	Operación y Mantenimiento Técnico de los Sistemas de Agua 
4.	Sensibilización de Personas Usuarias del Agua </t>
  </si>
  <si>
    <t>Fortalecer la administración, operación y mantenimiento de los sistemas de agua potable de las Escuelas de Agua.</t>
  </si>
  <si>
    <t>Realizar los aforos constantes de ríos priorizados, incluir datos meteorológicos y establecer umbrales y comportamiento hidrológico</t>
  </si>
  <si>
    <t>Monitorear el impacto ambiental de residuos antimicrobianos y bacterias resistentes en cuerpos de agua vinculados a actividades agropecuarias en un contexto de cambio climático.</t>
  </si>
  <si>
    <t>Diseño de una propuesta de proyecto para el GCF – en coordinación con el MAATE, sobre comunidades y ecosistemas resilientes al cambio climático en ecosistemas alto-andinos. Sí (Output / Entregables) se mejora la gestión de los ecosistemas de montaña mediante la implementación de medidas de adaptación al cambio climático enfocadas en diversificar medios de vida, restaurar y mantener Funciones y Servicios Ecosistémicos, y fortalecer capacidades, lo cual se enmarca en una gobernanza efectiva con actores locales informados y empoderados; Entonces (Cambio de Paradigma) se reduce el impacto del Cambio Climático sobre los grupos locales, los paisajes alto-andinos y sus servicios ecosistémicos; Porque (Outcome / Resultado) se incrementará su resiliencia por el uso de (i) instrumentos políticos y de planificación integrales, (ii) financiamiento, tecnologías y capacidades para prácticas adaptativas, (iii) información y datos requeridos, (iv) espacios de concertación y redes de actores comprometidos.</t>
  </si>
  <si>
    <t>El Programa Nacional de Manejo Integral del Fuego en Ecuador es una iniciativa destinada a regular y gestionar el uso del fuego en actividades agrícolas, forestales y de manejo de ecosistemas, en el marco del Reglamento del Código Orgánico del Ambiente. Su objetivo principal es prevenir y controlar incendios forestales, promover prácticas sostenibles como alternativas al uso del fuego y proteger la biodiversidad y los recursos naturales, asi como impulsar la construcción de resiliencia de paisajes y comunitarias ante el fenomeno de los incendios forestales.
Principales funciones del programa:
Prevención de Incendios: Establecer estrategias para minimizar el riesgo de incendios, incluyendo campañas de sensibilización y capacitación a las comunidades. Así como el fomento de instrumentos normativos y de gobernanza, y el uso del fuego como mecanismos de presupresión y supresión de inecndios forestales.
Control y Respuesta: Desarrollar protocolos de respuesta ante incendios, incluyendo la movilización de recursos humanos, materiales y logistica para la gestión de incendios forestales. 
Monitoreo y Evaluación: Implementar sistemas de vigilancia para detectar incendios y evaluar el impacto de las acciones de manejo del fuego.
Promoción de Alternativas Sostenibles: Fomentar prácticas agrícolas y de manejo forestal que reduzcan la dependencia del fuego, como la agroecología y el uso de tecnologías limpias.
Investigación y Capacitación: Impulsar estudios sobre el manejo del fuego y ofrecer capacitación a comunidades y técnicos en prácticas adecuadas.
Colaboración Interinstitucional: Trabajar de manera conjunta con otras instituciones y organizaciones para fortalecer la gestión del fuego a nivel nacional y local.
Este programa es fundamental para garantizar par atender las competencias del MAATE en la materia asi como para fortalecer las capacidades tecnicas e insitucionales orientadas a la conservación de los ecosistemas, la protección de la biodiversidad, la seguridad de las comunidades que dependen del uso del fuego en sus actividades y la adapatación y mitigación de los eventos adversos del cambio climatico, propulsor de incendios foretales mas intensos, severos y recurrentes.</t>
  </si>
  <si>
    <t>El Gobierno del Ecuador y la ONUDI pronosticaron el consumo de HFC en un escenario sin restricciones y calcularon el nivel de reducciones de HFC necesarias para garantizar el cumplimiento del Protocolo de Montreal en diferentes momentos. 
El crecimiento promedio anual en el consumo de HFC utilizados se estimó en 9%, este escenario también considera el crecimiento resultante de la actividad económica y el aumento del consumo de HFC como resultado de la eliminación de los HCFC entre 2022 y 2030. 
Con base en el análisis sectorial de alternativas de menor impacto climático que podrían adoptarse en Ecuador de acuerdo a su factibilidad técnica, económica y regulatoria, se propone la siguiente ruta de reducción gradual de corto plazo para los siguientes sectores y subsectores:
Reducción de HFC-134a en refrigeración doméstica.
Reducción gradual del HFC-134a en refrigeración comercial independiente.
Disminución del HFC-134a en la climatización móvil.
Reducción de R-404A y R-507A en unidades condensadoras y sistemas centralizados de refrigeración comercial y pequeños y medianos sistemas de refrigeración industrial.
El plan plantea los siguientes pilares: 1) Instrumentos de política y regulación, 2) Programa de gestión de refrigerantes, 3) Equipos RAC basados ​​en HFC, y 4) Monitoreo y coordinación del KIP. Se han incluido aspectos de género en el plan de acción estratégico propuesto.</t>
  </si>
  <si>
    <t>Reducción de la oferta y demanda de HFC.
Para garantizar una implementación fluida y la sostenibilidad del impacto de las sustancias en reducción gradual, se proponen las siguientes actividades multisectoriales: 
Automatizar y operar el sistema de cuotas y licencias de HFC; Actividades aduaneras para prevenir el tráfico ilegal de HFC; Campaña de concientización pública para la reducción de los HFC.
Automatización y operación del sistema de licencias y cuotas de HFC
El gobierno de Ecuador ha desarrollado y operado el sistema en línea Ozono Ecuador para el seguimiento y registro de importaciones y exportaciones de SAO, el sistema también incluye un sistema de monitoreo de aparatos de refrigeración y aire acondicionado importados. La Plataforma Ozono Ecuador integra los controles específicos relacionados con licencias y permisos para el comercio y uso permitiendo la consulta oportuna y en tiempo real de los datos requeridos para el adecuado manejo de dichas SAO en el Ecuador. 
Como es habitual en el sistema en línea, debe actualizarse y actualizarse periódicamente para abordar los cambios encontrados durante su funcionamiento. Además, de acuerdo con la enmienda de Kigali, deberían incluirse todos los HFC. El sistema deberá operarse de manera continua para permitir el acceso al mismo y el ingreso/descarga de datos e información por parte de las personas autorizadas según sus necesidades.</t>
  </si>
  <si>
    <t>Implementar un mecanismo conjunto para que las empresas reporten las sustancias químicasagotadoras de la capa de ozono que utilizan y que estas sean verificadas con la Aduana, para el control de importaciones y adicionalmente identifique su gestión adecuada, así como para prevención y o mitigación de los efectos que tendría estos en caso de un incorrecto uso o afectaciones a la salud. Implementar el etiquetado adecuado de estos productos químicos a través del Sistema Globalmente Armonizado con la finalidad de comunicar a la población los peligros y las consideraciones que se deben tener para su uso.</t>
  </si>
  <si>
    <t>Desarrollar el aplicativo y la incorporación de  indicadores de Economía Circular implementando el Registro Nacional Integrado de Emisiones y Transferencia de Residuos (RNIETR )</t>
  </si>
  <si>
    <t>El proyecto busca desarrollar un sistema tecnológico integral que genere el Registro Nacional Integrado de Emisiones y Transferencia de Residuos (RNIETR ), el cual contendrá los indicadores de economía circular a nivel nacional y deberá gestionarse y digitalizarse a través del Sistema único de Información Ambiental (SUIA). Con los parámetros establecidos en la Ley Orgánica de Economía Circular Inclusiva y su Reglamento.</t>
  </si>
  <si>
    <t xml:space="preserve">Aplicación de tecnologías en tratamiento de aguas residuales para la utilización de gases producidos en la planta para generación de electricidad  </t>
  </si>
  <si>
    <t>Utilizar los gases producidos en la PTAR para generación de electricidadal utilizar nuevas tecnologías</t>
  </si>
  <si>
    <t xml:space="preserve">Utilización de gases producidos en la planta para generación de electricidad  </t>
  </si>
  <si>
    <t>Proyecto de Transformación de Residuos Orgánicos en Abono en la Comunidad de Picalquí
El proyecto tiene como objetivo principal la transformación de residuos orgánicos generados en la comunidad de Picalquí en abono orgánico de alta calidad. Esta iniciativa busca promover prácticas sostenibles, reducir la cantidad de residuos enviados a los vertederos y mejorar la fertilidad del suelo local.
Objetivos:
Reducción de Residuos: Disminuir la cantidad de residuos orgánicos que se desechan, promoviendo su reutilización.
Evitar la quema de residuos lo que reduce los incendios forestales.</t>
  </si>
  <si>
    <t>Innovación en el principio de REP para la reducción de empaques y envases y la Mitigación Climática</t>
  </si>
  <si>
    <t>Innovación en la Responsabilidad Extendida del Productor (REP) para la reducción de residuos (emvases y plásticos) y la mitigación climática</t>
  </si>
  <si>
    <t>El proyecto se ejecutará en Isabela y tiene un doble enfoque, de un lado, creación de suelo para agricultura y de otro en la clasificación en origen de los residuos orgánicos de los centros poblados. En esta Isla, debido a su edad geológica, las capas freáticas (suelo agrícola) son de poca profundidad y ante su falta se requieren acciones que produzcan nuevo material orgánico. Por eso se propone establecer un bosque -comestible1 en el que se pueda: 1) preparar abono orgánico (compost y humus),
2) instalar cultivos hidropónicos para minimizar el uso de suelo agrícola y optimizar el uso de agua dulce para producción, 3) instalar los cultivos agroecológicos que respeten los ciclos naturales, el entorno y el uso de insumos externos (como fertilizantes, pesticidas o semillas mejoradas), y 4) construir un reservorio.
En los cultivos de este bosque-comestible es especialmente importante fomentar las prácticas tradicionales de la nacionalidad Shuar que vive en la Parroquia Tomás de Berlanga, como la rotación y la asociación de cultivos. En los centros poblados de Isabela (Puerto Villamil, Parroquia Tomás de Berlanga, y Recinto La
Esperanza) se ejecutará un piloto que distribuirá 1.200 tachos para separar en origen doméstico los residuos orgánicos de los demás residuos.
Con los tachos, se instaurará un sistema voluntario de separación de residuos orgánicos en la fuente en las casas de familias en los centros poblados, hoteles y restaurantes, de modo que los desechos absolutamente orgánicos puedan ser empleados como compost para paliar la fragilidad del suelo de cultivo de la isla y contribuir con la nutrición de las áreas agrícolas para evitar el incremento de superficie dedicada a cultivos, minimizando así el impacto ambiental.</t>
  </si>
  <si>
    <t>El proyecto contribuye con la producción de alimentos para las familias de la isla y también para las necesidades del sector turístico, asi,  disminuiría progresivamente la importación de verduras y frutas del continente y se reduciría el riesgo de introducción de especies invasoras.</t>
  </si>
  <si>
    <t>El Plan Nacional de Gestión Integrada de Residuos Sólidos (GIRS) será el primer instrumento de política pública a través del cual se generarán las políticas, estrategias, planes, programas y proyectos para la gestión integral de residuos y desechos sólidos no peligrosos en el Ecuador.
Su formulación contempla las siguientes etapas o resultados.
* Diagnóstico sectorial de la gestión integral de residuos sólidos no peligrosos (GIRS).
* Plan nacional GIRS.
* Herramientas e instrumentos técnicos de GIRS.
* Socialización del Plan nacional GIRS.
Actualmente se encuentra en desarrollo, se ha formulado el Componente Estratégico y pretende articularse a la implementación de la Segunda NDC y PLANMICC.</t>
  </si>
  <si>
    <t>Manejo de Desechos Peligrosos de Agroquímicos en el Recinto Puerto Romero</t>
  </si>
  <si>
    <t>En el Recinto Puerto Romero se requiere de procesos de capacitación para generar conciencia en el manejo de los envases vacíos de agroquímicos, implementar un centro de acopio de envases vacíos de agroquímicos, para su posterior tratamiento técnico, limpiar los cueros de agua (esteros ) de envases vacíos de agroquímicos y replicar este modelo en todos los sectores rurales aledaños.
-cuidar especies nativas de peces</t>
  </si>
  <si>
    <t>Manejo de Desechos Peligrosos de Agroquímicos</t>
  </si>
  <si>
    <t>Evaluacion de las vulnerabilidades y adaptacion del sector salud al cambio climatico - Observatorio de salud y cambio climatico</t>
  </si>
  <si>
    <t>El proyecto tiene como objetivo desarrollar metodologías de producción artesanal de bioinsumos para la aplicación en cultivos de plátano y cacao para pequeños y medianos productores de la Provincia de Los Rios para una producción sostenible. Para ello se diseñarán y estandarizarán metodologías para la producción artesanal de bioinsumos adecuados para el cultivo de plátano y cacao, se implementarán talleres y cursos de formación para pequeños y medianos productores sobre la elaboración y aplicación de bioinsumos, así como pruebas de campo con los agricultores para medir la eficacia de los bioinsumos desarrollados y finalmente establecer una red de apoyo y asesoría técnica para los productores locales.</t>
  </si>
  <si>
    <t>El proyecto busca fortalecer las capacidades de las personas productoras en la Sierra centro de Ecuador, con el fin de incrementar su resiliencia frente al cambio climático mediante la implementación de corredores agroecológicos. Estos corredores son espacios productivos que conectan diferentes áreas de cultivo y conservación, promoviendo la biodiversidad y la sostenibilidad del ecosistema. La actividad principal consiste en la capacitación a productores en prácticas agroecológicas, como el manejo de suelos, la diversificación de cultivos y la implementación de sistemas agroforestales. El objetivo es promover la transición hacia modelos de producción sostenibles que no dependan de insumos químicos y que, en cambio, fomenten el uso de especies nativas y técnicas tradicionales que potencien la resiliencia frente a eventos climáticos extremos. El programa está diseñado para integrar los conocimientos ancestrales con innovaciones agroecológicas, mediante talleres, intercambios de experiencias y acompañamiento técnico. Además, se realizarán diagnósticos participativos en las fincas para identificar las principales vulnerabilidades y potencialidades de cada territorio, desarrollando planes específicos que incluyan acciones para mitigar los impactos del cambio climático y mejorar la productividad de manera sostenible.
La creación de corredores agroecológicos permitirá conservar los servicios ecosistémicos, como la polinización y el control biológico de plagas, al tiempo que se preserva la biodiversidad en áreas rurales. Asimismo, se espera que este enfoque incremente la seguridad alimentaria y la soberanía de las comunidades productoras, fortaleciendo las economías locales y garantizando la sostenibilidad de los recursos naturales a largo plazo.
Este proyecto contribuirá a la preservación del ecosistema de montaña, promoviendo la conservación del agua, el suelo y la fauna local, al mismo tiempo que fomenta una producción agrícola sostenible y resiliente.</t>
  </si>
  <si>
    <t>El uso esperado del proyecto es implementar un modelo sostenible de producción agrícola en la Sierra centro de Ecuador, basado en prácticas agroecológicas que promuevan la resiliencia al cambio climático y la conservación de la biodiversidad. El proyecto se centrará en capacitar a los productores para adoptar técnicas sostenibles que reduzcan la dependencia de insumos químicos, mejoren la calidad de los suelos y fomenten la biodiversidad a través de la creación de corredores agroecológicos.
A corto plazo, se espera que los productores participantes implementen sistemas de cultivo diversificados, que incluyan especies nativas y técnicas agroforestales, reduciendo su vulnerabilidad a eventos climáticos extremos y mejorando su seguridad alimentaria. El proyecto también buscará fortalecer las redes locales de intercambio de conocimientos y recursos, promoviendo la colaboración entre comunidades para compartir experiencias y soluciones frente a los desafíos climáticos.
A mediano y largo plazo, el proyecto espera contribuir a la regeneración de los ecosistemas agrícolas mediante la conservación de suelos y el manejo adecuado del agua, lo que a su vez fortalecerá los sumideros de carbono locales. La adopción de estas prácticas permitirá que las comunidades productoras mantengan y aumenten su productividad de manera sostenible, generando ingresos estables y garantizando la preservación de los recursos naturales para las futuras generaciones.</t>
  </si>
  <si>
    <r>
      <t>Sector</t>
    </r>
    <r>
      <rPr>
        <b/>
        <i/>
        <vertAlign val="superscript"/>
        <sz val="9"/>
        <rFont val="Times New Roman"/>
        <family val="1"/>
      </rPr>
      <t>c</t>
    </r>
  </si>
  <si>
    <r>
      <t>Subsector</t>
    </r>
    <r>
      <rPr>
        <b/>
        <i/>
        <vertAlign val="superscript"/>
        <sz val="9"/>
        <rFont val="Times New Roman"/>
        <family val="1"/>
      </rPr>
      <t>c</t>
    </r>
  </si>
  <si>
    <r>
      <t>Title of activity, programme, project or other</t>
    </r>
    <r>
      <rPr>
        <b/>
        <i/>
        <vertAlign val="superscript"/>
        <sz val="9"/>
        <rFont val="Times New Roman"/>
        <family val="1"/>
      </rPr>
      <t xml:space="preserve">c, d </t>
    </r>
  </si>
  <si>
    <r>
      <t>Programme/ project description</t>
    </r>
    <r>
      <rPr>
        <b/>
        <i/>
        <vertAlign val="superscript"/>
        <sz val="9"/>
        <rFont val="Times New Roman"/>
        <family val="1"/>
      </rPr>
      <t>c</t>
    </r>
  </si>
  <si>
    <r>
      <t>Estimated amount _x000D_
(climate-specific)</t>
    </r>
    <r>
      <rPr>
        <b/>
        <i/>
        <vertAlign val="superscript"/>
        <sz val="9"/>
        <rFont val="Times New Roman"/>
        <family val="1"/>
      </rPr>
      <t>c</t>
    </r>
  </si>
  <si>
    <r>
      <t>Expected time frame</t>
    </r>
    <r>
      <rPr>
        <b/>
        <i/>
        <vertAlign val="superscript"/>
        <sz val="9"/>
        <rFont val="Times New Roman"/>
        <family val="1"/>
      </rPr>
      <t>c</t>
    </r>
  </si>
  <si>
    <r>
      <t>Expected financial instrument</t>
    </r>
    <r>
      <rPr>
        <b/>
        <i/>
        <vertAlign val="superscript"/>
        <sz val="9"/>
        <rFont val="Times New Roman"/>
        <family val="1"/>
      </rPr>
      <t>c</t>
    </r>
  </si>
  <si>
    <r>
      <t>Type of support</t>
    </r>
    <r>
      <rPr>
        <b/>
        <i/>
        <vertAlign val="superscript"/>
        <sz val="9"/>
        <rFont val="Times New Roman"/>
        <family val="1"/>
      </rPr>
      <t>c</t>
    </r>
  </si>
  <si>
    <r>
      <t>Contribution to technology development and transfer objectives</t>
    </r>
    <r>
      <rPr>
        <b/>
        <i/>
        <vertAlign val="superscript"/>
        <sz val="9"/>
        <rFont val="Times New Roman"/>
        <family val="1"/>
      </rPr>
      <t>c</t>
    </r>
  </si>
  <si>
    <r>
      <t>Contribution to capacity-building objectives</t>
    </r>
    <r>
      <rPr>
        <b/>
        <i/>
        <vertAlign val="superscript"/>
        <sz val="9"/>
        <rFont val="Times New Roman"/>
        <family val="1"/>
      </rPr>
      <t>c</t>
    </r>
  </si>
  <si>
    <r>
      <t>Whether the activity is anchored in a national strategy and/or an NDC</t>
    </r>
    <r>
      <rPr>
        <b/>
        <i/>
        <vertAlign val="superscript"/>
        <sz val="9"/>
        <rFont val="Times New Roman"/>
        <family val="1"/>
      </rPr>
      <t>c</t>
    </r>
  </si>
  <si>
    <r>
      <t>Expected use, impact and estimated results</t>
    </r>
    <r>
      <rPr>
        <b/>
        <i/>
        <vertAlign val="superscript"/>
        <sz val="9"/>
        <rFont val="Times New Roman"/>
        <family val="1"/>
      </rPr>
      <t>c</t>
    </r>
  </si>
  <si>
    <r>
      <t>Additional information</t>
    </r>
    <r>
      <rPr>
        <b/>
        <i/>
        <vertAlign val="superscript"/>
        <sz val="9"/>
        <rFont val="Times New Roman"/>
        <family val="1"/>
      </rPr>
      <t>f</t>
    </r>
  </si>
  <si>
    <r>
      <t>Channel</t>
    </r>
    <r>
      <rPr>
        <b/>
        <i/>
        <vertAlign val="superscript"/>
        <sz val="9"/>
        <rFont val="Times New Roman"/>
        <family val="1"/>
      </rPr>
      <t>c</t>
    </r>
  </si>
  <si>
    <r>
      <t>Recipient entity</t>
    </r>
    <r>
      <rPr>
        <b/>
        <i/>
        <vertAlign val="superscript"/>
        <sz val="9"/>
        <rFont val="Times New Roman"/>
        <family val="1"/>
      </rPr>
      <t>c</t>
    </r>
  </si>
  <si>
    <r>
      <t>Implementing entity</t>
    </r>
    <r>
      <rPr>
        <b/>
        <i/>
        <vertAlign val="superscript"/>
        <sz val="9"/>
        <rFont val="Times New Roman"/>
        <family val="1"/>
      </rPr>
      <t>c</t>
    </r>
  </si>
  <si>
    <r>
      <t>Amount received_x000D_
(climate-specific)</t>
    </r>
    <r>
      <rPr>
        <b/>
        <i/>
        <vertAlign val="superscript"/>
        <sz val="9"/>
        <rFont val="Times New Roman"/>
        <family val="1"/>
      </rPr>
      <t>c</t>
    </r>
  </si>
  <si>
    <r>
      <t>Time frame</t>
    </r>
    <r>
      <rPr>
        <b/>
        <i/>
        <vertAlign val="superscript"/>
        <sz val="9"/>
        <rFont val="Times New Roman"/>
        <family val="1"/>
      </rPr>
      <t>c</t>
    </r>
  </si>
  <si>
    <r>
      <t>Financial instrument</t>
    </r>
    <r>
      <rPr>
        <b/>
        <i/>
        <vertAlign val="superscript"/>
        <sz val="9"/>
        <rFont val="Times New Roman"/>
        <family val="1"/>
      </rPr>
      <t>c</t>
    </r>
  </si>
  <si>
    <r>
      <t>Status</t>
    </r>
    <r>
      <rPr>
        <b/>
        <i/>
        <vertAlign val="superscript"/>
        <sz val="9"/>
        <rFont val="Times New Roman"/>
        <family val="1"/>
      </rPr>
      <t>c</t>
    </r>
  </si>
  <si>
    <r>
      <t>Status of activity</t>
    </r>
    <r>
      <rPr>
        <b/>
        <i/>
        <vertAlign val="superscript"/>
        <sz val="9"/>
        <rFont val="Times New Roman"/>
        <family val="1"/>
      </rPr>
      <t>c</t>
    </r>
  </si>
  <si>
    <r>
      <t>Use, impact and results</t>
    </r>
    <r>
      <rPr>
        <b/>
        <i/>
        <vertAlign val="superscript"/>
        <sz val="9"/>
        <rFont val="Times New Roman"/>
        <family val="1"/>
      </rPr>
      <t>c</t>
    </r>
  </si>
  <si>
    <r>
      <t>Programme/project description</t>
    </r>
    <r>
      <rPr>
        <b/>
        <i/>
        <vertAlign val="superscript"/>
        <sz val="9"/>
        <rFont val="Times New Roman"/>
        <family val="1"/>
      </rPr>
      <t>c</t>
    </r>
  </si>
  <si>
    <r>
      <t>Type of technology</t>
    </r>
    <r>
      <rPr>
        <b/>
        <i/>
        <vertAlign val="superscript"/>
        <sz val="9"/>
        <rFont val="Times New Roman"/>
        <family val="1"/>
      </rPr>
      <t>c</t>
    </r>
  </si>
  <si>
    <r>
      <t>Use, impact and estimated results</t>
    </r>
    <r>
      <rPr>
        <b/>
        <i/>
        <vertAlign val="superscript"/>
        <sz val="9"/>
        <rFont val="Times New Roman"/>
        <family val="1"/>
      </rPr>
      <t>c</t>
    </r>
  </si>
  <si>
    <r>
      <t>Sector</t>
    </r>
    <r>
      <rPr>
        <b/>
        <i/>
        <vertAlign val="superscript"/>
        <sz val="9"/>
        <rFont val="Times New Roman"/>
        <family val="1"/>
      </rPr>
      <t>c, d</t>
    </r>
  </si>
  <si>
    <r>
      <t>Expected time frame</t>
    </r>
    <r>
      <rPr>
        <b/>
        <i/>
        <vertAlign val="superscript"/>
        <sz val="9"/>
        <rFont val="Times New Roman"/>
        <family val="1"/>
      </rPr>
      <t>b</t>
    </r>
  </si>
  <si>
    <r>
      <t>Expected use, impact and estimated results</t>
    </r>
    <r>
      <rPr>
        <b/>
        <i/>
        <vertAlign val="superscript"/>
        <sz val="9"/>
        <rFont val="Times New Roman"/>
        <family val="1"/>
      </rPr>
      <t>b</t>
    </r>
  </si>
  <si>
    <r>
      <t>Objectives and description</t>
    </r>
    <r>
      <rPr>
        <b/>
        <i/>
        <vertAlign val="superscript"/>
        <sz val="9"/>
        <rFont val="Times New Roman"/>
        <family val="1"/>
      </rPr>
      <t>c</t>
    </r>
  </si>
  <si>
    <r>
      <t>Amount</t>
    </r>
    <r>
      <rPr>
        <b/>
        <i/>
        <vertAlign val="superscript"/>
        <sz val="9"/>
        <rFont val="Times New Roman"/>
        <family val="1"/>
      </rPr>
      <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</si>
</sst>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300A]#,##0"/>
  </numFmts>
  <fonts count="33" x14ac:knownFonts="1">
    <font>
      <sz val="11"/>
      <color theme="1"/>
      <name val="Calibri"/>
      <family val="2"/>
      <scheme val="minor"/>
    </font>
    <font>
      <sz val="9"/>
      <color theme="1"/>
      <name val="Times New Roman"/>
      <family val="1"/>
    </font>
    <font>
      <b/>
      <sz val="9"/>
      <color theme="1"/>
      <name val="Times New Roman"/>
      <family val="1"/>
    </font>
    <font>
      <u/>
      <sz val="9"/>
      <color theme="10"/>
      <name val="Times New Roman"/>
      <family val="1"/>
    </font>
    <font>
      <sz val="9"/>
      <color rgb="FFFF0000"/>
      <name val="Times New Roman"/>
      <family val="1"/>
    </font>
    <font>
      <b/>
      <sz val="12"/>
      <color theme="1"/>
      <name val="Times New Roman"/>
      <family val="1"/>
    </font>
    <font>
      <sz val="12"/>
      <color theme="1"/>
      <name val="Times New Roman"/>
      <family val="1"/>
    </font>
    <font>
      <sz val="9"/>
      <color rgb="FF0070C0"/>
      <name val="Times New Roman"/>
      <family val="1"/>
    </font>
    <font>
      <i/>
      <sz val="9"/>
      <color theme="1"/>
      <name val="Times New Roman"/>
      <family val="1"/>
    </font>
    <font>
      <i/>
      <sz val="9"/>
      <color theme="10"/>
      <name val="Times New Roman"/>
      <family val="1"/>
    </font>
    <font>
      <vertAlign val="superscript"/>
      <sz val="9"/>
      <color theme="1"/>
      <name val="Times New Roman"/>
      <family val="1"/>
    </font>
    <font>
      <i/>
      <sz val="8"/>
      <color theme="1"/>
      <name val="Times New Roman"/>
      <family val="1"/>
    </font>
    <font>
      <sz val="9"/>
      <color rgb="FF000000"/>
      <name val="Times New Roman"/>
      <family val="1"/>
    </font>
    <font>
      <b/>
      <vertAlign val="superscript"/>
      <sz val="12"/>
      <name val="Times New Roman"/>
      <family val="1"/>
    </font>
    <font>
      <i/>
      <vertAlign val="superscript"/>
      <sz val="9"/>
      <name val="Times New Roman"/>
      <family val="1"/>
    </font>
    <font>
      <sz val="9"/>
      <name val="Times New Roman"/>
      <family val="1"/>
    </font>
    <font>
      <vertAlign val="superscript"/>
      <sz val="9"/>
      <name val="Times New Roman"/>
      <family val="1"/>
    </font>
    <font>
      <i/>
      <sz val="9"/>
      <name val="Times New Roman"/>
      <family val="1"/>
    </font>
    <font>
      <b/>
      <i/>
      <vertAlign val="superscript"/>
      <sz val="9"/>
      <name val="Times New Roman"/>
      <family val="1"/>
    </font>
    <font>
      <sz val="11"/>
      <color theme="1"/>
      <name val="Calibri"/>
      <family val="2"/>
      <scheme val="minor"/>
    </font>
    <font>
      <sz val="8"/>
      <name val="Times New Roman"/>
      <family val="1"/>
    </font>
    <font>
      <b/>
      <vertAlign val="superscript"/>
      <sz val="9"/>
      <name val="Times New Roman"/>
      <family val="1"/>
    </font>
    <font>
      <b/>
      <sz val="9"/>
      <name val="Times New Roman"/>
      <family val="1"/>
    </font>
    <font>
      <b/>
      <sz val="9"/>
      <color theme="1"/>
      <name val="Calibri"/>
      <family val="2"/>
      <scheme val="minor"/>
    </font>
    <font>
      <b/>
      <sz val="9"/>
      <color rgb="FF000000"/>
      <name val="Times New Roman"/>
      <family val="1"/>
    </font>
    <font>
      <sz val="12"/>
      <name val="Times New Roman"/>
      <family val="1"/>
    </font>
    <font>
      <b/>
      <sz val="12"/>
      <name val="Times New Roman"/>
      <family val="1"/>
    </font>
    <font>
      <u/>
      <sz val="9"/>
      <name val="Times New Roman"/>
      <family val="1"/>
    </font>
    <font>
      <b/>
      <sz val="8"/>
      <name val="Calibri"/>
      <family val="2"/>
      <scheme val="minor"/>
    </font>
    <font>
      <b/>
      <sz val="10"/>
      <name val="Calibri"/>
      <family val="2"/>
      <scheme val="minor"/>
    </font>
    <font>
      <b/>
      <i/>
      <sz val="9"/>
      <name val="Times New Roman"/>
      <family val="1"/>
    </font>
    <font>
      <b/>
      <i/>
      <sz val="9"/>
      <color theme="1"/>
      <name val="Times New Roman"/>
      <family val="1"/>
    </font>
    <font>
      <b/>
      <i/>
      <sz val="8"/>
      <color theme="1"/>
      <name val="Times New Roman"/>
      <family val="1"/>
    </font>
  </fonts>
  <fills count="5">
    <fill>
      <patternFill patternType="none"/>
    </fill>
    <fill>
      <patternFill patternType="gray125"/>
    </fill>
    <fill>
      <patternFill patternType="solid">
        <fgColor rgb="FFFFFFFF"/>
        <bgColor rgb="FF000000"/>
      </patternFill>
    </fill>
    <fill>
      <patternFill patternType="solid">
        <fgColor rgb="FFFFFF00"/>
        <bgColor indexed="64"/>
      </patternFill>
    </fill>
    <fill>
      <patternFill patternType="solid">
        <fgColor theme="2"/>
        <bgColor indexed="64"/>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7">
    <xf numFmtId="0" fontId="0" fillId="0" borderId="0"/>
    <xf numFmtId="0" fontId="3" fillId="0" borderId="0"/>
    <xf numFmtId="0" fontId="5" fillId="0" borderId="0"/>
    <xf numFmtId="0" fontId="8" fillId="0" borderId="2"/>
    <xf numFmtId="0" fontId="8" fillId="0" borderId="2"/>
    <xf numFmtId="9" fontId="19" fillId="0" borderId="0" applyFont="0" applyFill="0" applyBorder="0" applyAlignment="0" applyProtection="0"/>
    <xf numFmtId="43" fontId="19" fillId="0" borderId="0" applyFont="0" applyFill="0" applyBorder="0" applyAlignment="0" applyProtection="0"/>
  </cellStyleXfs>
  <cellXfs count="136">
    <xf numFmtId="0" fontId="0" fillId="0" borderId="0" xfId="0"/>
    <xf numFmtId="0" fontId="1" fillId="0" borderId="0" xfId="0" applyFont="1"/>
    <xf numFmtId="0" fontId="2" fillId="0" borderId="0" xfId="0" applyFont="1"/>
    <xf numFmtId="0" fontId="3" fillId="0" borderId="0" xfId="1"/>
    <xf numFmtId="0" fontId="2" fillId="0" borderId="0" xfId="1" applyFont="1"/>
    <xf numFmtId="0" fontId="4" fillId="0" borderId="0" xfId="0" applyFont="1"/>
    <xf numFmtId="0" fontId="8" fillId="0" borderId="2" xfId="3" applyAlignment="1">
      <alignment horizontal="center" vertical="center" wrapText="1"/>
    </xf>
    <xf numFmtId="0" fontId="8" fillId="0" borderId="2" xfId="3" applyAlignment="1">
      <alignment horizontal="center" vertical="center"/>
    </xf>
    <xf numFmtId="0" fontId="11" fillId="0" borderId="0" xfId="0" applyFont="1" applyAlignment="1">
      <alignment horizontal="center" vertical="center" wrapText="1"/>
    </xf>
    <xf numFmtId="0" fontId="8" fillId="0" borderId="0" xfId="0" applyFont="1" applyAlignment="1">
      <alignment horizontal="centerContinuous" vertical="center" wrapText="1"/>
    </xf>
    <xf numFmtId="0" fontId="1" fillId="0" borderId="7" xfId="0" applyFont="1" applyBorder="1" applyAlignment="1">
      <alignment horizontal="center" vertical="center" wrapText="1"/>
    </xf>
    <xf numFmtId="164" fontId="1" fillId="0" borderId="7" xfId="6" applyNumberFormat="1" applyFont="1" applyBorder="1" applyAlignment="1">
      <alignment horizontal="center" vertical="center" wrapText="1"/>
    </xf>
    <xf numFmtId="0" fontId="1" fillId="0" borderId="8" xfId="0" applyFont="1" applyBorder="1" applyAlignment="1">
      <alignment horizontal="center" vertical="center" wrapText="1"/>
    </xf>
    <xf numFmtId="0" fontId="12" fillId="0" borderId="7" xfId="0" applyFont="1" applyBorder="1" applyAlignment="1">
      <alignment horizontal="center" vertical="center" wrapText="1"/>
    </xf>
    <xf numFmtId="3" fontId="12" fillId="0" borderId="7" xfId="0" applyNumberFormat="1" applyFont="1" applyBorder="1" applyAlignment="1">
      <alignment horizontal="center" vertical="center" wrapText="1"/>
    </xf>
    <xf numFmtId="0" fontId="12" fillId="0" borderId="8" xfId="0" applyFont="1" applyBorder="1" applyAlignment="1">
      <alignment horizontal="center" vertical="center" wrapText="1"/>
    </xf>
    <xf numFmtId="0" fontId="12" fillId="0" borderId="7" xfId="0" applyFont="1" applyBorder="1" applyAlignment="1">
      <alignment vertical="center" wrapText="1"/>
    </xf>
    <xf numFmtId="3" fontId="1" fillId="0" borderId="7" xfId="0" applyNumberFormat="1" applyFont="1" applyBorder="1" applyAlignment="1">
      <alignment horizontal="center" vertical="center" wrapText="1"/>
    </xf>
    <xf numFmtId="0" fontId="1" fillId="0" borderId="0" xfId="0" applyFont="1" applyAlignment="1">
      <alignment vertical="center"/>
    </xf>
    <xf numFmtId="0" fontId="2" fillId="0" borderId="7" xfId="0" applyFont="1" applyBorder="1" applyAlignment="1">
      <alignment horizontal="center" vertical="center"/>
    </xf>
    <xf numFmtId="3" fontId="2" fillId="0" borderId="7" xfId="0" applyNumberFormat="1" applyFont="1" applyBorder="1" applyAlignment="1">
      <alignment horizontal="center" vertical="center"/>
    </xf>
    <xf numFmtId="0" fontId="12" fillId="0" borderId="7" xfId="0" applyFont="1" applyBorder="1" applyAlignment="1">
      <alignment horizontal="justify" vertical="center"/>
    </xf>
    <xf numFmtId="0" fontId="12" fillId="0" borderId="7" xfId="0" applyFont="1" applyBorder="1" applyAlignment="1">
      <alignment horizontal="justify" vertical="center" wrapText="1"/>
    </xf>
    <xf numFmtId="4" fontId="12" fillId="0" borderId="7" xfId="0" applyNumberFormat="1" applyFont="1" applyBorder="1" applyAlignment="1">
      <alignment horizontal="center" vertical="center" wrapText="1"/>
    </xf>
    <xf numFmtId="0" fontId="12" fillId="0" borderId="7" xfId="0" applyFont="1" applyBorder="1" applyAlignment="1">
      <alignment horizontal="center" vertical="center"/>
    </xf>
    <xf numFmtId="3" fontId="12" fillId="0" borderId="7" xfId="0" applyNumberFormat="1" applyFont="1" applyBorder="1" applyAlignment="1">
      <alignment horizontal="center" vertical="center"/>
    </xf>
    <xf numFmtId="0" fontId="12" fillId="0" borderId="0" xfId="0" applyFont="1" applyAlignment="1">
      <alignment horizontal="justify" vertical="center"/>
    </xf>
    <xf numFmtId="0" fontId="12" fillId="0" borderId="0" xfId="0" applyFont="1" applyAlignment="1">
      <alignment horizontal="justify" vertical="center" wrapText="1"/>
    </xf>
    <xf numFmtId="0" fontId="12" fillId="0" borderId="0" xfId="0" applyFont="1" applyAlignment="1">
      <alignment horizontal="center" vertical="center"/>
    </xf>
    <xf numFmtId="0" fontId="24" fillId="0" borderId="7" xfId="0" applyFont="1" applyBorder="1" applyAlignment="1">
      <alignment horizontal="center" vertical="center"/>
    </xf>
    <xf numFmtId="3" fontId="24" fillId="0" borderId="7" xfId="0" applyNumberFormat="1" applyFont="1" applyBorder="1" applyAlignment="1">
      <alignment horizontal="center" vertical="center"/>
    </xf>
    <xf numFmtId="0" fontId="22" fillId="0" borderId="10" xfId="0" applyFont="1" applyFill="1" applyBorder="1" applyAlignment="1">
      <alignment horizontal="center" vertical="center" textRotation="90"/>
    </xf>
    <xf numFmtId="0" fontId="22" fillId="0" borderId="13" xfId="0" applyFont="1" applyFill="1" applyBorder="1" applyAlignment="1">
      <alignment horizontal="center" vertical="center" textRotation="90"/>
    </xf>
    <xf numFmtId="0" fontId="22" fillId="0" borderId="14" xfId="0" applyFont="1" applyFill="1" applyBorder="1" applyAlignment="1">
      <alignment horizontal="center" vertical="center" textRotation="90"/>
    </xf>
    <xf numFmtId="0" fontId="22" fillId="0" borderId="7" xfId="0" applyFont="1" applyFill="1" applyBorder="1" applyAlignment="1">
      <alignment horizontal="center" vertical="center" textRotation="90" wrapText="1"/>
    </xf>
    <xf numFmtId="0" fontId="22" fillId="0" borderId="0" xfId="0" applyFont="1" applyFill="1" applyAlignment="1">
      <alignment horizontal="center" vertical="center" textRotation="90" wrapText="1"/>
    </xf>
    <xf numFmtId="0" fontId="25" fillId="0" borderId="0" xfId="0" applyFont="1" applyFill="1" applyAlignment="1">
      <alignment vertical="center"/>
    </xf>
    <xf numFmtId="0" fontId="26" fillId="0" borderId="0" xfId="2" applyFont="1" applyFill="1" applyAlignment="1">
      <alignment horizontal="left" vertical="center"/>
    </xf>
    <xf numFmtId="0" fontId="15" fillId="0" borderId="0" xfId="0" applyFont="1" applyFill="1" applyAlignment="1">
      <alignment vertical="center"/>
    </xf>
    <xf numFmtId="0" fontId="15" fillId="0" borderId="0" xfId="2" applyFont="1" applyFill="1" applyAlignment="1">
      <alignment horizontal="left" vertical="center"/>
    </xf>
    <xf numFmtId="2" fontId="15" fillId="0" borderId="0" xfId="2" applyNumberFormat="1" applyFont="1" applyFill="1" applyAlignment="1">
      <alignment horizontal="left" vertical="center"/>
    </xf>
    <xf numFmtId="0" fontId="27" fillId="0" borderId="0" xfId="1" applyFont="1" applyFill="1" applyAlignment="1">
      <alignment horizontal="left" vertical="center"/>
    </xf>
    <xf numFmtId="0" fontId="15" fillId="0" borderId="7" xfId="0" applyFont="1" applyFill="1" applyBorder="1" applyAlignment="1">
      <alignment vertical="center"/>
    </xf>
    <xf numFmtId="164" fontId="28" fillId="0" borderId="7" xfId="0" applyNumberFormat="1" applyFont="1" applyFill="1" applyBorder="1" applyAlignment="1">
      <alignment horizontal="right" vertical="center"/>
    </xf>
    <xf numFmtId="164" fontId="28" fillId="0" borderId="8" xfId="0" applyNumberFormat="1" applyFont="1" applyFill="1" applyBorder="1" applyAlignment="1">
      <alignment horizontal="right" vertical="center"/>
    </xf>
    <xf numFmtId="0" fontId="15" fillId="0" borderId="9" xfId="0" applyFont="1" applyFill="1" applyBorder="1" applyAlignment="1">
      <alignment vertical="center"/>
    </xf>
    <xf numFmtId="0" fontId="15" fillId="0" borderId="7" xfId="0" applyFont="1" applyFill="1" applyBorder="1" applyAlignment="1">
      <alignment horizontal="center" vertical="center"/>
    </xf>
    <xf numFmtId="0" fontId="15" fillId="0" borderId="7" xfId="0" applyFont="1" applyFill="1" applyBorder="1" applyAlignment="1">
      <alignment vertical="center" wrapText="1"/>
    </xf>
    <xf numFmtId="0" fontId="15" fillId="0" borderId="10" xfId="0" applyFont="1" applyFill="1" applyBorder="1" applyAlignment="1">
      <alignment vertical="center"/>
    </xf>
    <xf numFmtId="164" fontId="28" fillId="0" borderId="10" xfId="0" applyNumberFormat="1" applyFont="1" applyFill="1" applyBorder="1" applyAlignment="1">
      <alignment horizontal="right" vertical="center"/>
    </xf>
    <xf numFmtId="164" fontId="28" fillId="0" borderId="11" xfId="0" applyNumberFormat="1" applyFont="1" applyFill="1" applyBorder="1" applyAlignment="1">
      <alignment horizontal="right" vertical="center"/>
    </xf>
    <xf numFmtId="0" fontId="15" fillId="0" borderId="12" xfId="0" applyFont="1" applyFill="1" applyBorder="1" applyAlignment="1">
      <alignment vertical="center"/>
    </xf>
    <xf numFmtId="0" fontId="15" fillId="0" borderId="10" xfId="0" applyFont="1" applyFill="1" applyBorder="1" applyAlignment="1">
      <alignment horizontal="center" vertical="center"/>
    </xf>
    <xf numFmtId="164" fontId="29" fillId="3" borderId="7" xfId="0" applyNumberFormat="1" applyFont="1" applyFill="1" applyBorder="1" applyAlignment="1">
      <alignment horizontal="right" vertical="center"/>
    </xf>
    <xf numFmtId="0" fontId="15" fillId="0" borderId="0" xfId="0" applyFont="1" applyFill="1" applyAlignment="1">
      <alignment horizontal="center" vertical="center"/>
    </xf>
    <xf numFmtId="0" fontId="17" fillId="0" borderId="0" xfId="0" applyFont="1" applyFill="1" applyAlignment="1">
      <alignment vertical="center"/>
    </xf>
    <xf numFmtId="0" fontId="22" fillId="0" borderId="0" xfId="0" applyFont="1" applyFill="1" applyAlignment="1">
      <alignment vertical="center"/>
    </xf>
    <xf numFmtId="0" fontId="30" fillId="0" borderId="1" xfId="0" applyFont="1" applyFill="1" applyBorder="1" applyAlignment="1">
      <alignment horizontal="center" vertical="center" wrapText="1"/>
    </xf>
    <xf numFmtId="0" fontId="30" fillId="0" borderId="2" xfId="3" applyFont="1" applyFill="1" applyAlignment="1">
      <alignment horizontal="centerContinuous" vertical="center" wrapText="1"/>
    </xf>
    <xf numFmtId="0" fontId="22" fillId="0" borderId="2" xfId="3" applyFont="1" applyFill="1" applyAlignment="1">
      <alignment horizontal="centerContinuous" vertical="center" wrapText="1"/>
    </xf>
    <xf numFmtId="0" fontId="30" fillId="0" borderId="3" xfId="0" applyFont="1" applyFill="1" applyBorder="1" applyAlignment="1">
      <alignment horizontal="center" vertical="center" wrapText="1"/>
    </xf>
    <xf numFmtId="0" fontId="30" fillId="0" borderId="2" xfId="3" applyFont="1" applyFill="1" applyAlignment="1">
      <alignment horizontal="center" vertical="center" wrapText="1"/>
    </xf>
    <xf numFmtId="0" fontId="30" fillId="0" borderId="2" xfId="3" applyFont="1" applyFill="1" applyAlignment="1">
      <alignment horizontal="center" vertical="center"/>
    </xf>
    <xf numFmtId="0" fontId="30" fillId="0" borderId="4" xfId="0" applyFont="1" applyFill="1" applyBorder="1" applyAlignment="1">
      <alignment horizontal="center" vertical="center" wrapText="1"/>
    </xf>
    <xf numFmtId="0" fontId="30" fillId="0" borderId="5" xfId="0" applyFont="1" applyFill="1" applyBorder="1" applyAlignment="1">
      <alignment horizontal="center" vertical="center" wrapText="1"/>
    </xf>
    <xf numFmtId="0" fontId="31" fillId="0" borderId="1" xfId="0" applyFont="1" applyBorder="1" applyAlignment="1">
      <alignment horizontal="centerContinuous" vertical="center" wrapText="1"/>
    </xf>
    <xf numFmtId="0" fontId="31" fillId="0" borderId="2" xfId="3" applyFont="1" applyAlignment="1">
      <alignment horizontal="centerContinuous" vertical="center" wrapText="1"/>
    </xf>
    <xf numFmtId="0" fontId="31" fillId="0" borderId="1" xfId="0" applyFont="1" applyBorder="1" applyAlignment="1">
      <alignment horizontal="center" vertical="center" wrapText="1"/>
    </xf>
    <xf numFmtId="0" fontId="31" fillId="0" borderId="3" xfId="0" applyFont="1" applyBorder="1" applyAlignment="1">
      <alignment horizontal="centerContinuous" vertical="center" wrapText="1"/>
    </xf>
    <xf numFmtId="0" fontId="31" fillId="0" borderId="2" xfId="3" applyFont="1" applyAlignment="1">
      <alignment horizontal="center" vertical="center" wrapText="1"/>
    </xf>
    <xf numFmtId="0" fontId="31" fillId="0" borderId="2" xfId="3" applyFont="1" applyAlignment="1">
      <alignment horizontal="center" vertical="center"/>
    </xf>
    <xf numFmtId="0" fontId="31" fillId="0" borderId="4" xfId="0" applyFont="1" applyBorder="1" applyAlignment="1">
      <alignment horizontal="centerContinuous" vertical="center" wrapText="1"/>
    </xf>
    <xf numFmtId="0" fontId="2" fillId="0" borderId="0" xfId="2" applyFont="1" applyAlignment="1">
      <alignment horizontal="left" vertical="center"/>
    </xf>
    <xf numFmtId="0" fontId="1" fillId="0" borderId="0" xfId="2" applyFont="1" applyAlignment="1">
      <alignment horizontal="left" vertical="center"/>
    </xf>
    <xf numFmtId="2" fontId="1" fillId="0" borderId="0" xfId="2" applyNumberFormat="1" applyFont="1" applyAlignment="1">
      <alignment horizontal="left" vertical="center"/>
    </xf>
    <xf numFmtId="0" fontId="3" fillId="0" borderId="0" xfId="1" applyAlignment="1">
      <alignment horizontal="left" vertical="center"/>
    </xf>
    <xf numFmtId="0" fontId="9" fillId="0" borderId="0" xfId="1" applyFont="1" applyAlignment="1">
      <alignment horizontal="left" vertical="center"/>
    </xf>
    <xf numFmtId="0" fontId="7" fillId="0" borderId="0" xfId="0" applyFont="1" applyAlignment="1">
      <alignment vertical="center"/>
    </xf>
    <xf numFmtId="0" fontId="2" fillId="0" borderId="0" xfId="0" applyFont="1" applyAlignment="1">
      <alignment vertical="center"/>
    </xf>
    <xf numFmtId="0" fontId="2" fillId="0" borderId="5" xfId="0" applyFont="1" applyBorder="1" applyAlignment="1">
      <alignment vertical="center"/>
    </xf>
    <xf numFmtId="0" fontId="22" fillId="4" borderId="7" xfId="0" applyFont="1" applyFill="1" applyBorder="1" applyAlignment="1">
      <alignment vertical="center"/>
    </xf>
    <xf numFmtId="0" fontId="15" fillId="0" borderId="7" xfId="0" applyFont="1" applyBorder="1" applyAlignment="1">
      <alignment vertical="center"/>
    </xf>
    <xf numFmtId="164" fontId="22" fillId="0" borderId="7" xfId="0" applyNumberFormat="1" applyFont="1" applyBorder="1" applyAlignment="1">
      <alignment vertical="center"/>
    </xf>
    <xf numFmtId="0" fontId="1" fillId="0" borderId="7" xfId="0" applyFont="1" applyBorder="1" applyAlignment="1">
      <alignment vertical="center"/>
    </xf>
    <xf numFmtId="9" fontId="1" fillId="0" borderId="7" xfId="5" applyFont="1" applyBorder="1" applyAlignment="1">
      <alignment vertical="center"/>
    </xf>
    <xf numFmtId="0" fontId="3" fillId="2" borderId="0" xfId="1" applyFill="1" applyAlignment="1">
      <alignment horizontal="left" vertical="center"/>
    </xf>
    <xf numFmtId="0" fontId="9" fillId="2" borderId="0" xfId="1" applyFont="1" applyFill="1" applyAlignment="1">
      <alignment horizontal="left" vertical="center"/>
    </xf>
    <xf numFmtId="0" fontId="8" fillId="0" borderId="0" xfId="0" applyFont="1" applyAlignment="1">
      <alignment vertical="center"/>
    </xf>
    <xf numFmtId="0" fontId="10" fillId="0" borderId="0" xfId="0" applyFont="1" applyAlignment="1">
      <alignment vertical="center" wrapText="1"/>
    </xf>
    <xf numFmtId="0" fontId="5" fillId="2" borderId="0" xfId="2" applyFill="1" applyAlignment="1">
      <alignment vertical="center"/>
    </xf>
    <xf numFmtId="0" fontId="5" fillId="2" borderId="0" xfId="2" applyFill="1" applyAlignment="1">
      <alignment horizontal="left" vertical="center"/>
    </xf>
    <xf numFmtId="0" fontId="6" fillId="0" borderId="0" xfId="0" applyFont="1" applyAlignment="1">
      <alignment vertical="center"/>
    </xf>
    <xf numFmtId="0" fontId="2" fillId="2" borderId="0" xfId="2" applyFont="1" applyFill="1" applyAlignment="1">
      <alignment vertical="center"/>
    </xf>
    <xf numFmtId="0" fontId="1" fillId="0" borderId="7" xfId="0" applyFont="1" applyBorder="1" applyAlignment="1">
      <alignment horizontal="left" vertical="center"/>
    </xf>
    <xf numFmtId="0" fontId="1" fillId="0" borderId="7" xfId="0" applyFont="1" applyBorder="1" applyAlignment="1">
      <alignment horizontal="center" vertical="center"/>
    </xf>
    <xf numFmtId="0" fontId="32" fillId="0" borderId="2" xfId="0" applyFont="1" applyBorder="1" applyAlignment="1">
      <alignment horizontal="center" vertical="center" wrapText="1"/>
    </xf>
    <xf numFmtId="0" fontId="32" fillId="0" borderId="1" xfId="0" applyFont="1" applyBorder="1" applyAlignment="1">
      <alignment horizontal="center" vertical="center" wrapText="1"/>
    </xf>
    <xf numFmtId="0" fontId="31" fillId="0" borderId="2" xfId="4" applyFont="1" applyAlignment="1">
      <alignment horizontal="center" vertical="center" wrapText="1"/>
    </xf>
    <xf numFmtId="0" fontId="31" fillId="0" borderId="2" xfId="0" applyFont="1" applyBorder="1" applyAlignment="1">
      <alignment horizontal="center" vertical="center" wrapText="1"/>
    </xf>
    <xf numFmtId="0" fontId="20" fillId="0" borderId="15" xfId="0" applyFont="1" applyBorder="1" applyAlignment="1">
      <alignment vertical="center"/>
    </xf>
    <xf numFmtId="0" fontId="20" fillId="0" borderId="7" xfId="0" applyFont="1" applyBorder="1" applyAlignment="1">
      <alignment vertical="center"/>
    </xf>
    <xf numFmtId="14" fontId="20" fillId="0" borderId="7" xfId="0" applyNumberFormat="1" applyFont="1" applyBorder="1" applyAlignment="1">
      <alignment vertical="center"/>
    </xf>
    <xf numFmtId="9" fontId="20" fillId="0" borderId="7" xfId="5" applyFont="1" applyFill="1" applyBorder="1" applyAlignment="1">
      <alignment vertical="center"/>
    </xf>
    <xf numFmtId="0" fontId="20" fillId="0" borderId="8" xfId="0" applyFont="1" applyBorder="1" applyAlignment="1">
      <alignment vertical="center"/>
    </xf>
    <xf numFmtId="0" fontId="4" fillId="0" borderId="0" xfId="0" applyFont="1" applyAlignment="1">
      <alignment vertical="center"/>
    </xf>
    <xf numFmtId="0" fontId="31" fillId="0" borderId="6" xfId="0" applyFont="1" applyBorder="1" applyAlignment="1">
      <alignment horizontal="center" vertical="center" wrapText="1"/>
    </xf>
    <xf numFmtId="0" fontId="31" fillId="0" borderId="2" xfId="0" applyFont="1" applyBorder="1" applyAlignment="1">
      <alignment horizontal="center" vertical="center"/>
    </xf>
    <xf numFmtId="0" fontId="15" fillId="0" borderId="15" xfId="0" applyFont="1" applyBorder="1" applyAlignment="1">
      <alignment vertical="center"/>
    </xf>
    <xf numFmtId="14" fontId="15" fillId="0" borderId="7" xfId="0" applyNumberFormat="1" applyFont="1" applyBorder="1" applyAlignment="1">
      <alignment vertical="center"/>
    </xf>
    <xf numFmtId="9" fontId="15" fillId="0" borderId="7" xfId="5" applyFont="1" applyFill="1" applyBorder="1" applyAlignment="1">
      <alignment vertical="center"/>
    </xf>
    <xf numFmtId="0" fontId="15" fillId="0" borderId="8" xfId="0" applyFont="1" applyBorder="1" applyAlignment="1">
      <alignment vertical="center"/>
    </xf>
    <xf numFmtId="0" fontId="12" fillId="0" borderId="7" xfId="0" applyFont="1" applyBorder="1" applyAlignment="1">
      <alignment vertical="center"/>
    </xf>
    <xf numFmtId="0" fontId="12" fillId="0" borderId="0" xfId="0" applyFont="1" applyAlignment="1">
      <alignment vertical="center"/>
    </xf>
    <xf numFmtId="0" fontId="20" fillId="0" borderId="0" xfId="0" applyFont="1" applyAlignment="1">
      <alignment vertical="center"/>
    </xf>
    <xf numFmtId="14" fontId="20" fillId="0" borderId="0" xfId="0" applyNumberFormat="1" applyFont="1" applyAlignment="1">
      <alignment vertical="center"/>
    </xf>
    <xf numFmtId="9" fontId="20" fillId="0" borderId="0" xfId="5" applyFont="1" applyFill="1" applyBorder="1" applyAlignment="1">
      <alignment vertical="center"/>
    </xf>
    <xf numFmtId="0" fontId="10" fillId="0" borderId="0" xfId="0" applyFont="1" applyAlignment="1">
      <alignment horizontal="left" vertical="center" wrapText="1"/>
    </xf>
    <xf numFmtId="0" fontId="1" fillId="0" borderId="0" xfId="0" applyFont="1" applyAlignment="1">
      <alignment horizontal="left" vertical="center" wrapText="1"/>
    </xf>
    <xf numFmtId="0" fontId="1" fillId="2" borderId="0" xfId="2" applyFont="1" applyFill="1" applyAlignment="1">
      <alignment vertical="center"/>
    </xf>
    <xf numFmtId="0" fontId="1" fillId="2" borderId="0" xfId="2" applyFont="1" applyFill="1" applyAlignment="1">
      <alignment horizontal="left" vertical="center"/>
    </xf>
    <xf numFmtId="0" fontId="4" fillId="2" borderId="0" xfId="1" applyFont="1" applyFill="1" applyAlignment="1">
      <alignment horizontal="left" vertical="center"/>
    </xf>
    <xf numFmtId="0" fontId="2" fillId="0" borderId="0" xfId="0" applyFont="1" applyAlignment="1">
      <alignment horizontal="center" vertical="center"/>
    </xf>
    <xf numFmtId="3" fontId="23" fillId="0" borderId="0" xfId="0" applyNumberFormat="1" applyFont="1" applyAlignment="1">
      <alignment horizontal="center" vertical="center"/>
    </xf>
    <xf numFmtId="0" fontId="31" fillId="0" borderId="2" xfId="4" applyFont="1" applyAlignment="1">
      <alignment horizontal="centerContinuous" vertical="center" wrapText="1"/>
    </xf>
    <xf numFmtId="0" fontId="31" fillId="0" borderId="3" xfId="0" applyFont="1" applyBorder="1" applyAlignment="1">
      <alignment horizontal="center" vertical="center" wrapText="1"/>
    </xf>
    <xf numFmtId="0" fontId="31" fillId="0" borderId="2" xfId="4" applyFont="1" applyAlignment="1">
      <alignment horizontal="center" vertical="center"/>
    </xf>
    <xf numFmtId="0" fontId="31" fillId="0" borderId="3" xfId="0" applyFont="1" applyBorder="1" applyAlignment="1">
      <alignment vertical="center" wrapText="1"/>
    </xf>
    <xf numFmtId="0" fontId="31" fillId="0" borderId="4" xfId="0" applyFont="1" applyBorder="1" applyAlignment="1">
      <alignment vertical="center" wrapText="1"/>
    </xf>
    <xf numFmtId="0" fontId="31" fillId="0" borderId="5" xfId="0" applyFont="1" applyBorder="1" applyAlignment="1">
      <alignment vertical="center" wrapText="1"/>
    </xf>
    <xf numFmtId="0" fontId="31" fillId="0" borderId="2" xfId="4" applyFont="1" applyAlignment="1">
      <alignment horizontal="centerContinuous" vertical="center"/>
    </xf>
    <xf numFmtId="0" fontId="31" fillId="0" borderId="4" xfId="0" applyFont="1" applyBorder="1" applyAlignment="1">
      <alignment horizontal="center" vertical="center" wrapText="1"/>
    </xf>
    <xf numFmtId="0" fontId="31" fillId="0" borderId="5" xfId="0" applyFont="1" applyBorder="1" applyAlignment="1">
      <alignment horizontal="center" vertical="center" wrapText="1"/>
    </xf>
    <xf numFmtId="0" fontId="5" fillId="0" borderId="0" xfId="2" applyAlignment="1">
      <alignment horizontal="centerContinuous" vertical="center" wrapText="1"/>
    </xf>
    <xf numFmtId="0" fontId="4" fillId="2" borderId="0" xfId="2" applyFont="1" applyFill="1" applyAlignment="1">
      <alignment horizontal="left" vertical="center"/>
    </xf>
    <xf numFmtId="0" fontId="2" fillId="2" borderId="0" xfId="2" applyFont="1" applyFill="1" applyAlignment="1">
      <alignment horizontal="left" vertical="center"/>
    </xf>
    <xf numFmtId="0" fontId="4" fillId="2" borderId="0" xfId="2" applyFont="1" applyFill="1" applyAlignment="1">
      <alignment horizontal="left" vertical="center" wrapText="1"/>
    </xf>
  </cellXfs>
  <cellStyles count="7">
    <cellStyle name="Headline" xfId="2" xr:uid="{00000000-0005-0000-0000-000002000000}"/>
    <cellStyle name="Hyperlink" xfId="1" xr:uid="{00000000-0005-0000-0000-000001000000}"/>
    <cellStyle name="Millares 2" xfId="6" xr:uid="{7E9F692A-1B72-4F97-87FA-269E3019D822}"/>
    <cellStyle name="Normal" xfId="0" builtinId="0" customBuiltin="1"/>
    <cellStyle name="Normal 2" xfId="3" xr:uid="{00000000-0005-0000-0000-000003000000}"/>
    <cellStyle name="Normal 2 2" xfId="4" xr:uid="{00000000-0005-0000-0000-000004000000}"/>
    <cellStyle name="Porcentaje" xfId="5"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showGridLines="0" zoomScale="140" workbookViewId="0">
      <selection activeCell="C24" sqref="C24"/>
    </sheetView>
  </sheetViews>
  <sheetFormatPr baseColWidth="10" defaultColWidth="8.54296875" defaultRowHeight="11.5" customHeight="1" x14ac:dyDescent="0.25"/>
  <cols>
    <col min="1" max="1" width="10.1796875" style="1" customWidth="1"/>
    <col min="2" max="2" width="3.453125" style="1" customWidth="1"/>
    <col min="3" max="3" width="8.54296875" style="1" customWidth="1"/>
    <col min="4" max="16384" width="8.54296875" style="1"/>
  </cols>
  <sheetData>
    <row r="1" spans="1:3" x14ac:dyDescent="0.25">
      <c r="A1" s="2" t="s">
        <v>0</v>
      </c>
    </row>
    <row r="3" spans="1:3" x14ac:dyDescent="0.25">
      <c r="A3" s="3"/>
    </row>
    <row r="4" spans="1:3" x14ac:dyDescent="0.25">
      <c r="A4" s="4" t="s">
        <v>1</v>
      </c>
      <c r="C4" s="2" t="s">
        <v>2</v>
      </c>
    </row>
    <row r="5" spans="1:3" x14ac:dyDescent="0.25">
      <c r="A5" s="4" t="s">
        <v>3</v>
      </c>
    </row>
    <row r="6" spans="1:3" x14ac:dyDescent="0.25">
      <c r="A6" s="4" t="s">
        <v>4</v>
      </c>
      <c r="B6" s="4"/>
    </row>
    <row r="7" spans="1:3" x14ac:dyDescent="0.25">
      <c r="A7" s="3" t="s">
        <v>5</v>
      </c>
    </row>
    <row r="8" spans="1:3" x14ac:dyDescent="0.25">
      <c r="A8" s="3" t="s">
        <v>6</v>
      </c>
    </row>
    <row r="9" spans="1:3" x14ac:dyDescent="0.25">
      <c r="A9" s="3" t="s">
        <v>7</v>
      </c>
    </row>
    <row r="10" spans="1:3" x14ac:dyDescent="0.25">
      <c r="A10" s="3" t="s">
        <v>8</v>
      </c>
    </row>
    <row r="11" spans="1:3" x14ac:dyDescent="0.25">
      <c r="A11" s="3" t="s">
        <v>9</v>
      </c>
    </row>
    <row r="12" spans="1:3" x14ac:dyDescent="0.25">
      <c r="A12" s="3" t="s">
        <v>10</v>
      </c>
    </row>
    <row r="13" spans="1:3" x14ac:dyDescent="0.25">
      <c r="A13" s="3" t="s">
        <v>11</v>
      </c>
    </row>
    <row r="14" spans="1:3" x14ac:dyDescent="0.25">
      <c r="A14" s="3" t="s">
        <v>12</v>
      </c>
    </row>
    <row r="15" spans="1:3" x14ac:dyDescent="0.25"/>
    <row r="16" spans="1:3" x14ac:dyDescent="0.25">
      <c r="A16" s="5"/>
    </row>
    <row r="18" x14ac:dyDescent="0.25"/>
    <row r="19" x14ac:dyDescent="0.25"/>
    <row r="20" x14ac:dyDescent="0.25"/>
    <row r="21" x14ac:dyDescent="0.25"/>
    <row r="22" x14ac:dyDescent="0.25"/>
    <row r="24" x14ac:dyDescent="0.25"/>
  </sheetData>
  <hyperlinks>
    <hyperlink ref="A7" location="'Table6'!A1" display="Table6" xr:uid="{00000000-0004-0000-0000-000000000000}"/>
    <hyperlink ref="A8" location="'Table7'!A1" display="Table7" xr:uid="{00000000-0004-0000-0000-000001000000}"/>
    <hyperlink ref="A9" location="'Table8'!A1" display="Table8" xr:uid="{00000000-0004-0000-0000-000002000000}"/>
    <hyperlink ref="A10" location="'Table9'!A1" display="Table9" xr:uid="{00000000-0004-0000-0000-000003000000}"/>
    <hyperlink ref="A11" location="'Table10'!A1" display="Table10" xr:uid="{00000000-0004-0000-0000-000004000000}"/>
    <hyperlink ref="A12" location="'Table11'!A1" display="Table11" xr:uid="{00000000-0004-0000-0000-000005000000}"/>
    <hyperlink ref="A13" location="'Table12'!A1" display="Table12" xr:uid="{00000000-0004-0000-0000-000006000000}"/>
    <hyperlink ref="A14" location="'Table13'!A1" display="Table13" xr:uid="{00000000-0004-0000-0000-000007000000}"/>
  </hyperlinks>
  <pageMargins left="0.7" right="0.7" top="0.75" bottom="0.75" header="0.3" footer="0.3"/>
  <pageSetup orientation="portrait" horizontalDpi="4294967293" verticalDpi="4294967293"/>
  <ignoredErrors>
    <ignoredError sqref="A1:C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52"/>
  <sheetViews>
    <sheetView showGridLines="0" zoomScale="85" zoomScaleNormal="85" workbookViewId="0">
      <selection activeCell="D8" sqref="D8"/>
    </sheetView>
  </sheetViews>
  <sheetFormatPr baseColWidth="10" defaultColWidth="8.54296875" defaultRowHeight="11.5" customHeight="1" x14ac:dyDescent="0.35"/>
  <cols>
    <col min="1" max="1" width="3.453125" style="38" customWidth="1"/>
    <col min="2" max="2" width="16.453125" style="38" customWidth="1"/>
    <col min="3" max="6" width="11.54296875" style="38" customWidth="1"/>
    <col min="7" max="7" width="15.7265625" style="38" customWidth="1"/>
    <col min="8" max="8" width="11.54296875" style="38" customWidth="1"/>
    <col min="9" max="9" width="18.1796875" style="38" customWidth="1"/>
    <col min="10" max="12" width="11.54296875" style="38" customWidth="1"/>
    <col min="13" max="13" width="18.1796875" style="38" customWidth="1"/>
    <col min="14" max="14" width="11.54296875" style="38" customWidth="1"/>
    <col min="15" max="15" width="20.453125" style="38" customWidth="1"/>
    <col min="16" max="16" width="8.54296875" style="38" customWidth="1"/>
    <col min="17" max="16384" width="8.54296875" style="38"/>
  </cols>
  <sheetData>
    <row r="1" spans="2:15" s="36" customFormat="1" ht="15.5" customHeight="1" x14ac:dyDescent="0.35">
      <c r="B1" s="37" t="s">
        <v>13</v>
      </c>
      <c r="C1" s="37"/>
      <c r="D1" s="37"/>
      <c r="E1" s="37"/>
      <c r="F1" s="37"/>
      <c r="G1" s="37"/>
      <c r="H1" s="37"/>
      <c r="I1" s="37"/>
      <c r="J1" s="37"/>
      <c r="K1" s="37"/>
    </row>
    <row r="2" spans="2:15" s="36" customFormat="1" ht="15" customHeight="1" x14ac:dyDescent="0.35">
      <c r="B2" s="37" t="s">
        <v>14</v>
      </c>
      <c r="C2" s="37"/>
      <c r="D2" s="37"/>
      <c r="E2" s="37"/>
      <c r="F2" s="37"/>
      <c r="G2" s="37"/>
      <c r="H2" s="37"/>
      <c r="I2" s="37"/>
      <c r="J2" s="37"/>
      <c r="K2" s="37"/>
      <c r="L2" s="37"/>
      <c r="M2" s="37"/>
      <c r="N2" s="37"/>
      <c r="O2" s="37"/>
    </row>
    <row r="3" spans="2:15" ht="16" customHeight="1" x14ac:dyDescent="0.35">
      <c r="B3" s="39" t="s">
        <v>15</v>
      </c>
      <c r="C3" s="40">
        <v>0.93</v>
      </c>
    </row>
    <row r="4" spans="2:15" ht="16" customHeight="1" x14ac:dyDescent="0.35">
      <c r="B4" s="39"/>
      <c r="C4" s="39"/>
    </row>
    <row r="5" spans="2:15" x14ac:dyDescent="0.35">
      <c r="B5" s="41" t="s">
        <v>16</v>
      </c>
      <c r="C5" s="41"/>
      <c r="F5" s="41"/>
      <c r="G5" s="41"/>
      <c r="H5" s="41"/>
      <c r="I5" s="41"/>
      <c r="J5" s="41"/>
      <c r="K5" s="41"/>
    </row>
    <row r="7" spans="2:15" s="56" customFormat="1" ht="60" customHeight="1" x14ac:dyDescent="0.35">
      <c r="B7" s="57" t="s">
        <v>1569</v>
      </c>
      <c r="C7" s="57" t="s">
        <v>1570</v>
      </c>
      <c r="D7" s="57" t="s">
        <v>1571</v>
      </c>
      <c r="E7" s="57" t="s">
        <v>1572</v>
      </c>
      <c r="F7" s="58" t="s">
        <v>1573</v>
      </c>
      <c r="G7" s="59"/>
      <c r="H7" s="57" t="s">
        <v>1574</v>
      </c>
      <c r="I7" s="57" t="s">
        <v>1575</v>
      </c>
      <c r="J7" s="57" t="s">
        <v>1576</v>
      </c>
      <c r="K7" s="57" t="s">
        <v>1577</v>
      </c>
      <c r="L7" s="57" t="s">
        <v>1578</v>
      </c>
      <c r="M7" s="57" t="s">
        <v>1579</v>
      </c>
      <c r="N7" s="57" t="s">
        <v>1580</v>
      </c>
      <c r="O7" s="57" t="s">
        <v>1581</v>
      </c>
    </row>
    <row r="8" spans="2:15" s="56" customFormat="1" ht="23" customHeight="1" x14ac:dyDescent="0.35">
      <c r="B8" s="60"/>
      <c r="C8" s="60"/>
      <c r="D8" s="60"/>
      <c r="E8" s="60"/>
      <c r="F8" s="61" t="s">
        <v>17</v>
      </c>
      <c r="G8" s="62" t="s">
        <v>18</v>
      </c>
      <c r="H8" s="60"/>
      <c r="I8" s="60"/>
      <c r="J8" s="60"/>
      <c r="K8" s="60"/>
      <c r="L8" s="60"/>
      <c r="M8" s="60"/>
      <c r="N8" s="63"/>
      <c r="O8" s="64"/>
    </row>
    <row r="9" spans="2:15" ht="23" customHeight="1" x14ac:dyDescent="0.35">
      <c r="B9" s="42" t="s">
        <v>55</v>
      </c>
      <c r="C9" s="42" t="s">
        <v>55</v>
      </c>
      <c r="D9" s="42" t="s">
        <v>1487</v>
      </c>
      <c r="E9" s="42" t="s">
        <v>57</v>
      </c>
      <c r="F9" s="43" t="s">
        <v>58</v>
      </c>
      <c r="G9" s="44" t="s">
        <v>58</v>
      </c>
      <c r="H9" s="42" t="s">
        <v>59</v>
      </c>
      <c r="I9" s="45" t="s">
        <v>60</v>
      </c>
      <c r="J9" s="42" t="s">
        <v>61</v>
      </c>
      <c r="K9" s="46">
        <v>0</v>
      </c>
      <c r="L9" s="46">
        <v>1</v>
      </c>
      <c r="M9" s="46">
        <v>1</v>
      </c>
      <c r="N9" s="42" t="s">
        <v>62</v>
      </c>
      <c r="O9" s="42" t="s">
        <v>63</v>
      </c>
    </row>
    <row r="10" spans="2:15" ht="23" customHeight="1" x14ac:dyDescent="0.35">
      <c r="B10" s="42" t="s">
        <v>55</v>
      </c>
      <c r="C10" s="42" t="s">
        <v>55</v>
      </c>
      <c r="D10" s="42" t="s">
        <v>64</v>
      </c>
      <c r="E10" s="42" t="s">
        <v>65</v>
      </c>
      <c r="F10" s="43">
        <v>70000</v>
      </c>
      <c r="G10" s="44">
        <v>70000</v>
      </c>
      <c r="H10" s="42" t="s">
        <v>59</v>
      </c>
      <c r="I10" s="45" t="s">
        <v>60</v>
      </c>
      <c r="J10" s="42" t="s">
        <v>61</v>
      </c>
      <c r="K10" s="46">
        <v>1</v>
      </c>
      <c r="L10" s="46">
        <v>1</v>
      </c>
      <c r="M10" s="46">
        <v>1</v>
      </c>
      <c r="N10" s="42" t="s">
        <v>1497</v>
      </c>
      <c r="O10" s="42" t="s">
        <v>63</v>
      </c>
    </row>
    <row r="11" spans="2:15" ht="23" customHeight="1" x14ac:dyDescent="0.35">
      <c r="B11" s="42" t="s">
        <v>55</v>
      </c>
      <c r="C11" s="42" t="s">
        <v>55</v>
      </c>
      <c r="D11" s="42" t="s">
        <v>1486</v>
      </c>
      <c r="E11" s="42" t="s">
        <v>68</v>
      </c>
      <c r="F11" s="43" t="s">
        <v>58</v>
      </c>
      <c r="G11" s="44" t="s">
        <v>58</v>
      </c>
      <c r="H11" s="42" t="s">
        <v>69</v>
      </c>
      <c r="I11" s="45" t="s">
        <v>70</v>
      </c>
      <c r="J11" s="42" t="s">
        <v>61</v>
      </c>
      <c r="K11" s="46" t="s">
        <v>58</v>
      </c>
      <c r="L11" s="46">
        <v>1</v>
      </c>
      <c r="M11" s="46">
        <v>1</v>
      </c>
      <c r="N11" s="42" t="s">
        <v>67</v>
      </c>
      <c r="O11" s="42" t="s">
        <v>63</v>
      </c>
    </row>
    <row r="12" spans="2:15" ht="23" customHeight="1" x14ac:dyDescent="0.35">
      <c r="B12" s="42" t="s">
        <v>55</v>
      </c>
      <c r="C12" s="42" t="s">
        <v>55</v>
      </c>
      <c r="D12" s="42" t="s">
        <v>1485</v>
      </c>
      <c r="E12" s="42" t="s">
        <v>72</v>
      </c>
      <c r="F12" s="43">
        <v>4000000</v>
      </c>
      <c r="G12" s="44">
        <v>4000000</v>
      </c>
      <c r="H12" s="42" t="s">
        <v>69</v>
      </c>
      <c r="I12" s="45" t="s">
        <v>60</v>
      </c>
      <c r="J12" s="42" t="s">
        <v>61</v>
      </c>
      <c r="K12" s="46">
        <v>1</v>
      </c>
      <c r="L12" s="46">
        <v>1</v>
      </c>
      <c r="M12" s="46">
        <v>1</v>
      </c>
      <c r="N12" s="42" t="s">
        <v>73</v>
      </c>
      <c r="O12" s="42" t="s">
        <v>63</v>
      </c>
    </row>
    <row r="13" spans="2:15" ht="23" customHeight="1" x14ac:dyDescent="0.35">
      <c r="B13" s="42" t="s">
        <v>55</v>
      </c>
      <c r="C13" s="42" t="s">
        <v>74</v>
      </c>
      <c r="D13" s="42" t="s">
        <v>75</v>
      </c>
      <c r="E13" s="42" t="s">
        <v>1488</v>
      </c>
      <c r="F13" s="43" t="s">
        <v>58</v>
      </c>
      <c r="G13" s="44" t="s">
        <v>58</v>
      </c>
      <c r="H13" s="42" t="s">
        <v>69</v>
      </c>
      <c r="I13" s="45" t="s">
        <v>70</v>
      </c>
      <c r="J13" s="42" t="s">
        <v>61</v>
      </c>
      <c r="K13" s="46">
        <v>1</v>
      </c>
      <c r="L13" s="46" t="s">
        <v>58</v>
      </c>
      <c r="M13" s="46">
        <v>1</v>
      </c>
      <c r="N13" s="42" t="s">
        <v>75</v>
      </c>
      <c r="O13" s="42" t="s">
        <v>63</v>
      </c>
    </row>
    <row r="14" spans="2:15" ht="23" customHeight="1" x14ac:dyDescent="0.35">
      <c r="B14" s="42" t="s">
        <v>77</v>
      </c>
      <c r="C14" s="42" t="s">
        <v>78</v>
      </c>
      <c r="D14" s="42" t="s">
        <v>1498</v>
      </c>
      <c r="E14" s="42" t="s">
        <v>1489</v>
      </c>
      <c r="F14" s="43">
        <v>10000</v>
      </c>
      <c r="G14" s="44">
        <v>10000</v>
      </c>
      <c r="H14" s="42" t="s">
        <v>59</v>
      </c>
      <c r="I14" s="45" t="s">
        <v>60</v>
      </c>
      <c r="J14" s="42" t="s">
        <v>81</v>
      </c>
      <c r="K14" s="46">
        <v>1</v>
      </c>
      <c r="L14" s="46">
        <v>1</v>
      </c>
      <c r="M14" s="46">
        <v>1</v>
      </c>
      <c r="N14" s="42" t="s">
        <v>82</v>
      </c>
      <c r="O14" s="42" t="s">
        <v>63</v>
      </c>
    </row>
    <row r="15" spans="2:15" ht="23" customHeight="1" x14ac:dyDescent="0.35">
      <c r="B15" s="42" t="s">
        <v>77</v>
      </c>
      <c r="C15" s="42" t="s">
        <v>83</v>
      </c>
      <c r="D15" s="42" t="s">
        <v>1490</v>
      </c>
      <c r="E15" s="47" t="s">
        <v>1491</v>
      </c>
      <c r="F15" s="43">
        <v>300000</v>
      </c>
      <c r="G15" s="44">
        <v>300000</v>
      </c>
      <c r="H15" s="42" t="s">
        <v>59</v>
      </c>
      <c r="I15" s="45" t="s">
        <v>70</v>
      </c>
      <c r="J15" s="42" t="s">
        <v>81</v>
      </c>
      <c r="K15" s="46" t="s">
        <v>58</v>
      </c>
      <c r="L15" s="46" t="s">
        <v>58</v>
      </c>
      <c r="M15" s="46">
        <v>1</v>
      </c>
      <c r="N15" s="42" t="s">
        <v>84</v>
      </c>
      <c r="O15" s="42" t="s">
        <v>63</v>
      </c>
    </row>
    <row r="16" spans="2:15" ht="23" customHeight="1" x14ac:dyDescent="0.35">
      <c r="B16" s="42" t="s">
        <v>77</v>
      </c>
      <c r="C16" s="42" t="s">
        <v>85</v>
      </c>
      <c r="D16" s="42" t="s">
        <v>86</v>
      </c>
      <c r="E16" s="42" t="s">
        <v>87</v>
      </c>
      <c r="F16" s="43">
        <v>15000</v>
      </c>
      <c r="G16" s="44">
        <v>15000</v>
      </c>
      <c r="H16" s="42" t="s">
        <v>59</v>
      </c>
      <c r="I16" s="45" t="s">
        <v>60</v>
      </c>
      <c r="J16" s="42" t="s">
        <v>81</v>
      </c>
      <c r="K16" s="46">
        <v>0</v>
      </c>
      <c r="L16" s="46">
        <v>1</v>
      </c>
      <c r="M16" s="46">
        <v>1</v>
      </c>
      <c r="N16" s="42" t="s">
        <v>88</v>
      </c>
      <c r="O16" s="42" t="s">
        <v>63</v>
      </c>
    </row>
    <row r="17" spans="2:15" ht="23" customHeight="1" x14ac:dyDescent="0.35">
      <c r="B17" s="42" t="s">
        <v>77</v>
      </c>
      <c r="C17" s="42" t="s">
        <v>78</v>
      </c>
      <c r="D17" s="42" t="s">
        <v>89</v>
      </c>
      <c r="E17" s="42" t="s">
        <v>89</v>
      </c>
      <c r="F17" s="43">
        <v>1200</v>
      </c>
      <c r="G17" s="44">
        <v>1200</v>
      </c>
      <c r="H17" s="42" t="s">
        <v>59</v>
      </c>
      <c r="I17" s="45" t="s">
        <v>60</v>
      </c>
      <c r="J17" s="42" t="s">
        <v>81</v>
      </c>
      <c r="K17" s="46">
        <v>0</v>
      </c>
      <c r="L17" s="46">
        <v>0</v>
      </c>
      <c r="M17" s="46">
        <v>1</v>
      </c>
      <c r="N17" s="42" t="s">
        <v>90</v>
      </c>
      <c r="O17" s="42" t="s">
        <v>63</v>
      </c>
    </row>
    <row r="18" spans="2:15" ht="23" customHeight="1" x14ac:dyDescent="0.35">
      <c r="B18" s="42" t="s">
        <v>77</v>
      </c>
      <c r="C18" s="42" t="s">
        <v>91</v>
      </c>
      <c r="D18" s="42" t="s">
        <v>1492</v>
      </c>
      <c r="E18" s="42" t="s">
        <v>93</v>
      </c>
      <c r="F18" s="43">
        <v>60000</v>
      </c>
      <c r="G18" s="44">
        <v>60000</v>
      </c>
      <c r="H18" s="42" t="s">
        <v>59</v>
      </c>
      <c r="I18" s="45" t="s">
        <v>70</v>
      </c>
      <c r="J18" s="42" t="s">
        <v>94</v>
      </c>
      <c r="K18" s="46" t="s">
        <v>58</v>
      </c>
      <c r="L18" s="46" t="s">
        <v>58</v>
      </c>
      <c r="M18" s="46">
        <v>1</v>
      </c>
      <c r="N18" s="42" t="s">
        <v>92</v>
      </c>
      <c r="O18" s="42" t="s">
        <v>63</v>
      </c>
    </row>
    <row r="19" spans="2:15" ht="23" customHeight="1" x14ac:dyDescent="0.35">
      <c r="B19" s="42" t="s">
        <v>77</v>
      </c>
      <c r="C19" s="42" t="s">
        <v>91</v>
      </c>
      <c r="D19" s="42" t="s">
        <v>1493</v>
      </c>
      <c r="E19" s="42" t="s">
        <v>96</v>
      </c>
      <c r="F19" s="43">
        <v>14000000</v>
      </c>
      <c r="G19" s="44">
        <v>14000000</v>
      </c>
      <c r="H19" s="42" t="s">
        <v>59</v>
      </c>
      <c r="I19" s="45" t="s">
        <v>70</v>
      </c>
      <c r="J19" s="42" t="s">
        <v>94</v>
      </c>
      <c r="K19" s="46" t="s">
        <v>58</v>
      </c>
      <c r="L19" s="46" t="s">
        <v>58</v>
      </c>
      <c r="M19" s="46">
        <v>1</v>
      </c>
      <c r="N19" s="42" t="s">
        <v>95</v>
      </c>
      <c r="O19" s="42" t="s">
        <v>63</v>
      </c>
    </row>
    <row r="20" spans="2:15" ht="23" customHeight="1" x14ac:dyDescent="0.35">
      <c r="B20" s="42" t="s">
        <v>77</v>
      </c>
      <c r="C20" s="42" t="s">
        <v>83</v>
      </c>
      <c r="D20" s="42" t="s">
        <v>1494</v>
      </c>
      <c r="E20" s="42" t="s">
        <v>1495</v>
      </c>
      <c r="F20" s="43">
        <v>20000</v>
      </c>
      <c r="G20" s="44">
        <v>20000</v>
      </c>
      <c r="H20" s="42" t="s">
        <v>59</v>
      </c>
      <c r="I20" s="45" t="s">
        <v>60</v>
      </c>
      <c r="J20" s="42" t="s">
        <v>81</v>
      </c>
      <c r="K20" s="46">
        <v>0</v>
      </c>
      <c r="L20" s="46">
        <v>1</v>
      </c>
      <c r="M20" s="46">
        <v>1</v>
      </c>
      <c r="N20" s="42" t="s">
        <v>1499</v>
      </c>
      <c r="O20" s="42" t="s">
        <v>63</v>
      </c>
    </row>
    <row r="21" spans="2:15" ht="23" customHeight="1" x14ac:dyDescent="0.35">
      <c r="B21" s="42" t="s">
        <v>77</v>
      </c>
      <c r="C21" s="42" t="s">
        <v>85</v>
      </c>
      <c r="D21" s="42" t="s">
        <v>1496</v>
      </c>
      <c r="E21" s="42" t="s">
        <v>101</v>
      </c>
      <c r="F21" s="43">
        <v>130000</v>
      </c>
      <c r="G21" s="44">
        <v>130000</v>
      </c>
      <c r="H21" s="42" t="s">
        <v>59</v>
      </c>
      <c r="I21" s="45" t="s">
        <v>70</v>
      </c>
      <c r="J21" s="42" t="s">
        <v>94</v>
      </c>
      <c r="K21" s="46">
        <v>1</v>
      </c>
      <c r="L21" s="46" t="s">
        <v>58</v>
      </c>
      <c r="M21" s="46">
        <v>1</v>
      </c>
      <c r="N21" s="42" t="s">
        <v>1500</v>
      </c>
      <c r="O21" s="42" t="s">
        <v>63</v>
      </c>
    </row>
    <row r="22" spans="2:15" ht="23" customHeight="1" x14ac:dyDescent="0.35">
      <c r="B22" s="42" t="s">
        <v>77</v>
      </c>
      <c r="C22" s="42" t="s">
        <v>85</v>
      </c>
      <c r="D22" s="42" t="s">
        <v>1502</v>
      </c>
      <c r="E22" s="42" t="s">
        <v>1501</v>
      </c>
      <c r="F22" s="43">
        <v>300000</v>
      </c>
      <c r="G22" s="44">
        <v>300000</v>
      </c>
      <c r="H22" s="42" t="s">
        <v>69</v>
      </c>
      <c r="I22" s="45" t="s">
        <v>70</v>
      </c>
      <c r="J22" s="42" t="s">
        <v>94</v>
      </c>
      <c r="K22" s="46" t="s">
        <v>58</v>
      </c>
      <c r="L22" s="46">
        <v>1</v>
      </c>
      <c r="M22" s="46">
        <v>1</v>
      </c>
      <c r="N22" s="42" t="s">
        <v>102</v>
      </c>
      <c r="O22" s="42" t="s">
        <v>63</v>
      </c>
    </row>
    <row r="23" spans="2:15" ht="23" customHeight="1" x14ac:dyDescent="0.35">
      <c r="B23" s="42" t="s">
        <v>77</v>
      </c>
      <c r="C23" s="42" t="s">
        <v>83</v>
      </c>
      <c r="D23" s="42" t="s">
        <v>104</v>
      </c>
      <c r="E23" s="42" t="s">
        <v>1503</v>
      </c>
      <c r="F23" s="43">
        <v>160</v>
      </c>
      <c r="G23" s="44">
        <v>160</v>
      </c>
      <c r="H23" s="42" t="s">
        <v>69</v>
      </c>
      <c r="I23" s="45" t="s">
        <v>70</v>
      </c>
      <c r="J23" s="42" t="s">
        <v>61</v>
      </c>
      <c r="K23" s="46" t="s">
        <v>58</v>
      </c>
      <c r="L23" s="46" t="s">
        <v>58</v>
      </c>
      <c r="M23" s="46">
        <v>1</v>
      </c>
      <c r="N23" s="42" t="s">
        <v>104</v>
      </c>
      <c r="O23" s="42" t="s">
        <v>63</v>
      </c>
    </row>
    <row r="24" spans="2:15" ht="23" customHeight="1" x14ac:dyDescent="0.35">
      <c r="B24" s="42" t="s">
        <v>77</v>
      </c>
      <c r="C24" s="42" t="s">
        <v>78</v>
      </c>
      <c r="D24" s="42" t="s">
        <v>1505</v>
      </c>
      <c r="E24" s="47" t="s">
        <v>1504</v>
      </c>
      <c r="F24" s="43">
        <v>700000</v>
      </c>
      <c r="G24" s="44">
        <v>700000</v>
      </c>
      <c r="H24" s="42" t="s">
        <v>69</v>
      </c>
      <c r="I24" s="45" t="s">
        <v>60</v>
      </c>
      <c r="J24" s="42" t="s">
        <v>81</v>
      </c>
      <c r="K24" s="46">
        <v>1</v>
      </c>
      <c r="L24" s="46">
        <v>1</v>
      </c>
      <c r="M24" s="46">
        <v>1</v>
      </c>
      <c r="N24" s="42" t="s">
        <v>107</v>
      </c>
      <c r="O24" s="42" t="s">
        <v>63</v>
      </c>
    </row>
    <row r="25" spans="2:15" ht="23" customHeight="1" x14ac:dyDescent="0.35">
      <c r="B25" s="42" t="s">
        <v>77</v>
      </c>
      <c r="C25" s="42" t="s">
        <v>85</v>
      </c>
      <c r="D25" s="42" t="s">
        <v>1515</v>
      </c>
      <c r="E25" s="42" t="s">
        <v>1506</v>
      </c>
      <c r="F25" s="43">
        <v>600000</v>
      </c>
      <c r="G25" s="44">
        <v>600000</v>
      </c>
      <c r="H25" s="42" t="s">
        <v>69</v>
      </c>
      <c r="I25" s="45" t="s">
        <v>70</v>
      </c>
      <c r="J25" s="42" t="s">
        <v>94</v>
      </c>
      <c r="K25" s="46">
        <v>1</v>
      </c>
      <c r="L25" s="46" t="s">
        <v>58</v>
      </c>
      <c r="M25" s="46">
        <v>1</v>
      </c>
      <c r="N25" s="42" t="s">
        <v>1507</v>
      </c>
      <c r="O25" s="42" t="s">
        <v>63</v>
      </c>
    </row>
    <row r="26" spans="2:15" ht="23" customHeight="1" x14ac:dyDescent="0.35">
      <c r="B26" s="42" t="s">
        <v>77</v>
      </c>
      <c r="C26" s="42" t="s">
        <v>85</v>
      </c>
      <c r="D26" s="42" t="s">
        <v>110</v>
      </c>
      <c r="E26" s="42" t="s">
        <v>111</v>
      </c>
      <c r="F26" s="43">
        <v>12000</v>
      </c>
      <c r="G26" s="44">
        <v>12000</v>
      </c>
      <c r="H26" s="42" t="s">
        <v>69</v>
      </c>
      <c r="I26" s="45" t="s">
        <v>60</v>
      </c>
      <c r="J26" s="42" t="s">
        <v>81</v>
      </c>
      <c r="K26" s="46">
        <v>0</v>
      </c>
      <c r="L26" s="46">
        <v>1</v>
      </c>
      <c r="M26" s="46">
        <v>1</v>
      </c>
      <c r="N26" s="42" t="s">
        <v>112</v>
      </c>
      <c r="O26" s="42" t="s">
        <v>63</v>
      </c>
    </row>
    <row r="27" spans="2:15" ht="23" customHeight="1" x14ac:dyDescent="0.35">
      <c r="B27" s="42" t="s">
        <v>77</v>
      </c>
      <c r="C27" s="42" t="s">
        <v>78</v>
      </c>
      <c r="D27" s="42" t="s">
        <v>1508</v>
      </c>
      <c r="E27" s="47" t="s">
        <v>1509</v>
      </c>
      <c r="F27" s="43">
        <v>12000</v>
      </c>
      <c r="G27" s="44">
        <v>12000</v>
      </c>
      <c r="H27" s="42" t="s">
        <v>113</v>
      </c>
      <c r="I27" s="45" t="s">
        <v>70</v>
      </c>
      <c r="J27" s="42" t="s">
        <v>81</v>
      </c>
      <c r="K27" s="46" t="s">
        <v>58</v>
      </c>
      <c r="L27" s="46" t="s">
        <v>58</v>
      </c>
      <c r="M27" s="46">
        <v>1</v>
      </c>
      <c r="N27" s="42" t="s">
        <v>1510</v>
      </c>
      <c r="O27" s="42" t="s">
        <v>63</v>
      </c>
    </row>
    <row r="28" spans="2:15" ht="23" customHeight="1" x14ac:dyDescent="0.35">
      <c r="B28" s="42" t="s">
        <v>114</v>
      </c>
      <c r="C28" s="42" t="s">
        <v>115</v>
      </c>
      <c r="D28" s="47" t="s">
        <v>1511</v>
      </c>
      <c r="E28" s="42" t="s">
        <v>1512</v>
      </c>
      <c r="F28" s="43">
        <v>19200</v>
      </c>
      <c r="G28" s="44">
        <v>19200</v>
      </c>
      <c r="H28" s="42" t="s">
        <v>59</v>
      </c>
      <c r="I28" s="45" t="s">
        <v>60</v>
      </c>
      <c r="J28" s="42" t="s">
        <v>61</v>
      </c>
      <c r="K28" s="46">
        <v>1</v>
      </c>
      <c r="L28" s="46">
        <v>1</v>
      </c>
      <c r="M28" s="46">
        <v>1</v>
      </c>
      <c r="N28" s="42" t="s">
        <v>118</v>
      </c>
      <c r="O28" s="42" t="s">
        <v>63</v>
      </c>
    </row>
    <row r="29" spans="2:15" ht="23" customHeight="1" x14ac:dyDescent="0.35">
      <c r="B29" s="42" t="s">
        <v>114</v>
      </c>
      <c r="C29" s="42" t="s">
        <v>119</v>
      </c>
      <c r="D29" s="42" t="s">
        <v>1514</v>
      </c>
      <c r="E29" s="42" t="s">
        <v>1513</v>
      </c>
      <c r="F29" s="43">
        <v>800</v>
      </c>
      <c r="G29" s="44">
        <v>800</v>
      </c>
      <c r="H29" s="42" t="s">
        <v>59</v>
      </c>
      <c r="I29" s="45" t="s">
        <v>70</v>
      </c>
      <c r="J29" s="42" t="s">
        <v>61</v>
      </c>
      <c r="K29" s="46" t="s">
        <v>58</v>
      </c>
      <c r="L29" s="46" t="s">
        <v>58</v>
      </c>
      <c r="M29" s="46">
        <v>1</v>
      </c>
      <c r="N29" s="42" t="s">
        <v>120</v>
      </c>
      <c r="O29" s="42" t="s">
        <v>63</v>
      </c>
    </row>
    <row r="30" spans="2:15" ht="23" customHeight="1" x14ac:dyDescent="0.35">
      <c r="B30" s="42" t="s">
        <v>114</v>
      </c>
      <c r="C30" s="42" t="s">
        <v>119</v>
      </c>
      <c r="D30" s="42" t="s">
        <v>1516</v>
      </c>
      <c r="E30" s="42" t="s">
        <v>1517</v>
      </c>
      <c r="F30" s="43">
        <v>236200</v>
      </c>
      <c r="G30" s="44">
        <v>236200</v>
      </c>
      <c r="H30" s="42" t="s">
        <v>59</v>
      </c>
      <c r="I30" s="45" t="s">
        <v>70</v>
      </c>
      <c r="J30" s="42" t="s">
        <v>81</v>
      </c>
      <c r="K30" s="46" t="s">
        <v>58</v>
      </c>
      <c r="L30" s="46">
        <v>1</v>
      </c>
      <c r="M30" s="46">
        <v>1</v>
      </c>
      <c r="N30" s="42" t="s">
        <v>121</v>
      </c>
      <c r="O30" s="42" t="s">
        <v>63</v>
      </c>
    </row>
    <row r="31" spans="2:15" ht="23" customHeight="1" x14ac:dyDescent="0.35">
      <c r="B31" s="42" t="s">
        <v>114</v>
      </c>
      <c r="C31" s="42" t="s">
        <v>123</v>
      </c>
      <c r="D31" s="42" t="s">
        <v>1519</v>
      </c>
      <c r="E31" s="42" t="s">
        <v>1518</v>
      </c>
      <c r="F31" s="43">
        <v>600000</v>
      </c>
      <c r="G31" s="44">
        <v>600000</v>
      </c>
      <c r="H31" s="42" t="s">
        <v>59</v>
      </c>
      <c r="I31" s="45" t="s">
        <v>60</v>
      </c>
      <c r="J31" s="42" t="s">
        <v>61</v>
      </c>
      <c r="K31" s="46">
        <v>1</v>
      </c>
      <c r="L31" s="46">
        <v>1</v>
      </c>
      <c r="M31" s="46">
        <v>1</v>
      </c>
      <c r="N31" s="42" t="s">
        <v>126</v>
      </c>
      <c r="O31" s="42" t="s">
        <v>63</v>
      </c>
    </row>
    <row r="32" spans="2:15" ht="23" customHeight="1" x14ac:dyDescent="0.35">
      <c r="B32" s="42" t="s">
        <v>114</v>
      </c>
      <c r="C32" s="42" t="s">
        <v>127</v>
      </c>
      <c r="D32" s="42" t="s">
        <v>128</v>
      </c>
      <c r="E32" s="47" t="s">
        <v>1520</v>
      </c>
      <c r="F32" s="43">
        <v>400000</v>
      </c>
      <c r="G32" s="44">
        <v>400000</v>
      </c>
      <c r="H32" s="42" t="s">
        <v>59</v>
      </c>
      <c r="I32" s="45" t="s">
        <v>60</v>
      </c>
      <c r="J32" s="42" t="s">
        <v>61</v>
      </c>
      <c r="K32" s="46">
        <v>1</v>
      </c>
      <c r="L32" s="46">
        <v>1</v>
      </c>
      <c r="M32" s="46">
        <v>1</v>
      </c>
      <c r="N32" s="47" t="s">
        <v>1521</v>
      </c>
      <c r="O32" s="42" t="s">
        <v>63</v>
      </c>
    </row>
    <row r="33" spans="2:15" ht="23" customHeight="1" x14ac:dyDescent="0.35">
      <c r="B33" s="42" t="s">
        <v>114</v>
      </c>
      <c r="C33" s="42" t="s">
        <v>127</v>
      </c>
      <c r="D33" s="42" t="s">
        <v>133</v>
      </c>
      <c r="E33" s="42" t="s">
        <v>134</v>
      </c>
      <c r="F33" s="43">
        <v>120000</v>
      </c>
      <c r="G33" s="44">
        <v>120000</v>
      </c>
      <c r="H33" s="42" t="s">
        <v>59</v>
      </c>
      <c r="I33" s="45" t="s">
        <v>60</v>
      </c>
      <c r="J33" s="42" t="s">
        <v>61</v>
      </c>
      <c r="K33" s="46">
        <v>1</v>
      </c>
      <c r="L33" s="46">
        <v>1</v>
      </c>
      <c r="M33" s="46">
        <v>1</v>
      </c>
      <c r="N33" s="42" t="s">
        <v>135</v>
      </c>
      <c r="O33" s="42" t="s">
        <v>63</v>
      </c>
    </row>
    <row r="34" spans="2:15" ht="23" customHeight="1" x14ac:dyDescent="0.35">
      <c r="B34" s="42" t="s">
        <v>114</v>
      </c>
      <c r="C34" s="42" t="s">
        <v>119</v>
      </c>
      <c r="D34" s="42" t="s">
        <v>136</v>
      </c>
      <c r="E34" s="47" t="s">
        <v>137</v>
      </c>
      <c r="F34" s="43">
        <v>20000</v>
      </c>
      <c r="G34" s="44">
        <v>20000</v>
      </c>
      <c r="H34" s="42" t="s">
        <v>59</v>
      </c>
      <c r="I34" s="45" t="s">
        <v>60</v>
      </c>
      <c r="J34" s="42" t="s">
        <v>61</v>
      </c>
      <c r="K34" s="46">
        <v>1</v>
      </c>
      <c r="L34" s="46">
        <v>1</v>
      </c>
      <c r="M34" s="46">
        <v>1</v>
      </c>
      <c r="N34" s="47" t="s">
        <v>138</v>
      </c>
      <c r="O34" s="42" t="s">
        <v>63</v>
      </c>
    </row>
    <row r="35" spans="2:15" ht="23" customHeight="1" x14ac:dyDescent="0.35">
      <c r="B35" s="42" t="s">
        <v>114</v>
      </c>
      <c r="C35" s="42" t="s">
        <v>119</v>
      </c>
      <c r="D35" s="42" t="s">
        <v>139</v>
      </c>
      <c r="E35" s="47" t="s">
        <v>140</v>
      </c>
      <c r="F35" s="43">
        <v>10000</v>
      </c>
      <c r="G35" s="44">
        <v>10000</v>
      </c>
      <c r="H35" s="42" t="s">
        <v>59</v>
      </c>
      <c r="I35" s="45" t="s">
        <v>60</v>
      </c>
      <c r="J35" s="42" t="s">
        <v>61</v>
      </c>
      <c r="K35" s="46">
        <v>1</v>
      </c>
      <c r="L35" s="46">
        <v>1</v>
      </c>
      <c r="M35" s="46">
        <v>1</v>
      </c>
      <c r="N35" s="42" t="s">
        <v>1522</v>
      </c>
      <c r="O35" s="42" t="s">
        <v>63</v>
      </c>
    </row>
    <row r="36" spans="2:15" ht="23" customHeight="1" x14ac:dyDescent="0.35">
      <c r="B36" s="42" t="s">
        <v>114</v>
      </c>
      <c r="C36" s="42" t="s">
        <v>142</v>
      </c>
      <c r="D36" s="42" t="s">
        <v>143</v>
      </c>
      <c r="E36" s="42" t="s">
        <v>144</v>
      </c>
      <c r="F36" s="43">
        <v>480000</v>
      </c>
      <c r="G36" s="44">
        <v>480000</v>
      </c>
      <c r="H36" s="42" t="s">
        <v>59</v>
      </c>
      <c r="I36" s="45" t="s">
        <v>60</v>
      </c>
      <c r="J36" s="42" t="s">
        <v>61</v>
      </c>
      <c r="K36" s="46">
        <v>1</v>
      </c>
      <c r="L36" s="46">
        <v>0</v>
      </c>
      <c r="M36" s="46">
        <v>1</v>
      </c>
      <c r="N36" s="42" t="s">
        <v>145</v>
      </c>
      <c r="O36" s="42" t="s">
        <v>63</v>
      </c>
    </row>
    <row r="37" spans="2:15" ht="23" customHeight="1" x14ac:dyDescent="0.35">
      <c r="B37" s="42" t="s">
        <v>114</v>
      </c>
      <c r="C37" s="42" t="s">
        <v>119</v>
      </c>
      <c r="D37" s="42" t="s">
        <v>146</v>
      </c>
      <c r="E37" s="42" t="s">
        <v>147</v>
      </c>
      <c r="F37" s="43">
        <v>180000000</v>
      </c>
      <c r="G37" s="44">
        <v>180000000</v>
      </c>
      <c r="H37" s="42" t="s">
        <v>59</v>
      </c>
      <c r="I37" s="45" t="s">
        <v>148</v>
      </c>
      <c r="J37" s="42" t="s">
        <v>61</v>
      </c>
      <c r="K37" s="46">
        <v>0</v>
      </c>
      <c r="L37" s="46">
        <v>0</v>
      </c>
      <c r="M37" s="46">
        <v>1</v>
      </c>
      <c r="N37" s="47" t="s">
        <v>149</v>
      </c>
      <c r="O37" s="42" t="s">
        <v>63</v>
      </c>
    </row>
    <row r="38" spans="2:15" ht="23" customHeight="1" x14ac:dyDescent="0.35">
      <c r="B38" s="42" t="s">
        <v>114</v>
      </c>
      <c r="C38" s="42" t="s">
        <v>119</v>
      </c>
      <c r="D38" s="42" t="s">
        <v>150</v>
      </c>
      <c r="E38" s="42" t="s">
        <v>151</v>
      </c>
      <c r="F38" s="43">
        <v>96000000</v>
      </c>
      <c r="G38" s="44">
        <v>96000000</v>
      </c>
      <c r="H38" s="42" t="s">
        <v>59</v>
      </c>
      <c r="I38" s="45" t="s">
        <v>148</v>
      </c>
      <c r="J38" s="42" t="s">
        <v>61</v>
      </c>
      <c r="K38" s="46">
        <v>0</v>
      </c>
      <c r="L38" s="46">
        <v>0</v>
      </c>
      <c r="M38" s="46">
        <v>1</v>
      </c>
      <c r="N38" s="47" t="s">
        <v>149</v>
      </c>
      <c r="O38" s="42" t="s">
        <v>63</v>
      </c>
    </row>
    <row r="39" spans="2:15" ht="23" customHeight="1" x14ac:dyDescent="0.35">
      <c r="B39" s="42" t="s">
        <v>114</v>
      </c>
      <c r="C39" s="42" t="s">
        <v>119</v>
      </c>
      <c r="D39" s="42" t="s">
        <v>152</v>
      </c>
      <c r="E39" s="42" t="s">
        <v>153</v>
      </c>
      <c r="F39" s="43">
        <v>1800000000</v>
      </c>
      <c r="G39" s="44">
        <v>1800000000</v>
      </c>
      <c r="H39" s="42" t="s">
        <v>59</v>
      </c>
      <c r="I39" s="45" t="s">
        <v>148</v>
      </c>
      <c r="J39" s="42" t="s">
        <v>61</v>
      </c>
      <c r="K39" s="46">
        <v>0</v>
      </c>
      <c r="L39" s="46">
        <v>0</v>
      </c>
      <c r="M39" s="46">
        <v>1</v>
      </c>
      <c r="N39" s="42" t="s">
        <v>154</v>
      </c>
      <c r="O39" s="42" t="s">
        <v>63</v>
      </c>
    </row>
    <row r="40" spans="2:15" ht="23" customHeight="1" x14ac:dyDescent="0.35">
      <c r="B40" s="42" t="s">
        <v>114</v>
      </c>
      <c r="C40" s="42" t="s">
        <v>127</v>
      </c>
      <c r="D40" s="42" t="s">
        <v>1523</v>
      </c>
      <c r="E40" s="42" t="s">
        <v>1524</v>
      </c>
      <c r="F40" s="43">
        <v>200000000</v>
      </c>
      <c r="G40" s="44">
        <v>200000000</v>
      </c>
      <c r="H40" s="42" t="s">
        <v>59</v>
      </c>
      <c r="I40" s="45" t="s">
        <v>148</v>
      </c>
      <c r="J40" s="42" t="s">
        <v>61</v>
      </c>
      <c r="K40" s="46">
        <v>1</v>
      </c>
      <c r="L40" s="46">
        <v>1</v>
      </c>
      <c r="M40" s="46">
        <v>1</v>
      </c>
      <c r="N40" s="42" t="s">
        <v>157</v>
      </c>
      <c r="O40" s="42" t="s">
        <v>63</v>
      </c>
    </row>
    <row r="41" spans="2:15" ht="23" customHeight="1" x14ac:dyDescent="0.35">
      <c r="B41" s="42" t="s">
        <v>114</v>
      </c>
      <c r="C41" s="42" t="s">
        <v>119</v>
      </c>
      <c r="D41" s="42" t="s">
        <v>158</v>
      </c>
      <c r="E41" s="42" t="s">
        <v>159</v>
      </c>
      <c r="F41" s="43">
        <v>40000</v>
      </c>
      <c r="G41" s="44">
        <v>40000</v>
      </c>
      <c r="H41" s="42" t="s">
        <v>69</v>
      </c>
      <c r="I41" s="45" t="s">
        <v>70</v>
      </c>
      <c r="J41" s="42" t="s">
        <v>61</v>
      </c>
      <c r="K41" s="46">
        <v>1</v>
      </c>
      <c r="L41" s="46" t="s">
        <v>58</v>
      </c>
      <c r="M41" s="46">
        <v>1</v>
      </c>
      <c r="N41" s="42" t="s">
        <v>158</v>
      </c>
      <c r="O41" s="42" t="s">
        <v>63</v>
      </c>
    </row>
    <row r="42" spans="2:15" ht="23" customHeight="1" x14ac:dyDescent="0.35">
      <c r="B42" s="42" t="s">
        <v>114</v>
      </c>
      <c r="C42" s="42" t="s">
        <v>119</v>
      </c>
      <c r="D42" s="42" t="s">
        <v>160</v>
      </c>
      <c r="E42" s="42" t="s">
        <v>161</v>
      </c>
      <c r="F42" s="43">
        <v>780000000</v>
      </c>
      <c r="G42" s="44">
        <v>780000000</v>
      </c>
      <c r="H42" s="42" t="s">
        <v>69</v>
      </c>
      <c r="I42" s="45" t="s">
        <v>148</v>
      </c>
      <c r="J42" s="42" t="s">
        <v>61</v>
      </c>
      <c r="K42" s="46">
        <v>0</v>
      </c>
      <c r="L42" s="46">
        <v>0</v>
      </c>
      <c r="M42" s="46">
        <v>1</v>
      </c>
      <c r="N42" s="47" t="s">
        <v>162</v>
      </c>
      <c r="O42" s="42" t="s">
        <v>63</v>
      </c>
    </row>
    <row r="43" spans="2:15" ht="23" customHeight="1" x14ac:dyDescent="0.35">
      <c r="B43" s="42" t="s">
        <v>114</v>
      </c>
      <c r="C43" s="42" t="s">
        <v>123</v>
      </c>
      <c r="D43" s="42" t="s">
        <v>1525</v>
      </c>
      <c r="E43" s="42" t="s">
        <v>1526</v>
      </c>
      <c r="F43" s="43" t="s">
        <v>58</v>
      </c>
      <c r="G43" s="44" t="s">
        <v>58</v>
      </c>
      <c r="H43" s="42" t="s">
        <v>69</v>
      </c>
      <c r="I43" s="45" t="s">
        <v>165</v>
      </c>
      <c r="J43" s="42" t="s">
        <v>61</v>
      </c>
      <c r="K43" s="46">
        <v>1</v>
      </c>
      <c r="L43" s="46">
        <v>1</v>
      </c>
      <c r="M43" s="46">
        <v>1</v>
      </c>
      <c r="N43" s="42" t="s">
        <v>1527</v>
      </c>
      <c r="O43" s="42" t="s">
        <v>63</v>
      </c>
    </row>
    <row r="44" spans="2:15" ht="23" customHeight="1" x14ac:dyDescent="0.35">
      <c r="B44" s="42" t="s">
        <v>167</v>
      </c>
      <c r="C44" s="42" t="s">
        <v>168</v>
      </c>
      <c r="D44" s="42" t="s">
        <v>169</v>
      </c>
      <c r="E44" s="42" t="s">
        <v>1528</v>
      </c>
      <c r="F44" s="43">
        <v>14000</v>
      </c>
      <c r="G44" s="44">
        <v>14000</v>
      </c>
      <c r="H44" s="42" t="s">
        <v>59</v>
      </c>
      <c r="I44" s="45" t="s">
        <v>70</v>
      </c>
      <c r="J44" s="42" t="s">
        <v>81</v>
      </c>
      <c r="K44" s="46" t="s">
        <v>58</v>
      </c>
      <c r="L44" s="46" t="s">
        <v>58</v>
      </c>
      <c r="M44" s="46">
        <v>1</v>
      </c>
      <c r="N44" s="42" t="s">
        <v>1529</v>
      </c>
      <c r="O44" s="42" t="s">
        <v>63</v>
      </c>
    </row>
    <row r="45" spans="2:15" ht="23" customHeight="1" x14ac:dyDescent="0.35">
      <c r="B45" s="42" t="s">
        <v>170</v>
      </c>
      <c r="C45" s="42" t="s">
        <v>170</v>
      </c>
      <c r="D45" s="42" t="s">
        <v>1530</v>
      </c>
      <c r="E45" s="42" t="s">
        <v>1531</v>
      </c>
      <c r="F45" s="43" t="s">
        <v>58</v>
      </c>
      <c r="G45" s="44" t="s">
        <v>58</v>
      </c>
      <c r="H45" s="42" t="s">
        <v>59</v>
      </c>
      <c r="I45" s="45" t="s">
        <v>60</v>
      </c>
      <c r="J45" s="42" t="s">
        <v>81</v>
      </c>
      <c r="K45" s="46">
        <v>0</v>
      </c>
      <c r="L45" s="46">
        <v>1</v>
      </c>
      <c r="M45" s="46">
        <v>1</v>
      </c>
      <c r="N45" s="42" t="s">
        <v>1532</v>
      </c>
      <c r="O45" s="42" t="s">
        <v>63</v>
      </c>
    </row>
    <row r="46" spans="2:15" ht="23" customHeight="1" x14ac:dyDescent="0.35">
      <c r="B46" s="42" t="s">
        <v>170</v>
      </c>
      <c r="C46" s="42" t="s">
        <v>174</v>
      </c>
      <c r="D46" s="42" t="s">
        <v>175</v>
      </c>
      <c r="E46" s="42" t="s">
        <v>175</v>
      </c>
      <c r="F46" s="43">
        <v>20000000</v>
      </c>
      <c r="G46" s="44">
        <v>20000000</v>
      </c>
      <c r="H46" s="42" t="s">
        <v>59</v>
      </c>
      <c r="I46" s="45" t="s">
        <v>60</v>
      </c>
      <c r="J46" s="42" t="s">
        <v>81</v>
      </c>
      <c r="K46" s="46">
        <v>1</v>
      </c>
      <c r="L46" s="46">
        <v>1</v>
      </c>
      <c r="M46" s="46">
        <v>1</v>
      </c>
      <c r="N46" s="42" t="s">
        <v>176</v>
      </c>
      <c r="O46" s="42" t="s">
        <v>63</v>
      </c>
    </row>
    <row r="47" spans="2:15" ht="23" customHeight="1" x14ac:dyDescent="0.35">
      <c r="B47" s="42" t="s">
        <v>170</v>
      </c>
      <c r="C47" s="42" t="s">
        <v>170</v>
      </c>
      <c r="D47" s="42" t="s">
        <v>1534</v>
      </c>
      <c r="E47" s="42" t="s">
        <v>1533</v>
      </c>
      <c r="F47" s="43">
        <v>30000</v>
      </c>
      <c r="G47" s="44">
        <v>30000</v>
      </c>
      <c r="H47" s="42" t="s">
        <v>59</v>
      </c>
      <c r="I47" s="45" t="s">
        <v>177</v>
      </c>
      <c r="J47" s="42" t="s">
        <v>81</v>
      </c>
      <c r="K47" s="46">
        <v>0</v>
      </c>
      <c r="L47" s="46">
        <v>0</v>
      </c>
      <c r="M47" s="46">
        <v>1</v>
      </c>
      <c r="N47" s="42" t="s">
        <v>178</v>
      </c>
      <c r="O47" s="42" t="s">
        <v>63</v>
      </c>
    </row>
    <row r="48" spans="2:15" ht="23" customHeight="1" x14ac:dyDescent="0.35">
      <c r="B48" s="42" t="s">
        <v>170</v>
      </c>
      <c r="C48" s="42" t="s">
        <v>170</v>
      </c>
      <c r="D48" s="42" t="s">
        <v>179</v>
      </c>
      <c r="E48" s="42" t="s">
        <v>1540</v>
      </c>
      <c r="F48" s="43">
        <v>13286005</v>
      </c>
      <c r="G48" s="44">
        <v>13286005</v>
      </c>
      <c r="H48" s="42" t="s">
        <v>59</v>
      </c>
      <c r="I48" s="45" t="s">
        <v>177</v>
      </c>
      <c r="J48" s="42" t="s">
        <v>81</v>
      </c>
      <c r="K48" s="46">
        <v>0</v>
      </c>
      <c r="L48" s="46">
        <v>0</v>
      </c>
      <c r="M48" s="46">
        <v>1</v>
      </c>
      <c r="N48" s="47" t="s">
        <v>180</v>
      </c>
      <c r="O48" s="42" t="s">
        <v>63</v>
      </c>
    </row>
    <row r="49" spans="2:15" ht="23" customHeight="1" x14ac:dyDescent="0.35">
      <c r="B49" s="42" t="s">
        <v>170</v>
      </c>
      <c r="C49" s="42" t="s">
        <v>170</v>
      </c>
      <c r="D49" s="42" t="s">
        <v>181</v>
      </c>
      <c r="E49" s="42" t="s">
        <v>1541</v>
      </c>
      <c r="F49" s="43">
        <v>1000000</v>
      </c>
      <c r="G49" s="44">
        <v>1000000</v>
      </c>
      <c r="H49" s="42" t="s">
        <v>59</v>
      </c>
      <c r="I49" s="45" t="s">
        <v>60</v>
      </c>
      <c r="J49" s="42" t="s">
        <v>81</v>
      </c>
      <c r="K49" s="46">
        <v>1</v>
      </c>
      <c r="L49" s="46">
        <v>1</v>
      </c>
      <c r="M49" s="46">
        <v>1</v>
      </c>
      <c r="N49" s="47" t="s">
        <v>183</v>
      </c>
      <c r="O49" s="42" t="s">
        <v>63</v>
      </c>
    </row>
    <row r="50" spans="2:15" ht="23" customHeight="1" x14ac:dyDescent="0.35">
      <c r="B50" s="42" t="s">
        <v>170</v>
      </c>
      <c r="C50" s="42" t="s">
        <v>170</v>
      </c>
      <c r="D50" s="42" t="s">
        <v>184</v>
      </c>
      <c r="E50" s="47" t="s">
        <v>1542</v>
      </c>
      <c r="F50" s="43">
        <v>50000</v>
      </c>
      <c r="G50" s="44">
        <v>50000</v>
      </c>
      <c r="H50" s="42" t="s">
        <v>59</v>
      </c>
      <c r="I50" s="45" t="s">
        <v>70</v>
      </c>
      <c r="J50" s="42" t="s">
        <v>81</v>
      </c>
      <c r="K50" s="46" t="s">
        <v>58</v>
      </c>
      <c r="L50" s="46">
        <v>1</v>
      </c>
      <c r="M50" s="46">
        <v>1</v>
      </c>
      <c r="N50" s="42" t="s">
        <v>1543</v>
      </c>
      <c r="O50" s="42" t="s">
        <v>63</v>
      </c>
    </row>
    <row r="51" spans="2:15" ht="23" customHeight="1" x14ac:dyDescent="0.35">
      <c r="B51" s="42" t="s">
        <v>170</v>
      </c>
      <c r="C51" s="42" t="s">
        <v>170</v>
      </c>
      <c r="D51" s="42" t="s">
        <v>186</v>
      </c>
      <c r="E51" s="42" t="s">
        <v>1544</v>
      </c>
      <c r="F51" s="43">
        <v>160000</v>
      </c>
      <c r="G51" s="44">
        <v>160000</v>
      </c>
      <c r="H51" s="42" t="s">
        <v>59</v>
      </c>
      <c r="I51" s="45" t="s">
        <v>70</v>
      </c>
      <c r="J51" s="42" t="s">
        <v>81</v>
      </c>
      <c r="K51" s="46">
        <v>1</v>
      </c>
      <c r="L51" s="46" t="s">
        <v>58</v>
      </c>
      <c r="M51" s="46">
        <v>1</v>
      </c>
      <c r="N51" s="42" t="s">
        <v>186</v>
      </c>
      <c r="O51" s="42" t="s">
        <v>63</v>
      </c>
    </row>
    <row r="52" spans="2:15" ht="23" customHeight="1" x14ac:dyDescent="0.35">
      <c r="B52" s="42" t="s">
        <v>170</v>
      </c>
      <c r="C52" s="42" t="s">
        <v>170</v>
      </c>
      <c r="D52" s="42" t="s">
        <v>188</v>
      </c>
      <c r="E52" s="42" t="s">
        <v>189</v>
      </c>
      <c r="F52" s="43">
        <v>10000</v>
      </c>
      <c r="G52" s="44">
        <v>10000</v>
      </c>
      <c r="H52" s="42" t="s">
        <v>59</v>
      </c>
      <c r="I52" s="45" t="s">
        <v>70</v>
      </c>
      <c r="J52" s="42" t="s">
        <v>81</v>
      </c>
      <c r="K52" s="46" t="s">
        <v>58</v>
      </c>
      <c r="L52" s="46">
        <v>1</v>
      </c>
      <c r="M52" s="46">
        <v>1</v>
      </c>
      <c r="N52" s="42" t="s">
        <v>188</v>
      </c>
      <c r="O52" s="42" t="s">
        <v>63</v>
      </c>
    </row>
    <row r="53" spans="2:15" ht="23" customHeight="1" x14ac:dyDescent="0.35">
      <c r="B53" s="42" t="s">
        <v>170</v>
      </c>
      <c r="C53" s="42" t="s">
        <v>170</v>
      </c>
      <c r="D53" s="42" t="s">
        <v>190</v>
      </c>
      <c r="E53" s="42" t="s">
        <v>191</v>
      </c>
      <c r="F53" s="43">
        <v>28000</v>
      </c>
      <c r="G53" s="44">
        <v>28000</v>
      </c>
      <c r="H53" s="42" t="s">
        <v>59</v>
      </c>
      <c r="I53" s="45" t="s">
        <v>60</v>
      </c>
      <c r="J53" s="42" t="s">
        <v>1545</v>
      </c>
      <c r="K53" s="46">
        <v>1</v>
      </c>
      <c r="L53" s="46">
        <v>1</v>
      </c>
      <c r="M53" s="46">
        <v>1</v>
      </c>
      <c r="N53" s="42" t="s">
        <v>1545</v>
      </c>
      <c r="O53" s="42" t="s">
        <v>63</v>
      </c>
    </row>
    <row r="54" spans="2:15" ht="23" customHeight="1" x14ac:dyDescent="0.35">
      <c r="B54" s="42" t="s">
        <v>170</v>
      </c>
      <c r="C54" s="42" t="s">
        <v>170</v>
      </c>
      <c r="D54" s="42" t="s">
        <v>193</v>
      </c>
      <c r="E54" s="42" t="s">
        <v>194</v>
      </c>
      <c r="F54" s="43">
        <v>120000</v>
      </c>
      <c r="G54" s="44">
        <v>120000</v>
      </c>
      <c r="H54" s="42" t="s">
        <v>195</v>
      </c>
      <c r="I54" s="45" t="s">
        <v>70</v>
      </c>
      <c r="J54" s="42" t="s">
        <v>81</v>
      </c>
      <c r="K54" s="46" t="s">
        <v>58</v>
      </c>
      <c r="L54" s="46">
        <v>1</v>
      </c>
      <c r="M54" s="46">
        <v>1</v>
      </c>
      <c r="N54" s="42" t="s">
        <v>193</v>
      </c>
      <c r="O54" s="42" t="s">
        <v>63</v>
      </c>
    </row>
    <row r="55" spans="2:15" ht="23" customHeight="1" x14ac:dyDescent="0.35">
      <c r="B55" s="42" t="s">
        <v>170</v>
      </c>
      <c r="C55" s="42" t="s">
        <v>170</v>
      </c>
      <c r="D55" s="42" t="s">
        <v>196</v>
      </c>
      <c r="E55" s="42" t="s">
        <v>197</v>
      </c>
      <c r="F55" s="43">
        <v>50000</v>
      </c>
      <c r="G55" s="44">
        <v>50000</v>
      </c>
      <c r="H55" s="42" t="s">
        <v>69</v>
      </c>
      <c r="I55" s="45" t="s">
        <v>60</v>
      </c>
      <c r="J55" s="42" t="s">
        <v>81</v>
      </c>
      <c r="K55" s="46">
        <v>1</v>
      </c>
      <c r="L55" s="46">
        <v>1</v>
      </c>
      <c r="M55" s="46">
        <v>1</v>
      </c>
      <c r="N55" s="42" t="s">
        <v>198</v>
      </c>
      <c r="O55" s="42" t="s">
        <v>63</v>
      </c>
    </row>
    <row r="56" spans="2:15" ht="23" customHeight="1" x14ac:dyDescent="0.35">
      <c r="B56" s="42" t="s">
        <v>170</v>
      </c>
      <c r="C56" s="42" t="s">
        <v>170</v>
      </c>
      <c r="D56" s="42" t="s">
        <v>199</v>
      </c>
      <c r="E56" s="47" t="s">
        <v>200</v>
      </c>
      <c r="F56" s="43">
        <v>150000</v>
      </c>
      <c r="G56" s="44">
        <v>150000</v>
      </c>
      <c r="H56" s="42" t="s">
        <v>69</v>
      </c>
      <c r="I56" s="45" t="s">
        <v>70</v>
      </c>
      <c r="J56" s="42" t="s">
        <v>81</v>
      </c>
      <c r="K56" s="46">
        <v>1</v>
      </c>
      <c r="L56" s="46" t="s">
        <v>58</v>
      </c>
      <c r="M56" s="46">
        <v>1</v>
      </c>
      <c r="N56" s="42" t="s">
        <v>199</v>
      </c>
      <c r="O56" s="42" t="s">
        <v>63</v>
      </c>
    </row>
    <row r="57" spans="2:15" ht="23" customHeight="1" x14ac:dyDescent="0.35">
      <c r="B57" s="42" t="s">
        <v>170</v>
      </c>
      <c r="C57" s="42" t="s">
        <v>170</v>
      </c>
      <c r="D57" s="42" t="s">
        <v>201</v>
      </c>
      <c r="E57" s="42" t="s">
        <v>202</v>
      </c>
      <c r="F57" s="43">
        <v>200000</v>
      </c>
      <c r="G57" s="44">
        <v>200000</v>
      </c>
      <c r="H57" s="42" t="s">
        <v>69</v>
      </c>
      <c r="I57" s="45" t="s">
        <v>60</v>
      </c>
      <c r="J57" s="42" t="s">
        <v>81</v>
      </c>
      <c r="K57" s="46">
        <v>0</v>
      </c>
      <c r="L57" s="46">
        <v>1</v>
      </c>
      <c r="M57" s="46">
        <v>1</v>
      </c>
      <c r="N57" s="42" t="s">
        <v>203</v>
      </c>
      <c r="O57" s="42" t="s">
        <v>63</v>
      </c>
    </row>
    <row r="58" spans="2:15" ht="23" customHeight="1" x14ac:dyDescent="0.35">
      <c r="B58" s="42" t="s">
        <v>204</v>
      </c>
      <c r="C58" s="42" t="s">
        <v>204</v>
      </c>
      <c r="D58" s="42" t="s">
        <v>205</v>
      </c>
      <c r="E58" s="42" t="s">
        <v>206</v>
      </c>
      <c r="F58" s="43" t="s">
        <v>58</v>
      </c>
      <c r="G58" s="44" t="s">
        <v>58</v>
      </c>
      <c r="H58" s="42" t="s">
        <v>59</v>
      </c>
      <c r="I58" s="45" t="s">
        <v>70</v>
      </c>
      <c r="J58" s="42" t="s">
        <v>81</v>
      </c>
      <c r="K58" s="46" t="s">
        <v>58</v>
      </c>
      <c r="L58" s="46">
        <v>1</v>
      </c>
      <c r="M58" s="46">
        <v>1</v>
      </c>
      <c r="N58" s="42" t="s">
        <v>205</v>
      </c>
      <c r="O58" s="42" t="s">
        <v>63</v>
      </c>
    </row>
    <row r="59" spans="2:15" ht="23" customHeight="1" x14ac:dyDescent="0.35">
      <c r="B59" s="42" t="s">
        <v>204</v>
      </c>
      <c r="C59" s="42" t="s">
        <v>204</v>
      </c>
      <c r="D59" s="47" t="s">
        <v>208</v>
      </c>
      <c r="E59" s="42" t="s">
        <v>1546</v>
      </c>
      <c r="F59" s="43">
        <v>16000000</v>
      </c>
      <c r="G59" s="44">
        <v>16000000</v>
      </c>
      <c r="H59" s="42" t="s">
        <v>59</v>
      </c>
      <c r="I59" s="45" t="s">
        <v>60</v>
      </c>
      <c r="J59" s="42" t="s">
        <v>81</v>
      </c>
      <c r="K59" s="46">
        <v>1</v>
      </c>
      <c r="L59" s="46">
        <v>1</v>
      </c>
      <c r="M59" s="46">
        <v>1</v>
      </c>
      <c r="N59" s="42" t="s">
        <v>210</v>
      </c>
      <c r="O59" s="42" t="s">
        <v>63</v>
      </c>
    </row>
    <row r="60" spans="2:15" ht="23" customHeight="1" x14ac:dyDescent="0.35">
      <c r="B60" s="42" t="s">
        <v>204</v>
      </c>
      <c r="C60" s="42" t="s">
        <v>204</v>
      </c>
      <c r="D60" s="42" t="s">
        <v>211</v>
      </c>
      <c r="E60" s="42" t="s">
        <v>212</v>
      </c>
      <c r="F60" s="43">
        <v>24000</v>
      </c>
      <c r="G60" s="44">
        <v>24000</v>
      </c>
      <c r="H60" s="42" t="s">
        <v>59</v>
      </c>
      <c r="I60" s="45" t="s">
        <v>177</v>
      </c>
      <c r="J60" s="42" t="s">
        <v>81</v>
      </c>
      <c r="K60" s="46">
        <v>0</v>
      </c>
      <c r="L60" s="46">
        <v>0</v>
      </c>
      <c r="M60" s="46">
        <v>1</v>
      </c>
      <c r="N60" s="47" t="s">
        <v>213</v>
      </c>
      <c r="O60" s="42" t="s">
        <v>63</v>
      </c>
    </row>
    <row r="61" spans="2:15" ht="23" customHeight="1" x14ac:dyDescent="0.35">
      <c r="B61" s="42" t="s">
        <v>204</v>
      </c>
      <c r="C61" s="42" t="s">
        <v>204</v>
      </c>
      <c r="D61" s="42" t="s">
        <v>214</v>
      </c>
      <c r="E61" s="47" t="s">
        <v>1547</v>
      </c>
      <c r="F61" s="43">
        <v>12000000</v>
      </c>
      <c r="G61" s="44">
        <v>12000000</v>
      </c>
      <c r="H61" s="42" t="s">
        <v>59</v>
      </c>
      <c r="I61" s="45" t="s">
        <v>60</v>
      </c>
      <c r="J61" s="42" t="s">
        <v>81</v>
      </c>
      <c r="K61" s="46">
        <v>1</v>
      </c>
      <c r="L61" s="46">
        <v>1</v>
      </c>
      <c r="M61" s="46">
        <v>1</v>
      </c>
      <c r="N61" s="42" t="s">
        <v>216</v>
      </c>
      <c r="O61" s="42" t="s">
        <v>63</v>
      </c>
    </row>
    <row r="62" spans="2:15" ht="23" customHeight="1" x14ac:dyDescent="0.35">
      <c r="B62" s="42" t="s">
        <v>217</v>
      </c>
      <c r="C62" s="42" t="s">
        <v>218</v>
      </c>
      <c r="D62" s="42" t="s">
        <v>219</v>
      </c>
      <c r="E62" s="47" t="s">
        <v>1548</v>
      </c>
      <c r="F62" s="43">
        <v>250000</v>
      </c>
      <c r="G62" s="44">
        <v>250000</v>
      </c>
      <c r="H62" s="42" t="s">
        <v>69</v>
      </c>
      <c r="I62" s="45" t="s">
        <v>60</v>
      </c>
      <c r="J62" s="42" t="s">
        <v>61</v>
      </c>
      <c r="K62" s="46">
        <v>1</v>
      </c>
      <c r="L62" s="46">
        <v>1</v>
      </c>
      <c r="M62" s="46">
        <v>1</v>
      </c>
      <c r="N62" s="47" t="s">
        <v>1549</v>
      </c>
      <c r="O62" s="42" t="s">
        <v>63</v>
      </c>
    </row>
    <row r="63" spans="2:15" ht="23" customHeight="1" x14ac:dyDescent="0.35">
      <c r="B63" s="42" t="s">
        <v>217</v>
      </c>
      <c r="C63" s="42" t="s">
        <v>218</v>
      </c>
      <c r="D63" s="42" t="s">
        <v>222</v>
      </c>
      <c r="E63" s="42" t="s">
        <v>1550</v>
      </c>
      <c r="F63" s="43">
        <v>300000</v>
      </c>
      <c r="G63" s="44">
        <v>300000</v>
      </c>
      <c r="H63" s="42" t="s">
        <v>69</v>
      </c>
      <c r="I63" s="45" t="s">
        <v>70</v>
      </c>
      <c r="J63" s="42" t="s">
        <v>94</v>
      </c>
      <c r="K63" s="46" t="s">
        <v>58</v>
      </c>
      <c r="L63" s="46" t="s">
        <v>58</v>
      </c>
      <c r="M63" s="46">
        <v>1</v>
      </c>
      <c r="N63" s="42" t="s">
        <v>222</v>
      </c>
      <c r="O63" s="42" t="s">
        <v>63</v>
      </c>
    </row>
    <row r="64" spans="2:15" ht="23" customHeight="1" x14ac:dyDescent="0.35">
      <c r="B64" s="42" t="s">
        <v>223</v>
      </c>
      <c r="C64" s="42" t="s">
        <v>224</v>
      </c>
      <c r="D64" s="42" t="s">
        <v>1551</v>
      </c>
      <c r="E64" s="42" t="s">
        <v>1552</v>
      </c>
      <c r="F64" s="43">
        <v>720000</v>
      </c>
      <c r="G64" s="44">
        <v>720000</v>
      </c>
      <c r="H64" s="42" t="s">
        <v>59</v>
      </c>
      <c r="I64" s="45" t="s">
        <v>70</v>
      </c>
      <c r="J64" s="42" t="s">
        <v>94</v>
      </c>
      <c r="K64" s="46">
        <v>1</v>
      </c>
      <c r="L64" s="46" t="s">
        <v>58</v>
      </c>
      <c r="M64" s="46">
        <v>1</v>
      </c>
      <c r="N64" s="42" t="s">
        <v>225</v>
      </c>
      <c r="O64" s="42" t="s">
        <v>63</v>
      </c>
    </row>
    <row r="65" spans="2:15" ht="23" customHeight="1" x14ac:dyDescent="0.35">
      <c r="B65" s="42" t="s">
        <v>223</v>
      </c>
      <c r="C65" s="42" t="s">
        <v>224</v>
      </c>
      <c r="D65" s="42" t="s">
        <v>227</v>
      </c>
      <c r="E65" s="42" t="s">
        <v>227</v>
      </c>
      <c r="F65" s="43">
        <v>800000</v>
      </c>
      <c r="G65" s="44">
        <v>800000</v>
      </c>
      <c r="H65" s="42" t="s">
        <v>59</v>
      </c>
      <c r="I65" s="45" t="s">
        <v>60</v>
      </c>
      <c r="J65" s="42" t="s">
        <v>61</v>
      </c>
      <c r="K65" s="46">
        <v>1</v>
      </c>
      <c r="L65" s="46">
        <v>1</v>
      </c>
      <c r="M65" s="46">
        <v>1</v>
      </c>
      <c r="N65" s="42" t="s">
        <v>228</v>
      </c>
      <c r="O65" s="42" t="s">
        <v>63</v>
      </c>
    </row>
    <row r="66" spans="2:15" ht="23" customHeight="1" x14ac:dyDescent="0.35">
      <c r="B66" s="42" t="s">
        <v>223</v>
      </c>
      <c r="C66" s="42" t="s">
        <v>224</v>
      </c>
      <c r="D66" s="42" t="s">
        <v>229</v>
      </c>
      <c r="E66" s="42" t="s">
        <v>230</v>
      </c>
      <c r="F66" s="43">
        <v>20000</v>
      </c>
      <c r="G66" s="44">
        <v>20000</v>
      </c>
      <c r="H66" s="42" t="s">
        <v>59</v>
      </c>
      <c r="I66" s="45" t="s">
        <v>70</v>
      </c>
      <c r="J66" s="42" t="s">
        <v>61</v>
      </c>
      <c r="K66" s="46" t="s">
        <v>58</v>
      </c>
      <c r="L66" s="46">
        <v>1</v>
      </c>
      <c r="M66" s="46">
        <v>1</v>
      </c>
      <c r="N66" s="42" t="s">
        <v>229</v>
      </c>
      <c r="O66" s="42" t="s">
        <v>63</v>
      </c>
    </row>
    <row r="67" spans="2:15" ht="23" customHeight="1" x14ac:dyDescent="0.35">
      <c r="B67" s="42" t="s">
        <v>223</v>
      </c>
      <c r="C67" s="42" t="s">
        <v>224</v>
      </c>
      <c r="D67" s="42" t="s">
        <v>231</v>
      </c>
      <c r="E67" s="42" t="s">
        <v>232</v>
      </c>
      <c r="F67" s="43">
        <v>200000</v>
      </c>
      <c r="G67" s="44">
        <v>200000</v>
      </c>
      <c r="H67" s="42" t="s">
        <v>59</v>
      </c>
      <c r="I67" s="45" t="s">
        <v>60</v>
      </c>
      <c r="J67" s="42" t="s">
        <v>61</v>
      </c>
      <c r="K67" s="46">
        <v>1</v>
      </c>
      <c r="L67" s="46">
        <v>1</v>
      </c>
      <c r="M67" s="46">
        <v>1</v>
      </c>
      <c r="N67" s="42" t="s">
        <v>233</v>
      </c>
      <c r="O67" s="42" t="s">
        <v>63</v>
      </c>
    </row>
    <row r="68" spans="2:15" ht="23" customHeight="1" x14ac:dyDescent="0.35">
      <c r="B68" s="42" t="s">
        <v>223</v>
      </c>
      <c r="C68" s="42" t="s">
        <v>224</v>
      </c>
      <c r="D68" s="42" t="s">
        <v>1553</v>
      </c>
      <c r="E68" s="42" t="s">
        <v>1554</v>
      </c>
      <c r="F68" s="43" t="s">
        <v>58</v>
      </c>
      <c r="G68" s="44" t="s">
        <v>58</v>
      </c>
      <c r="H68" s="42" t="s">
        <v>59</v>
      </c>
      <c r="I68" s="45" t="s">
        <v>70</v>
      </c>
      <c r="J68" s="42" t="s">
        <v>61</v>
      </c>
      <c r="K68" s="46">
        <v>1</v>
      </c>
      <c r="L68" s="46" t="s">
        <v>58</v>
      </c>
      <c r="M68" s="46">
        <v>1</v>
      </c>
      <c r="N68" s="42" t="s">
        <v>1555</v>
      </c>
      <c r="O68" s="42" t="s">
        <v>63</v>
      </c>
    </row>
    <row r="69" spans="2:15" ht="23" customHeight="1" x14ac:dyDescent="0.35">
      <c r="B69" s="42" t="s">
        <v>223</v>
      </c>
      <c r="C69" s="42" t="s">
        <v>224</v>
      </c>
      <c r="D69" s="47" t="s">
        <v>236</v>
      </c>
      <c r="E69" s="42" t="s">
        <v>237</v>
      </c>
      <c r="F69" s="43">
        <v>80000000</v>
      </c>
      <c r="G69" s="44">
        <v>80000000</v>
      </c>
      <c r="H69" s="42" t="s">
        <v>195</v>
      </c>
      <c r="I69" s="45" t="s">
        <v>70</v>
      </c>
      <c r="J69" s="42" t="s">
        <v>61</v>
      </c>
      <c r="K69" s="46" t="s">
        <v>58</v>
      </c>
      <c r="L69" s="46" t="s">
        <v>58</v>
      </c>
      <c r="M69" s="46">
        <v>1</v>
      </c>
      <c r="N69" s="47" t="s">
        <v>1556</v>
      </c>
      <c r="O69" s="42" t="s">
        <v>63</v>
      </c>
    </row>
    <row r="70" spans="2:15" ht="23" customHeight="1" x14ac:dyDescent="0.35">
      <c r="B70" s="42" t="s">
        <v>223</v>
      </c>
      <c r="C70" s="42" t="s">
        <v>224</v>
      </c>
      <c r="D70" s="42" t="s">
        <v>1557</v>
      </c>
      <c r="E70" s="42" t="s">
        <v>1558</v>
      </c>
      <c r="F70" s="43">
        <v>500000</v>
      </c>
      <c r="G70" s="44">
        <v>500000</v>
      </c>
      <c r="H70" s="42" t="s">
        <v>69</v>
      </c>
      <c r="I70" s="45" t="s">
        <v>60</v>
      </c>
      <c r="J70" s="42" t="s">
        <v>61</v>
      </c>
      <c r="K70" s="46">
        <v>1</v>
      </c>
      <c r="L70" s="46">
        <v>1</v>
      </c>
      <c r="M70" s="46">
        <v>1</v>
      </c>
      <c r="N70" s="42" t="s">
        <v>240</v>
      </c>
      <c r="O70" s="42" t="s">
        <v>63</v>
      </c>
    </row>
    <row r="71" spans="2:15" ht="23" customHeight="1" x14ac:dyDescent="0.35">
      <c r="B71" s="42" t="s">
        <v>223</v>
      </c>
      <c r="C71" s="42" t="s">
        <v>224</v>
      </c>
      <c r="D71" s="42" t="s">
        <v>241</v>
      </c>
      <c r="E71" s="47" t="s">
        <v>1559</v>
      </c>
      <c r="F71" s="43">
        <v>1500000</v>
      </c>
      <c r="G71" s="44">
        <v>1500000</v>
      </c>
      <c r="H71" s="42" t="s">
        <v>69</v>
      </c>
      <c r="I71" s="45" t="s">
        <v>60</v>
      </c>
      <c r="J71" s="42" t="s">
        <v>81</v>
      </c>
      <c r="K71" s="46">
        <v>1</v>
      </c>
      <c r="L71" s="46">
        <v>1</v>
      </c>
      <c r="M71" s="46">
        <v>1</v>
      </c>
      <c r="N71" s="42" t="s">
        <v>1560</v>
      </c>
      <c r="O71" s="42" t="s">
        <v>63</v>
      </c>
    </row>
    <row r="72" spans="2:15" ht="23" customHeight="1" x14ac:dyDescent="0.35">
      <c r="B72" s="42" t="s">
        <v>223</v>
      </c>
      <c r="C72" s="42" t="s">
        <v>224</v>
      </c>
      <c r="D72" s="42" t="s">
        <v>244</v>
      </c>
      <c r="E72" s="42" t="s">
        <v>245</v>
      </c>
      <c r="F72" s="43">
        <v>500000</v>
      </c>
      <c r="G72" s="44">
        <v>500000</v>
      </c>
      <c r="H72" s="42" t="s">
        <v>69</v>
      </c>
      <c r="I72" s="45" t="s">
        <v>70</v>
      </c>
      <c r="J72" s="42" t="s">
        <v>61</v>
      </c>
      <c r="K72" s="46">
        <v>1</v>
      </c>
      <c r="L72" s="46" t="s">
        <v>58</v>
      </c>
      <c r="M72" s="46">
        <v>1</v>
      </c>
      <c r="N72" s="42" t="s">
        <v>244</v>
      </c>
      <c r="O72" s="42" t="s">
        <v>63</v>
      </c>
    </row>
    <row r="73" spans="2:15" ht="23" customHeight="1" x14ac:dyDescent="0.35">
      <c r="B73" s="42" t="s">
        <v>223</v>
      </c>
      <c r="C73" s="42" t="s">
        <v>224</v>
      </c>
      <c r="D73" s="42" t="s">
        <v>246</v>
      </c>
      <c r="E73" s="47" t="s">
        <v>1561</v>
      </c>
      <c r="F73" s="43" t="s">
        <v>58</v>
      </c>
      <c r="G73" s="44" t="s">
        <v>58</v>
      </c>
      <c r="H73" s="42" t="s">
        <v>69</v>
      </c>
      <c r="I73" s="45" t="s">
        <v>60</v>
      </c>
      <c r="J73" s="42" t="s">
        <v>61</v>
      </c>
      <c r="K73" s="46">
        <v>1</v>
      </c>
      <c r="L73" s="46">
        <v>1</v>
      </c>
      <c r="M73" s="46">
        <v>1</v>
      </c>
      <c r="N73" s="42" t="s">
        <v>248</v>
      </c>
      <c r="O73" s="42" t="s">
        <v>63</v>
      </c>
    </row>
    <row r="74" spans="2:15" ht="23" customHeight="1" x14ac:dyDescent="0.35">
      <c r="B74" s="42" t="s">
        <v>223</v>
      </c>
      <c r="C74" s="42" t="s">
        <v>224</v>
      </c>
      <c r="D74" s="42" t="s">
        <v>249</v>
      </c>
      <c r="E74" s="42" t="s">
        <v>250</v>
      </c>
      <c r="F74" s="43">
        <v>500000</v>
      </c>
      <c r="G74" s="44">
        <v>500000</v>
      </c>
      <c r="H74" s="42" t="s">
        <v>69</v>
      </c>
      <c r="I74" s="45" t="s">
        <v>70</v>
      </c>
      <c r="J74" s="42" t="s">
        <v>61</v>
      </c>
      <c r="K74" s="46">
        <v>1</v>
      </c>
      <c r="L74" s="46" t="s">
        <v>58</v>
      </c>
      <c r="M74" s="46">
        <v>1</v>
      </c>
      <c r="N74" s="42" t="s">
        <v>249</v>
      </c>
      <c r="O74" s="42" t="s">
        <v>63</v>
      </c>
    </row>
    <row r="75" spans="2:15" ht="23" customHeight="1" x14ac:dyDescent="0.35">
      <c r="B75" s="42" t="s">
        <v>223</v>
      </c>
      <c r="C75" s="42" t="s">
        <v>224</v>
      </c>
      <c r="D75" s="47" t="s">
        <v>1562</v>
      </c>
      <c r="E75" s="47" t="s">
        <v>1563</v>
      </c>
      <c r="F75" s="43">
        <v>100000</v>
      </c>
      <c r="G75" s="44">
        <v>100000</v>
      </c>
      <c r="H75" s="42" t="s">
        <v>113</v>
      </c>
      <c r="I75" s="45" t="s">
        <v>70</v>
      </c>
      <c r="J75" s="42" t="s">
        <v>61</v>
      </c>
      <c r="K75" s="46" t="s">
        <v>58</v>
      </c>
      <c r="L75" s="46" t="s">
        <v>58</v>
      </c>
      <c r="M75" s="46">
        <v>1</v>
      </c>
      <c r="N75" s="42" t="s">
        <v>1564</v>
      </c>
      <c r="O75" s="42" t="s">
        <v>63</v>
      </c>
    </row>
    <row r="76" spans="2:15" ht="23" customHeight="1" x14ac:dyDescent="0.35">
      <c r="B76" s="42" t="s">
        <v>251</v>
      </c>
      <c r="C76" s="42" t="s">
        <v>252</v>
      </c>
      <c r="D76" s="47" t="s">
        <v>1565</v>
      </c>
      <c r="E76" s="47" t="s">
        <v>254</v>
      </c>
      <c r="F76" s="43">
        <v>300</v>
      </c>
      <c r="G76" s="44">
        <v>300</v>
      </c>
      <c r="H76" s="42" t="s">
        <v>59</v>
      </c>
      <c r="I76" s="45" t="s">
        <v>60</v>
      </c>
      <c r="J76" s="42" t="s">
        <v>81</v>
      </c>
      <c r="K76" s="46">
        <v>0</v>
      </c>
      <c r="L76" s="46">
        <v>1</v>
      </c>
      <c r="M76" s="46">
        <v>1</v>
      </c>
      <c r="N76" s="42" t="s">
        <v>255</v>
      </c>
      <c r="O76" s="42" t="s">
        <v>63</v>
      </c>
    </row>
    <row r="77" spans="2:15" ht="23" customHeight="1" x14ac:dyDescent="0.35">
      <c r="B77" s="42" t="s">
        <v>251</v>
      </c>
      <c r="C77" s="42" t="s">
        <v>256</v>
      </c>
      <c r="D77" s="42" t="s">
        <v>257</v>
      </c>
      <c r="E77" s="42" t="s">
        <v>258</v>
      </c>
      <c r="F77" s="43" t="s">
        <v>58</v>
      </c>
      <c r="G77" s="44" t="s">
        <v>58</v>
      </c>
      <c r="H77" s="42" t="s">
        <v>59</v>
      </c>
      <c r="I77" s="45" t="s">
        <v>60</v>
      </c>
      <c r="J77" s="42" t="s">
        <v>81</v>
      </c>
      <c r="K77" s="46">
        <v>0</v>
      </c>
      <c r="L77" s="46">
        <v>1</v>
      </c>
      <c r="M77" s="46">
        <v>1</v>
      </c>
      <c r="N77" s="42" t="s">
        <v>259</v>
      </c>
      <c r="O77" s="42" t="s">
        <v>63</v>
      </c>
    </row>
    <row r="78" spans="2:15" ht="23" customHeight="1" x14ac:dyDescent="0.35">
      <c r="B78" s="42" t="s">
        <v>251</v>
      </c>
      <c r="C78" s="42" t="s">
        <v>251</v>
      </c>
      <c r="D78" s="42" t="s">
        <v>260</v>
      </c>
      <c r="E78" s="42" t="s">
        <v>261</v>
      </c>
      <c r="F78" s="43">
        <v>180000</v>
      </c>
      <c r="G78" s="44">
        <v>180000</v>
      </c>
      <c r="H78" s="42" t="s">
        <v>59</v>
      </c>
      <c r="I78" s="45" t="s">
        <v>70</v>
      </c>
      <c r="J78" s="42" t="s">
        <v>94</v>
      </c>
      <c r="K78" s="46">
        <v>1</v>
      </c>
      <c r="L78" s="46" t="s">
        <v>58</v>
      </c>
      <c r="M78" s="46">
        <v>1</v>
      </c>
      <c r="N78" s="42" t="s">
        <v>260</v>
      </c>
      <c r="O78" s="42" t="s">
        <v>63</v>
      </c>
    </row>
    <row r="79" spans="2:15" ht="23" customHeight="1" x14ac:dyDescent="0.35">
      <c r="B79" s="42" t="s">
        <v>251</v>
      </c>
      <c r="C79" s="42" t="s">
        <v>252</v>
      </c>
      <c r="D79" s="42" t="s">
        <v>262</v>
      </c>
      <c r="E79" s="42" t="s">
        <v>263</v>
      </c>
      <c r="F79" s="43">
        <v>175000</v>
      </c>
      <c r="G79" s="44">
        <v>175000</v>
      </c>
      <c r="H79" s="42" t="s">
        <v>59</v>
      </c>
      <c r="I79" s="45" t="s">
        <v>60</v>
      </c>
      <c r="J79" s="42" t="s">
        <v>81</v>
      </c>
      <c r="K79" s="46">
        <v>0</v>
      </c>
      <c r="L79" s="46">
        <v>1</v>
      </c>
      <c r="M79" s="46">
        <v>1</v>
      </c>
      <c r="N79" s="42" t="s">
        <v>264</v>
      </c>
      <c r="O79" s="42" t="s">
        <v>63</v>
      </c>
    </row>
    <row r="80" spans="2:15" ht="23" customHeight="1" x14ac:dyDescent="0.35">
      <c r="B80" s="42" t="s">
        <v>251</v>
      </c>
      <c r="C80" s="42" t="s">
        <v>252</v>
      </c>
      <c r="D80" s="42" t="s">
        <v>265</v>
      </c>
      <c r="E80" s="42" t="s">
        <v>266</v>
      </c>
      <c r="F80" s="43" t="s">
        <v>58</v>
      </c>
      <c r="G80" s="44" t="s">
        <v>58</v>
      </c>
      <c r="H80" s="42" t="s">
        <v>195</v>
      </c>
      <c r="I80" s="45" t="s">
        <v>70</v>
      </c>
      <c r="J80" s="42" t="s">
        <v>81</v>
      </c>
      <c r="K80" s="46" t="s">
        <v>58</v>
      </c>
      <c r="L80" s="46">
        <v>1</v>
      </c>
      <c r="M80" s="46">
        <v>1</v>
      </c>
      <c r="N80" s="42" t="s">
        <v>265</v>
      </c>
      <c r="O80" s="42" t="s">
        <v>63</v>
      </c>
    </row>
    <row r="81" spans="2:15" ht="23" customHeight="1" x14ac:dyDescent="0.35">
      <c r="B81" s="42" t="s">
        <v>251</v>
      </c>
      <c r="C81" s="42" t="s">
        <v>252</v>
      </c>
      <c r="D81" s="42" t="s">
        <v>267</v>
      </c>
      <c r="E81" s="42" t="s">
        <v>268</v>
      </c>
      <c r="F81" s="43">
        <v>40000</v>
      </c>
      <c r="G81" s="44">
        <v>40000</v>
      </c>
      <c r="H81" s="42" t="s">
        <v>69</v>
      </c>
      <c r="I81" s="45" t="s">
        <v>70</v>
      </c>
      <c r="J81" s="42" t="s">
        <v>81</v>
      </c>
      <c r="K81" s="46" t="s">
        <v>58</v>
      </c>
      <c r="L81" s="46">
        <v>1</v>
      </c>
      <c r="M81" s="46">
        <v>1</v>
      </c>
      <c r="N81" s="42" t="s">
        <v>267</v>
      </c>
      <c r="O81" s="42" t="s">
        <v>63</v>
      </c>
    </row>
    <row r="82" spans="2:15" ht="23" customHeight="1" x14ac:dyDescent="0.35">
      <c r="B82" s="42" t="s">
        <v>269</v>
      </c>
      <c r="C82" s="42" t="s">
        <v>270</v>
      </c>
      <c r="D82" s="42" t="s">
        <v>271</v>
      </c>
      <c r="E82" s="42" t="s">
        <v>1566</v>
      </c>
      <c r="F82" s="43">
        <v>4000000</v>
      </c>
      <c r="G82" s="44">
        <v>4000000</v>
      </c>
      <c r="H82" s="42" t="s">
        <v>59</v>
      </c>
      <c r="I82" s="45" t="s">
        <v>70</v>
      </c>
      <c r="J82" s="42" t="s">
        <v>94</v>
      </c>
      <c r="K82" s="46" t="s">
        <v>58</v>
      </c>
      <c r="L82" s="46" t="s">
        <v>58</v>
      </c>
      <c r="M82" s="46">
        <v>1</v>
      </c>
      <c r="N82" s="42" t="s">
        <v>271</v>
      </c>
      <c r="O82" s="42" t="s">
        <v>63</v>
      </c>
    </row>
    <row r="83" spans="2:15" ht="23" customHeight="1" x14ac:dyDescent="0.35">
      <c r="B83" s="42" t="s">
        <v>269</v>
      </c>
      <c r="C83" s="42" t="s">
        <v>55</v>
      </c>
      <c r="D83" s="42" t="s">
        <v>272</v>
      </c>
      <c r="E83" s="42" t="s">
        <v>273</v>
      </c>
      <c r="F83" s="43" t="s">
        <v>58</v>
      </c>
      <c r="G83" s="44" t="s">
        <v>58</v>
      </c>
      <c r="H83" s="42" t="s">
        <v>59</v>
      </c>
      <c r="I83" s="45" t="s">
        <v>274</v>
      </c>
      <c r="J83" s="42" t="s">
        <v>81</v>
      </c>
      <c r="K83" s="46">
        <v>1</v>
      </c>
      <c r="L83" s="46">
        <v>1</v>
      </c>
      <c r="M83" s="46">
        <v>1</v>
      </c>
      <c r="N83" s="42" t="s">
        <v>275</v>
      </c>
      <c r="O83" s="42" t="s">
        <v>63</v>
      </c>
    </row>
    <row r="84" spans="2:15" ht="23" customHeight="1" x14ac:dyDescent="0.35">
      <c r="B84" s="42" t="s">
        <v>269</v>
      </c>
      <c r="C84" s="42" t="s">
        <v>276</v>
      </c>
      <c r="D84" s="42" t="s">
        <v>277</v>
      </c>
      <c r="E84" s="47" t="s">
        <v>278</v>
      </c>
      <c r="F84" s="43">
        <v>600000</v>
      </c>
      <c r="G84" s="44">
        <v>600000</v>
      </c>
      <c r="H84" s="42" t="s">
        <v>59</v>
      </c>
      <c r="I84" s="45" t="s">
        <v>60</v>
      </c>
      <c r="J84" s="42" t="s">
        <v>81</v>
      </c>
      <c r="K84" s="46">
        <v>1</v>
      </c>
      <c r="L84" s="46">
        <v>1</v>
      </c>
      <c r="M84" s="46">
        <v>1</v>
      </c>
      <c r="N84" s="47" t="s">
        <v>279</v>
      </c>
      <c r="O84" s="42" t="s">
        <v>63</v>
      </c>
    </row>
    <row r="85" spans="2:15" ht="23" customHeight="1" x14ac:dyDescent="0.35">
      <c r="B85" s="42" t="s">
        <v>269</v>
      </c>
      <c r="C85" s="42" t="s">
        <v>55</v>
      </c>
      <c r="D85" s="42" t="s">
        <v>280</v>
      </c>
      <c r="E85" s="47" t="s">
        <v>281</v>
      </c>
      <c r="F85" s="43" t="s">
        <v>58</v>
      </c>
      <c r="G85" s="44" t="s">
        <v>58</v>
      </c>
      <c r="H85" s="42" t="s">
        <v>59</v>
      </c>
      <c r="I85" s="45" t="s">
        <v>60</v>
      </c>
      <c r="J85" s="42" t="s">
        <v>81</v>
      </c>
      <c r="K85" s="46">
        <v>1</v>
      </c>
      <c r="L85" s="46">
        <v>1</v>
      </c>
      <c r="M85" s="46">
        <v>1</v>
      </c>
      <c r="N85" s="42" t="s">
        <v>282</v>
      </c>
      <c r="O85" s="42" t="s">
        <v>63</v>
      </c>
    </row>
    <row r="86" spans="2:15" ht="23" customHeight="1" x14ac:dyDescent="0.35">
      <c r="B86" s="42" t="s">
        <v>269</v>
      </c>
      <c r="C86" s="42" t="s">
        <v>270</v>
      </c>
      <c r="D86" s="42" t="s">
        <v>283</v>
      </c>
      <c r="E86" s="42" t="s">
        <v>284</v>
      </c>
      <c r="F86" s="43">
        <v>40000</v>
      </c>
      <c r="G86" s="44">
        <v>40000</v>
      </c>
      <c r="H86" s="42" t="s">
        <v>59</v>
      </c>
      <c r="I86" s="45" t="s">
        <v>70</v>
      </c>
      <c r="J86" s="42" t="s">
        <v>81</v>
      </c>
      <c r="K86" s="46" t="s">
        <v>58</v>
      </c>
      <c r="L86" s="46">
        <v>1</v>
      </c>
      <c r="M86" s="46">
        <v>1</v>
      </c>
      <c r="N86" s="42" t="s">
        <v>283</v>
      </c>
      <c r="O86" s="42" t="s">
        <v>63</v>
      </c>
    </row>
    <row r="87" spans="2:15" ht="23" customHeight="1" x14ac:dyDescent="0.35">
      <c r="B87" s="42" t="s">
        <v>269</v>
      </c>
      <c r="C87" s="42" t="s">
        <v>55</v>
      </c>
      <c r="D87" s="42" t="s">
        <v>285</v>
      </c>
      <c r="E87" s="42" t="s">
        <v>286</v>
      </c>
      <c r="F87" s="43" t="s">
        <v>58</v>
      </c>
      <c r="G87" s="44" t="s">
        <v>58</v>
      </c>
      <c r="H87" s="42" t="s">
        <v>69</v>
      </c>
      <c r="I87" s="45" t="s">
        <v>70</v>
      </c>
      <c r="J87" s="42" t="s">
        <v>81</v>
      </c>
      <c r="K87" s="46">
        <v>1</v>
      </c>
      <c r="L87" s="46" t="s">
        <v>58</v>
      </c>
      <c r="M87" s="46">
        <v>1</v>
      </c>
      <c r="N87" s="42" t="s">
        <v>285</v>
      </c>
      <c r="O87" s="42" t="s">
        <v>63</v>
      </c>
    </row>
    <row r="88" spans="2:15" ht="23" customHeight="1" x14ac:dyDescent="0.35">
      <c r="B88" s="42" t="s">
        <v>269</v>
      </c>
      <c r="C88" s="42" t="s">
        <v>287</v>
      </c>
      <c r="D88" s="42" t="s">
        <v>288</v>
      </c>
      <c r="E88" s="42" t="s">
        <v>289</v>
      </c>
      <c r="F88" s="43">
        <v>40000000</v>
      </c>
      <c r="G88" s="44">
        <v>40000000</v>
      </c>
      <c r="H88" s="42" t="s">
        <v>69</v>
      </c>
      <c r="I88" s="45" t="s">
        <v>60</v>
      </c>
      <c r="J88" s="42" t="s">
        <v>81</v>
      </c>
      <c r="K88" s="46">
        <v>1</v>
      </c>
      <c r="L88" s="46">
        <v>1</v>
      </c>
      <c r="M88" s="46">
        <v>1</v>
      </c>
      <c r="N88" s="42" t="s">
        <v>290</v>
      </c>
      <c r="O88" s="42" t="s">
        <v>63</v>
      </c>
    </row>
    <row r="89" spans="2:15" ht="23" customHeight="1" x14ac:dyDescent="0.35">
      <c r="B89" s="42" t="s">
        <v>269</v>
      </c>
      <c r="C89" s="42" t="s">
        <v>270</v>
      </c>
      <c r="D89" s="42" t="s">
        <v>291</v>
      </c>
      <c r="E89" s="47" t="s">
        <v>1567</v>
      </c>
      <c r="F89" s="43">
        <v>88000</v>
      </c>
      <c r="G89" s="44">
        <v>88000</v>
      </c>
      <c r="H89" s="42" t="s">
        <v>69</v>
      </c>
      <c r="I89" s="45" t="s">
        <v>60</v>
      </c>
      <c r="J89" s="42" t="s">
        <v>81</v>
      </c>
      <c r="K89" s="46">
        <v>1</v>
      </c>
      <c r="L89" s="46">
        <v>1</v>
      </c>
      <c r="M89" s="46">
        <v>1</v>
      </c>
      <c r="N89" s="47" t="s">
        <v>1568</v>
      </c>
      <c r="O89" s="42" t="s">
        <v>63</v>
      </c>
    </row>
    <row r="90" spans="2:15" ht="23" customHeight="1" x14ac:dyDescent="0.35">
      <c r="B90" s="42" t="s">
        <v>269</v>
      </c>
      <c r="C90" s="42" t="s">
        <v>294</v>
      </c>
      <c r="D90" s="42" t="s">
        <v>295</v>
      </c>
      <c r="E90" s="42" t="s">
        <v>296</v>
      </c>
      <c r="F90" s="43">
        <v>790000</v>
      </c>
      <c r="G90" s="44">
        <v>790000</v>
      </c>
      <c r="H90" s="42" t="s">
        <v>69</v>
      </c>
      <c r="I90" s="45" t="s">
        <v>60</v>
      </c>
      <c r="J90" s="42" t="s">
        <v>81</v>
      </c>
      <c r="K90" s="46">
        <v>1</v>
      </c>
      <c r="L90" s="46">
        <v>1</v>
      </c>
      <c r="M90" s="46">
        <v>1</v>
      </c>
      <c r="N90" s="42" t="s">
        <v>297</v>
      </c>
      <c r="O90" s="42" t="s">
        <v>63</v>
      </c>
    </row>
    <row r="91" spans="2:15" ht="23" customHeight="1" x14ac:dyDescent="0.35">
      <c r="B91" s="42" t="s">
        <v>269</v>
      </c>
      <c r="C91" s="42" t="s">
        <v>270</v>
      </c>
      <c r="D91" s="42" t="s">
        <v>298</v>
      </c>
      <c r="E91" s="42" t="s">
        <v>299</v>
      </c>
      <c r="F91" s="43">
        <v>120000</v>
      </c>
      <c r="G91" s="44">
        <v>120000</v>
      </c>
      <c r="H91" s="42" t="s">
        <v>69</v>
      </c>
      <c r="I91" s="45" t="s">
        <v>70</v>
      </c>
      <c r="J91" s="42" t="s">
        <v>94</v>
      </c>
      <c r="K91" s="46">
        <v>1</v>
      </c>
      <c r="L91" s="46" t="s">
        <v>58</v>
      </c>
      <c r="M91" s="46">
        <v>1</v>
      </c>
      <c r="N91" s="42" t="s">
        <v>298</v>
      </c>
      <c r="O91" s="42" t="s">
        <v>63</v>
      </c>
    </row>
    <row r="92" spans="2:15" ht="23" customHeight="1" x14ac:dyDescent="0.35">
      <c r="B92" s="42" t="s">
        <v>269</v>
      </c>
      <c r="C92" s="42" t="s">
        <v>270</v>
      </c>
      <c r="D92" s="42" t="s">
        <v>300</v>
      </c>
      <c r="E92" s="42" t="s">
        <v>301</v>
      </c>
      <c r="F92" s="43">
        <v>1500000</v>
      </c>
      <c r="G92" s="44">
        <v>1500000</v>
      </c>
      <c r="H92" s="42" t="s">
        <v>69</v>
      </c>
      <c r="I92" s="45" t="s">
        <v>60</v>
      </c>
      <c r="J92" s="42" t="s">
        <v>81</v>
      </c>
      <c r="K92" s="46">
        <v>1</v>
      </c>
      <c r="L92" s="46">
        <v>1</v>
      </c>
      <c r="M92" s="46">
        <v>1</v>
      </c>
      <c r="N92" s="42" t="s">
        <v>302</v>
      </c>
      <c r="O92" s="42" t="s">
        <v>63</v>
      </c>
    </row>
    <row r="93" spans="2:15" ht="23" customHeight="1" x14ac:dyDescent="0.35">
      <c r="B93" s="42" t="s">
        <v>94</v>
      </c>
      <c r="C93" s="42" t="s">
        <v>303</v>
      </c>
      <c r="D93" s="42" t="s">
        <v>304</v>
      </c>
      <c r="E93" s="42" t="s">
        <v>305</v>
      </c>
      <c r="F93" s="43">
        <v>8000</v>
      </c>
      <c r="G93" s="44">
        <v>8000</v>
      </c>
      <c r="H93" s="42" t="s">
        <v>59</v>
      </c>
      <c r="I93" s="45" t="s">
        <v>70</v>
      </c>
      <c r="J93" s="42" t="s">
        <v>94</v>
      </c>
      <c r="K93" s="46" t="s">
        <v>58</v>
      </c>
      <c r="L93" s="46" t="s">
        <v>58</v>
      </c>
      <c r="M93" s="46">
        <v>1</v>
      </c>
      <c r="N93" s="42" t="s">
        <v>304</v>
      </c>
      <c r="O93" s="42" t="s">
        <v>63</v>
      </c>
    </row>
    <row r="94" spans="2:15" ht="23" customHeight="1" x14ac:dyDescent="0.35">
      <c r="B94" s="42" t="s">
        <v>94</v>
      </c>
      <c r="C94" s="42" t="s">
        <v>303</v>
      </c>
      <c r="D94" s="42" t="s">
        <v>306</v>
      </c>
      <c r="E94" s="42" t="s">
        <v>307</v>
      </c>
      <c r="F94" s="43">
        <v>50000</v>
      </c>
      <c r="G94" s="44">
        <v>50000</v>
      </c>
      <c r="H94" s="42" t="s">
        <v>59</v>
      </c>
      <c r="I94" s="45" t="s">
        <v>70</v>
      </c>
      <c r="J94" s="42" t="s">
        <v>94</v>
      </c>
      <c r="K94" s="46" t="s">
        <v>58</v>
      </c>
      <c r="L94" s="46" t="s">
        <v>58</v>
      </c>
      <c r="M94" s="46">
        <v>1</v>
      </c>
      <c r="N94" s="42" t="s">
        <v>306</v>
      </c>
      <c r="O94" s="42" t="s">
        <v>63</v>
      </c>
    </row>
    <row r="95" spans="2:15" ht="23" customHeight="1" x14ac:dyDescent="0.35">
      <c r="B95" s="42" t="s">
        <v>94</v>
      </c>
      <c r="C95" s="42" t="s">
        <v>308</v>
      </c>
      <c r="D95" s="42" t="s">
        <v>309</v>
      </c>
      <c r="E95" s="42" t="s">
        <v>310</v>
      </c>
      <c r="F95" s="43" t="s">
        <v>58</v>
      </c>
      <c r="G95" s="44" t="s">
        <v>58</v>
      </c>
      <c r="H95" s="42" t="s">
        <v>59</v>
      </c>
      <c r="I95" s="45" t="s">
        <v>70</v>
      </c>
      <c r="J95" s="42" t="s">
        <v>94</v>
      </c>
      <c r="K95" s="46" t="s">
        <v>58</v>
      </c>
      <c r="L95" s="46" t="s">
        <v>58</v>
      </c>
      <c r="M95" s="46">
        <v>1</v>
      </c>
      <c r="N95" s="42" t="s">
        <v>309</v>
      </c>
      <c r="O95" s="42" t="s">
        <v>63</v>
      </c>
    </row>
    <row r="96" spans="2:15" ht="23" customHeight="1" x14ac:dyDescent="0.35">
      <c r="B96" s="42" t="s">
        <v>94</v>
      </c>
      <c r="C96" s="42" t="s">
        <v>308</v>
      </c>
      <c r="D96" s="42" t="s">
        <v>311</v>
      </c>
      <c r="E96" s="42" t="s">
        <v>312</v>
      </c>
      <c r="F96" s="43">
        <v>50000</v>
      </c>
      <c r="G96" s="44">
        <v>50000</v>
      </c>
      <c r="H96" s="42" t="s">
        <v>59</v>
      </c>
      <c r="I96" s="45" t="s">
        <v>70</v>
      </c>
      <c r="J96" s="42" t="s">
        <v>94</v>
      </c>
      <c r="K96" s="46">
        <v>1</v>
      </c>
      <c r="L96" s="46" t="s">
        <v>58</v>
      </c>
      <c r="M96" s="46">
        <v>1</v>
      </c>
      <c r="N96" s="42" t="s">
        <v>311</v>
      </c>
      <c r="O96" s="42" t="s">
        <v>63</v>
      </c>
    </row>
    <row r="97" spans="2:15" ht="23" customHeight="1" x14ac:dyDescent="0.35">
      <c r="B97" s="42" t="s">
        <v>94</v>
      </c>
      <c r="C97" s="42" t="s">
        <v>308</v>
      </c>
      <c r="D97" s="42" t="s">
        <v>313</v>
      </c>
      <c r="E97" s="42" t="s">
        <v>314</v>
      </c>
      <c r="F97" s="43">
        <v>80000</v>
      </c>
      <c r="G97" s="44">
        <v>80000</v>
      </c>
      <c r="H97" s="42" t="s">
        <v>59</v>
      </c>
      <c r="I97" s="45" t="s">
        <v>60</v>
      </c>
      <c r="J97" s="42" t="s">
        <v>81</v>
      </c>
      <c r="K97" s="46">
        <v>1</v>
      </c>
      <c r="L97" s="46">
        <v>1</v>
      </c>
      <c r="M97" s="46">
        <v>1</v>
      </c>
      <c r="N97" s="42" t="s">
        <v>315</v>
      </c>
      <c r="O97" s="42" t="s">
        <v>63</v>
      </c>
    </row>
    <row r="98" spans="2:15" ht="23" customHeight="1" x14ac:dyDescent="0.35">
      <c r="B98" s="42" t="s">
        <v>94</v>
      </c>
      <c r="C98" s="42" t="s">
        <v>308</v>
      </c>
      <c r="D98" s="42" t="s">
        <v>316</v>
      </c>
      <c r="E98" s="42" t="s">
        <v>317</v>
      </c>
      <c r="F98" s="43">
        <v>1600</v>
      </c>
      <c r="G98" s="44">
        <v>1600</v>
      </c>
      <c r="H98" s="42" t="s">
        <v>59</v>
      </c>
      <c r="I98" s="45" t="s">
        <v>70</v>
      </c>
      <c r="J98" s="42" t="s">
        <v>81</v>
      </c>
      <c r="K98" s="46" t="s">
        <v>58</v>
      </c>
      <c r="L98" s="46">
        <v>1</v>
      </c>
      <c r="M98" s="46">
        <v>1</v>
      </c>
      <c r="N98" s="42" t="s">
        <v>316</v>
      </c>
      <c r="O98" s="42" t="s">
        <v>63</v>
      </c>
    </row>
    <row r="99" spans="2:15" ht="23" customHeight="1" x14ac:dyDescent="0.35">
      <c r="B99" s="42" t="s">
        <v>94</v>
      </c>
      <c r="C99" s="42" t="s">
        <v>318</v>
      </c>
      <c r="D99" s="42" t="s">
        <v>319</v>
      </c>
      <c r="E99" s="42" t="s">
        <v>320</v>
      </c>
      <c r="F99" s="43">
        <v>300000</v>
      </c>
      <c r="G99" s="44">
        <v>300000</v>
      </c>
      <c r="H99" s="42" t="s">
        <v>59</v>
      </c>
      <c r="I99" s="45" t="s">
        <v>70</v>
      </c>
      <c r="J99" s="42" t="s">
        <v>81</v>
      </c>
      <c r="K99" s="46" t="s">
        <v>58</v>
      </c>
      <c r="L99" s="46">
        <v>1</v>
      </c>
      <c r="M99" s="46">
        <v>1</v>
      </c>
      <c r="N99" s="42" t="s">
        <v>319</v>
      </c>
      <c r="O99" s="42" t="s">
        <v>63</v>
      </c>
    </row>
    <row r="100" spans="2:15" ht="23" customHeight="1" x14ac:dyDescent="0.35">
      <c r="B100" s="42" t="s">
        <v>94</v>
      </c>
      <c r="C100" s="42" t="s">
        <v>318</v>
      </c>
      <c r="D100" s="42" t="s">
        <v>321</v>
      </c>
      <c r="E100" s="42" t="s">
        <v>322</v>
      </c>
      <c r="F100" s="43">
        <v>80000000</v>
      </c>
      <c r="G100" s="44">
        <v>80000000</v>
      </c>
      <c r="H100" s="42" t="s">
        <v>59</v>
      </c>
      <c r="I100" s="45" t="s">
        <v>70</v>
      </c>
      <c r="J100" s="42" t="s">
        <v>94</v>
      </c>
      <c r="K100" s="46" t="s">
        <v>58</v>
      </c>
      <c r="L100" s="46" t="s">
        <v>58</v>
      </c>
      <c r="M100" s="46">
        <v>1</v>
      </c>
      <c r="N100" s="42" t="s">
        <v>321</v>
      </c>
      <c r="O100" s="42" t="s">
        <v>63</v>
      </c>
    </row>
    <row r="101" spans="2:15" ht="23" customHeight="1" x14ac:dyDescent="0.35">
      <c r="B101" s="42" t="s">
        <v>94</v>
      </c>
      <c r="C101" s="42" t="s">
        <v>303</v>
      </c>
      <c r="D101" s="42" t="s">
        <v>323</v>
      </c>
      <c r="E101" s="42" t="s">
        <v>324</v>
      </c>
      <c r="F101" s="43" t="s">
        <v>58</v>
      </c>
      <c r="G101" s="44" t="s">
        <v>58</v>
      </c>
      <c r="H101" s="42" t="s">
        <v>195</v>
      </c>
      <c r="I101" s="45" t="s">
        <v>148</v>
      </c>
      <c r="J101" s="42" t="s">
        <v>81</v>
      </c>
      <c r="K101" s="46">
        <v>0</v>
      </c>
      <c r="L101" s="46">
        <v>1</v>
      </c>
      <c r="M101" s="46">
        <v>1</v>
      </c>
      <c r="N101" s="42" t="s">
        <v>325</v>
      </c>
      <c r="O101" s="42" t="s">
        <v>63</v>
      </c>
    </row>
    <row r="102" spans="2:15" ht="23" customHeight="1" x14ac:dyDescent="0.35">
      <c r="B102" s="42" t="s">
        <v>94</v>
      </c>
      <c r="C102" s="42" t="s">
        <v>303</v>
      </c>
      <c r="D102" s="42" t="s">
        <v>326</v>
      </c>
      <c r="E102" s="42" t="s">
        <v>327</v>
      </c>
      <c r="F102" s="43">
        <v>30000</v>
      </c>
      <c r="G102" s="44">
        <v>30000</v>
      </c>
      <c r="H102" s="42" t="s">
        <v>195</v>
      </c>
      <c r="I102" s="45" t="s">
        <v>70</v>
      </c>
      <c r="J102" s="42" t="s">
        <v>94</v>
      </c>
      <c r="K102" s="46" t="s">
        <v>58</v>
      </c>
      <c r="L102" s="46" t="s">
        <v>58</v>
      </c>
      <c r="M102" s="46">
        <v>1</v>
      </c>
      <c r="N102" s="42" t="s">
        <v>326</v>
      </c>
      <c r="O102" s="42" t="s">
        <v>63</v>
      </c>
    </row>
    <row r="103" spans="2:15" ht="23" customHeight="1" x14ac:dyDescent="0.35">
      <c r="B103" s="42" t="s">
        <v>94</v>
      </c>
      <c r="C103" s="42" t="s">
        <v>318</v>
      </c>
      <c r="D103" s="42" t="s">
        <v>328</v>
      </c>
      <c r="E103" s="42" t="s">
        <v>329</v>
      </c>
      <c r="F103" s="43">
        <v>80000</v>
      </c>
      <c r="G103" s="44">
        <v>80000</v>
      </c>
      <c r="H103" s="42" t="s">
        <v>330</v>
      </c>
      <c r="I103" s="45" t="s">
        <v>70</v>
      </c>
      <c r="J103" s="42" t="s">
        <v>81</v>
      </c>
      <c r="K103" s="46" t="s">
        <v>58</v>
      </c>
      <c r="L103" s="46">
        <v>1</v>
      </c>
      <c r="M103" s="46">
        <v>1</v>
      </c>
      <c r="N103" s="42" t="s">
        <v>328</v>
      </c>
      <c r="O103" s="42" t="s">
        <v>63</v>
      </c>
    </row>
    <row r="104" spans="2:15" ht="23" customHeight="1" x14ac:dyDescent="0.35">
      <c r="B104" s="42" t="s">
        <v>94</v>
      </c>
      <c r="C104" s="42" t="s">
        <v>318</v>
      </c>
      <c r="D104" s="42" t="s">
        <v>331</v>
      </c>
      <c r="E104" s="42" t="s">
        <v>332</v>
      </c>
      <c r="F104" s="43">
        <v>41200</v>
      </c>
      <c r="G104" s="44">
        <v>41200</v>
      </c>
      <c r="H104" s="42" t="s">
        <v>69</v>
      </c>
      <c r="I104" s="45" t="s">
        <v>70</v>
      </c>
      <c r="J104" s="42" t="s">
        <v>94</v>
      </c>
      <c r="K104" s="46" t="s">
        <v>58</v>
      </c>
      <c r="L104" s="46" t="s">
        <v>58</v>
      </c>
      <c r="M104" s="46">
        <v>1</v>
      </c>
      <c r="N104" s="42" t="s">
        <v>331</v>
      </c>
      <c r="O104" s="42" t="s">
        <v>63</v>
      </c>
    </row>
    <row r="105" spans="2:15" ht="23" customHeight="1" x14ac:dyDescent="0.35">
      <c r="B105" s="42" t="s">
        <v>94</v>
      </c>
      <c r="C105" s="42" t="s">
        <v>318</v>
      </c>
      <c r="D105" s="42" t="s">
        <v>333</v>
      </c>
      <c r="E105" s="42" t="s">
        <v>334</v>
      </c>
      <c r="F105" s="43">
        <v>40000</v>
      </c>
      <c r="G105" s="44">
        <v>40000</v>
      </c>
      <c r="H105" s="42" t="s">
        <v>69</v>
      </c>
      <c r="I105" s="45" t="s">
        <v>70</v>
      </c>
      <c r="J105" s="42" t="s">
        <v>94</v>
      </c>
      <c r="K105" s="46" t="s">
        <v>58</v>
      </c>
      <c r="L105" s="46" t="s">
        <v>58</v>
      </c>
      <c r="M105" s="46">
        <v>1</v>
      </c>
      <c r="N105" s="42" t="s">
        <v>333</v>
      </c>
      <c r="O105" s="42" t="s">
        <v>63</v>
      </c>
    </row>
    <row r="106" spans="2:15" ht="23" customHeight="1" x14ac:dyDescent="0.35">
      <c r="B106" s="42" t="s">
        <v>94</v>
      </c>
      <c r="C106" s="42" t="s">
        <v>308</v>
      </c>
      <c r="D106" s="42" t="s">
        <v>335</v>
      </c>
      <c r="E106" s="42" t="s">
        <v>336</v>
      </c>
      <c r="F106" s="43">
        <v>5000000</v>
      </c>
      <c r="G106" s="44">
        <v>5000000</v>
      </c>
      <c r="H106" s="42" t="s">
        <v>69</v>
      </c>
      <c r="I106" s="45" t="s">
        <v>165</v>
      </c>
      <c r="J106" s="42" t="s">
        <v>81</v>
      </c>
      <c r="K106" s="46">
        <v>1</v>
      </c>
      <c r="L106" s="46">
        <v>1</v>
      </c>
      <c r="M106" s="46">
        <v>1</v>
      </c>
      <c r="N106" s="42" t="s">
        <v>337</v>
      </c>
      <c r="O106" s="42" t="s">
        <v>63</v>
      </c>
    </row>
    <row r="107" spans="2:15" ht="23" customHeight="1" x14ac:dyDescent="0.35">
      <c r="B107" s="42" t="s">
        <v>94</v>
      </c>
      <c r="C107" s="42" t="s">
        <v>308</v>
      </c>
      <c r="D107" s="42" t="s">
        <v>338</v>
      </c>
      <c r="E107" s="42" t="s">
        <v>339</v>
      </c>
      <c r="F107" s="43">
        <v>12000</v>
      </c>
      <c r="G107" s="44">
        <v>12000</v>
      </c>
      <c r="H107" s="42" t="s">
        <v>69</v>
      </c>
      <c r="I107" s="45" t="s">
        <v>70</v>
      </c>
      <c r="J107" s="42" t="s">
        <v>94</v>
      </c>
      <c r="K107" s="46">
        <v>1</v>
      </c>
      <c r="L107" s="46" t="s">
        <v>58</v>
      </c>
      <c r="M107" s="46">
        <v>1</v>
      </c>
      <c r="N107" s="42" t="s">
        <v>338</v>
      </c>
      <c r="O107" s="42" t="s">
        <v>63</v>
      </c>
    </row>
    <row r="108" spans="2:15" ht="23" customHeight="1" x14ac:dyDescent="0.35">
      <c r="B108" s="42" t="s">
        <v>94</v>
      </c>
      <c r="C108" s="42" t="s">
        <v>318</v>
      </c>
      <c r="D108" s="42" t="s">
        <v>340</v>
      </c>
      <c r="E108" s="42" t="s">
        <v>341</v>
      </c>
      <c r="F108" s="43">
        <v>10000</v>
      </c>
      <c r="G108" s="44">
        <v>10000</v>
      </c>
      <c r="H108" s="42" t="s">
        <v>69</v>
      </c>
      <c r="I108" s="45" t="s">
        <v>70</v>
      </c>
      <c r="J108" s="42" t="s">
        <v>94</v>
      </c>
      <c r="K108" s="46" t="s">
        <v>58</v>
      </c>
      <c r="L108" s="46" t="s">
        <v>58</v>
      </c>
      <c r="M108" s="46">
        <v>1</v>
      </c>
      <c r="N108" s="42" t="s">
        <v>340</v>
      </c>
      <c r="O108" s="42" t="s">
        <v>63</v>
      </c>
    </row>
    <row r="109" spans="2:15" ht="23" customHeight="1" x14ac:dyDescent="0.35">
      <c r="B109" s="42" t="s">
        <v>94</v>
      </c>
      <c r="C109" s="42" t="s">
        <v>318</v>
      </c>
      <c r="D109" s="42" t="s">
        <v>342</v>
      </c>
      <c r="E109" s="42" t="s">
        <v>343</v>
      </c>
      <c r="F109" s="43">
        <v>350000</v>
      </c>
      <c r="G109" s="44">
        <v>350000</v>
      </c>
      <c r="H109" s="42" t="s">
        <v>69</v>
      </c>
      <c r="I109" s="45" t="s">
        <v>70</v>
      </c>
      <c r="J109" s="42" t="s">
        <v>94</v>
      </c>
      <c r="K109" s="46" t="s">
        <v>58</v>
      </c>
      <c r="L109" s="46" t="s">
        <v>58</v>
      </c>
      <c r="M109" s="46">
        <v>1</v>
      </c>
      <c r="N109" s="42" t="s">
        <v>342</v>
      </c>
      <c r="O109" s="42" t="s">
        <v>63</v>
      </c>
    </row>
    <row r="110" spans="2:15" ht="23" customHeight="1" x14ac:dyDescent="0.35">
      <c r="B110" s="42" t="s">
        <v>94</v>
      </c>
      <c r="C110" s="42" t="s">
        <v>308</v>
      </c>
      <c r="D110" s="42" t="s">
        <v>344</v>
      </c>
      <c r="E110" s="42" t="s">
        <v>345</v>
      </c>
      <c r="F110" s="43">
        <v>1600000</v>
      </c>
      <c r="G110" s="44">
        <v>1600000</v>
      </c>
      <c r="H110" s="42" t="s">
        <v>69</v>
      </c>
      <c r="I110" s="45" t="s">
        <v>60</v>
      </c>
      <c r="J110" s="42" t="s">
        <v>81</v>
      </c>
      <c r="K110" s="46">
        <v>1</v>
      </c>
      <c r="L110" s="46">
        <v>1</v>
      </c>
      <c r="M110" s="46">
        <v>1</v>
      </c>
      <c r="N110" s="42" t="s">
        <v>346</v>
      </c>
      <c r="O110" s="42" t="s">
        <v>63</v>
      </c>
    </row>
    <row r="111" spans="2:15" ht="23" customHeight="1" x14ac:dyDescent="0.35">
      <c r="B111" s="42" t="s">
        <v>347</v>
      </c>
      <c r="C111" s="42" t="s">
        <v>348</v>
      </c>
      <c r="D111" s="42" t="s">
        <v>349</v>
      </c>
      <c r="E111" s="42" t="s">
        <v>350</v>
      </c>
      <c r="F111" s="43">
        <v>60000</v>
      </c>
      <c r="G111" s="44">
        <v>60000</v>
      </c>
      <c r="H111" s="42" t="s">
        <v>59</v>
      </c>
      <c r="I111" s="45" t="s">
        <v>60</v>
      </c>
      <c r="J111" s="42" t="s">
        <v>61</v>
      </c>
      <c r="K111" s="46">
        <v>1</v>
      </c>
      <c r="L111" s="46">
        <v>1</v>
      </c>
      <c r="M111" s="46">
        <v>1</v>
      </c>
      <c r="N111" s="42" t="s">
        <v>351</v>
      </c>
      <c r="O111" s="42" t="s">
        <v>63</v>
      </c>
    </row>
    <row r="112" spans="2:15" ht="23" customHeight="1" x14ac:dyDescent="0.35">
      <c r="B112" s="42" t="s">
        <v>347</v>
      </c>
      <c r="C112" s="42" t="s">
        <v>348</v>
      </c>
      <c r="D112" s="42" t="s">
        <v>352</v>
      </c>
      <c r="E112" s="42" t="s">
        <v>353</v>
      </c>
      <c r="F112" s="43">
        <v>35000000</v>
      </c>
      <c r="G112" s="44">
        <v>35000000</v>
      </c>
      <c r="H112" s="42" t="s">
        <v>59</v>
      </c>
      <c r="I112" s="45" t="s">
        <v>70</v>
      </c>
      <c r="J112" s="42" t="s">
        <v>94</v>
      </c>
      <c r="K112" s="46" t="s">
        <v>58</v>
      </c>
      <c r="L112" s="46" t="s">
        <v>58</v>
      </c>
      <c r="M112" s="46">
        <v>1</v>
      </c>
      <c r="N112" s="42" t="s">
        <v>352</v>
      </c>
      <c r="O112" s="42" t="s">
        <v>63</v>
      </c>
    </row>
    <row r="113" spans="1:15" ht="23" customHeight="1" x14ac:dyDescent="0.35">
      <c r="B113" s="42" t="s">
        <v>347</v>
      </c>
      <c r="C113" s="42" t="s">
        <v>348</v>
      </c>
      <c r="D113" s="42" t="s">
        <v>354</v>
      </c>
      <c r="E113" s="42" t="s">
        <v>355</v>
      </c>
      <c r="F113" s="43">
        <v>400000</v>
      </c>
      <c r="G113" s="44">
        <v>400000</v>
      </c>
      <c r="H113" s="42" t="s">
        <v>59</v>
      </c>
      <c r="I113" s="45" t="s">
        <v>70</v>
      </c>
      <c r="J113" s="42" t="s">
        <v>61</v>
      </c>
      <c r="K113" s="46">
        <v>1</v>
      </c>
      <c r="L113" s="46" t="s">
        <v>58</v>
      </c>
      <c r="M113" s="46">
        <v>1</v>
      </c>
      <c r="N113" s="42" t="s">
        <v>354</v>
      </c>
      <c r="O113" s="42" t="s">
        <v>63</v>
      </c>
    </row>
    <row r="114" spans="1:15" ht="23" customHeight="1" x14ac:dyDescent="0.35">
      <c r="B114" s="42" t="s">
        <v>347</v>
      </c>
      <c r="C114" s="42" t="s">
        <v>348</v>
      </c>
      <c r="D114" s="42" t="s">
        <v>356</v>
      </c>
      <c r="E114" s="42" t="s">
        <v>357</v>
      </c>
      <c r="F114" s="43">
        <v>1000000</v>
      </c>
      <c r="G114" s="44">
        <v>1000000</v>
      </c>
      <c r="H114" s="42" t="s">
        <v>59</v>
      </c>
      <c r="I114" s="45" t="s">
        <v>70</v>
      </c>
      <c r="J114" s="42" t="s">
        <v>61</v>
      </c>
      <c r="K114" s="46" t="s">
        <v>58</v>
      </c>
      <c r="L114" s="46">
        <v>1</v>
      </c>
      <c r="M114" s="46">
        <v>1</v>
      </c>
      <c r="N114" s="42" t="s">
        <v>356</v>
      </c>
      <c r="O114" s="42" t="s">
        <v>63</v>
      </c>
    </row>
    <row r="115" spans="1:15" ht="23" customHeight="1" x14ac:dyDescent="0.35">
      <c r="B115" s="42" t="s">
        <v>347</v>
      </c>
      <c r="C115" s="42" t="s">
        <v>348</v>
      </c>
      <c r="D115" s="42" t="s">
        <v>358</v>
      </c>
      <c r="E115" s="42" t="s">
        <v>359</v>
      </c>
      <c r="F115" s="43">
        <v>8000</v>
      </c>
      <c r="G115" s="44">
        <v>8000</v>
      </c>
      <c r="H115" s="42" t="s">
        <v>195</v>
      </c>
      <c r="I115" s="45" t="s">
        <v>60</v>
      </c>
      <c r="J115" s="42" t="s">
        <v>61</v>
      </c>
      <c r="K115" s="46">
        <v>1</v>
      </c>
      <c r="L115" s="46">
        <v>1</v>
      </c>
      <c r="M115" s="46">
        <v>1</v>
      </c>
      <c r="N115" s="42" t="s">
        <v>360</v>
      </c>
      <c r="O115" s="42" t="s">
        <v>63</v>
      </c>
    </row>
    <row r="116" spans="1:15" ht="23" customHeight="1" x14ac:dyDescent="0.35">
      <c r="B116" s="48" t="s">
        <v>347</v>
      </c>
      <c r="C116" s="48" t="s">
        <v>348</v>
      </c>
      <c r="D116" s="48" t="s">
        <v>361</v>
      </c>
      <c r="E116" s="48" t="s">
        <v>362</v>
      </c>
      <c r="F116" s="49">
        <v>1000000</v>
      </c>
      <c r="G116" s="50">
        <v>1000000</v>
      </c>
      <c r="H116" s="48" t="s">
        <v>69</v>
      </c>
      <c r="I116" s="51" t="s">
        <v>70</v>
      </c>
      <c r="J116" s="48" t="s">
        <v>94</v>
      </c>
      <c r="K116" s="52" t="s">
        <v>58</v>
      </c>
      <c r="L116" s="52">
        <v>1</v>
      </c>
      <c r="M116" s="52">
        <v>1</v>
      </c>
      <c r="N116" s="48" t="s">
        <v>361</v>
      </c>
      <c r="O116" s="42" t="s">
        <v>63</v>
      </c>
    </row>
    <row r="117" spans="1:15" ht="23" customHeight="1" x14ac:dyDescent="0.35">
      <c r="A117" s="31" t="s">
        <v>363</v>
      </c>
      <c r="B117" s="42" t="s">
        <v>114</v>
      </c>
      <c r="C117" s="42" t="s">
        <v>364</v>
      </c>
      <c r="D117" s="42" t="s">
        <v>365</v>
      </c>
      <c r="E117" s="42" t="s">
        <v>366</v>
      </c>
      <c r="F117" s="50">
        <v>116000000</v>
      </c>
      <c r="G117" s="50">
        <v>116000000</v>
      </c>
      <c r="H117" s="48" t="s">
        <v>69</v>
      </c>
      <c r="I117" s="51" t="s">
        <v>70</v>
      </c>
      <c r="J117" s="42" t="s">
        <v>61</v>
      </c>
      <c r="K117" s="46" t="s">
        <v>58</v>
      </c>
      <c r="L117" s="46" t="s">
        <v>58</v>
      </c>
      <c r="M117" s="46">
        <v>1</v>
      </c>
      <c r="N117" s="42" t="s">
        <v>367</v>
      </c>
      <c r="O117" s="42" t="s">
        <v>368</v>
      </c>
    </row>
    <row r="118" spans="1:15" ht="23" customHeight="1" x14ac:dyDescent="0.35">
      <c r="A118" s="32"/>
      <c r="B118" s="42" t="s">
        <v>114</v>
      </c>
      <c r="C118" s="42" t="s">
        <v>369</v>
      </c>
      <c r="D118" s="42" t="s">
        <v>370</v>
      </c>
      <c r="E118" s="42" t="s">
        <v>371</v>
      </c>
      <c r="F118" s="50">
        <v>70800000</v>
      </c>
      <c r="G118" s="50">
        <v>70800000</v>
      </c>
      <c r="H118" s="48" t="s">
        <v>69</v>
      </c>
      <c r="I118" s="51" t="s">
        <v>70</v>
      </c>
      <c r="J118" s="42" t="s">
        <v>61</v>
      </c>
      <c r="K118" s="46" t="s">
        <v>58</v>
      </c>
      <c r="L118" s="46" t="s">
        <v>58</v>
      </c>
      <c r="M118" s="46">
        <v>1</v>
      </c>
      <c r="N118" s="42" t="s">
        <v>372</v>
      </c>
      <c r="O118" s="42" t="s">
        <v>368</v>
      </c>
    </row>
    <row r="119" spans="1:15" ht="23" customHeight="1" x14ac:dyDescent="0.35">
      <c r="A119" s="32"/>
      <c r="B119" s="42" t="s">
        <v>114</v>
      </c>
      <c r="C119" s="42" t="s">
        <v>127</v>
      </c>
      <c r="D119" s="42" t="s">
        <v>373</v>
      </c>
      <c r="E119" s="42" t="s">
        <v>374</v>
      </c>
      <c r="F119" s="50">
        <v>1509137000</v>
      </c>
      <c r="G119" s="50">
        <v>1509137000</v>
      </c>
      <c r="H119" s="48" t="s">
        <v>69</v>
      </c>
      <c r="I119" s="51" t="s">
        <v>70</v>
      </c>
      <c r="J119" s="42" t="s">
        <v>61</v>
      </c>
      <c r="K119" s="46" t="s">
        <v>58</v>
      </c>
      <c r="L119" s="46" t="s">
        <v>58</v>
      </c>
      <c r="M119" s="46">
        <v>1</v>
      </c>
      <c r="N119" s="42" t="s">
        <v>375</v>
      </c>
      <c r="O119" s="42" t="s">
        <v>368</v>
      </c>
    </row>
    <row r="120" spans="1:15" ht="23" customHeight="1" x14ac:dyDescent="0.35">
      <c r="A120" s="32"/>
      <c r="B120" s="42" t="s">
        <v>114</v>
      </c>
      <c r="C120" s="42" t="s">
        <v>376</v>
      </c>
      <c r="D120" s="42" t="s">
        <v>123</v>
      </c>
      <c r="E120" s="42" t="s">
        <v>377</v>
      </c>
      <c r="F120" s="50">
        <v>117000000</v>
      </c>
      <c r="G120" s="50">
        <v>117000000</v>
      </c>
      <c r="H120" s="48" t="s">
        <v>69</v>
      </c>
      <c r="I120" s="51" t="s">
        <v>70</v>
      </c>
      <c r="J120" s="42" t="s">
        <v>61</v>
      </c>
      <c r="K120" s="46" t="s">
        <v>58</v>
      </c>
      <c r="L120" s="46" t="s">
        <v>58</v>
      </c>
      <c r="M120" s="46">
        <v>1</v>
      </c>
      <c r="N120" s="42" t="s">
        <v>378</v>
      </c>
      <c r="O120" s="42" t="s">
        <v>368</v>
      </c>
    </row>
    <row r="121" spans="1:15" ht="23" customHeight="1" x14ac:dyDescent="0.35">
      <c r="A121" s="32"/>
      <c r="B121" s="42" t="s">
        <v>114</v>
      </c>
      <c r="C121" s="42" t="s">
        <v>119</v>
      </c>
      <c r="D121" s="42" t="s">
        <v>379</v>
      </c>
      <c r="E121" s="42" t="s">
        <v>380</v>
      </c>
      <c r="F121" s="50" t="s">
        <v>70</v>
      </c>
      <c r="G121" s="50" t="s">
        <v>70</v>
      </c>
      <c r="H121" s="48" t="s">
        <v>69</v>
      </c>
      <c r="I121" s="51" t="s">
        <v>70</v>
      </c>
      <c r="J121" s="42" t="s">
        <v>61</v>
      </c>
      <c r="K121" s="46" t="s">
        <v>58</v>
      </c>
      <c r="L121" s="46" t="s">
        <v>58</v>
      </c>
      <c r="M121" s="46">
        <v>1</v>
      </c>
      <c r="N121" s="42" t="s">
        <v>381</v>
      </c>
      <c r="O121" s="42" t="s">
        <v>368</v>
      </c>
    </row>
    <row r="122" spans="1:15" ht="23" customHeight="1" x14ac:dyDescent="0.35">
      <c r="A122" s="32"/>
      <c r="B122" s="42" t="s">
        <v>55</v>
      </c>
      <c r="C122" s="42" t="s">
        <v>382</v>
      </c>
      <c r="D122" s="42" t="s">
        <v>383</v>
      </c>
      <c r="E122" s="42" t="s">
        <v>384</v>
      </c>
      <c r="F122" s="50">
        <v>3810460</v>
      </c>
      <c r="G122" s="50">
        <v>3810460</v>
      </c>
      <c r="H122" s="48" t="s">
        <v>69</v>
      </c>
      <c r="I122" s="51" t="s">
        <v>70</v>
      </c>
      <c r="J122" s="42" t="s">
        <v>61</v>
      </c>
      <c r="K122" s="46" t="s">
        <v>58</v>
      </c>
      <c r="L122" s="46" t="s">
        <v>58</v>
      </c>
      <c r="M122" s="46">
        <v>1</v>
      </c>
      <c r="N122" s="42" t="s">
        <v>385</v>
      </c>
      <c r="O122" s="42" t="s">
        <v>368</v>
      </c>
    </row>
    <row r="123" spans="1:15" ht="23" customHeight="1" x14ac:dyDescent="0.35">
      <c r="A123" s="32"/>
      <c r="B123" s="42" t="s">
        <v>55</v>
      </c>
      <c r="C123" s="42" t="s">
        <v>382</v>
      </c>
      <c r="D123" s="42" t="s">
        <v>386</v>
      </c>
      <c r="E123" s="42" t="s">
        <v>387</v>
      </c>
      <c r="F123" s="50">
        <v>66509314</v>
      </c>
      <c r="G123" s="50">
        <v>66509314</v>
      </c>
      <c r="H123" s="48" t="s">
        <v>69</v>
      </c>
      <c r="I123" s="51" t="s">
        <v>70</v>
      </c>
      <c r="J123" s="42" t="s">
        <v>61</v>
      </c>
      <c r="K123" s="46" t="s">
        <v>58</v>
      </c>
      <c r="L123" s="46" t="s">
        <v>58</v>
      </c>
      <c r="M123" s="46">
        <v>1</v>
      </c>
      <c r="N123" s="42" t="s">
        <v>385</v>
      </c>
      <c r="O123" s="42" t="s">
        <v>368</v>
      </c>
    </row>
    <row r="124" spans="1:15" ht="23" customHeight="1" x14ac:dyDescent="0.35">
      <c r="A124" s="32"/>
      <c r="B124" s="42" t="s">
        <v>217</v>
      </c>
      <c r="C124" s="42" t="s">
        <v>388</v>
      </c>
      <c r="D124" s="42" t="s">
        <v>389</v>
      </c>
      <c r="E124" s="42" t="s">
        <v>390</v>
      </c>
      <c r="F124" s="50" t="s">
        <v>70</v>
      </c>
      <c r="G124" s="50" t="s">
        <v>70</v>
      </c>
      <c r="H124" s="48" t="s">
        <v>69</v>
      </c>
      <c r="I124" s="51" t="s">
        <v>70</v>
      </c>
      <c r="J124" s="42" t="s">
        <v>61</v>
      </c>
      <c r="K124" s="46" t="s">
        <v>58</v>
      </c>
      <c r="L124" s="46" t="s">
        <v>58</v>
      </c>
      <c r="M124" s="46">
        <v>1</v>
      </c>
      <c r="N124" s="42" t="s">
        <v>391</v>
      </c>
      <c r="O124" s="42" t="s">
        <v>368</v>
      </c>
    </row>
    <row r="125" spans="1:15" ht="23" customHeight="1" x14ac:dyDescent="0.35">
      <c r="A125" s="32"/>
      <c r="B125" s="42" t="s">
        <v>223</v>
      </c>
      <c r="C125" s="42" t="s">
        <v>224</v>
      </c>
      <c r="D125" s="42" t="s">
        <v>392</v>
      </c>
      <c r="E125" s="42" t="s">
        <v>393</v>
      </c>
      <c r="F125" s="50">
        <v>410447.57</v>
      </c>
      <c r="G125" s="50">
        <v>410447.57</v>
      </c>
      <c r="H125" s="48" t="s">
        <v>69</v>
      </c>
      <c r="I125" s="51" t="s">
        <v>70</v>
      </c>
      <c r="J125" s="42" t="s">
        <v>61</v>
      </c>
      <c r="K125" s="46" t="s">
        <v>58</v>
      </c>
      <c r="L125" s="46" t="s">
        <v>58</v>
      </c>
      <c r="M125" s="46">
        <v>1</v>
      </c>
      <c r="N125" s="42" t="s">
        <v>394</v>
      </c>
      <c r="O125" s="42" t="s">
        <v>368</v>
      </c>
    </row>
    <row r="126" spans="1:15" ht="23" customHeight="1" x14ac:dyDescent="0.35">
      <c r="A126" s="32"/>
      <c r="B126" s="42" t="s">
        <v>223</v>
      </c>
      <c r="C126" s="42" t="s">
        <v>224</v>
      </c>
      <c r="D126" s="42" t="s">
        <v>395</v>
      </c>
      <c r="E126" s="42" t="s">
        <v>396</v>
      </c>
      <c r="F126" s="50">
        <v>106086</v>
      </c>
      <c r="G126" s="50">
        <v>106086</v>
      </c>
      <c r="H126" s="48" t="s">
        <v>69</v>
      </c>
      <c r="I126" s="51" t="s">
        <v>70</v>
      </c>
      <c r="J126" s="42" t="s">
        <v>61</v>
      </c>
      <c r="K126" s="46" t="s">
        <v>58</v>
      </c>
      <c r="L126" s="46" t="s">
        <v>58</v>
      </c>
      <c r="M126" s="46">
        <v>1</v>
      </c>
      <c r="N126" s="42" t="s">
        <v>394</v>
      </c>
      <c r="O126" s="42" t="s">
        <v>368</v>
      </c>
    </row>
    <row r="127" spans="1:15" ht="23" customHeight="1" x14ac:dyDescent="0.35">
      <c r="A127" s="32"/>
      <c r="B127" s="42" t="s">
        <v>223</v>
      </c>
      <c r="C127" s="42" t="s">
        <v>224</v>
      </c>
      <c r="D127" s="42" t="s">
        <v>397</v>
      </c>
      <c r="E127" s="42" t="s">
        <v>396</v>
      </c>
      <c r="F127" s="50">
        <v>89801</v>
      </c>
      <c r="G127" s="50">
        <v>89801</v>
      </c>
      <c r="H127" s="48" t="s">
        <v>69</v>
      </c>
      <c r="I127" s="51" t="s">
        <v>70</v>
      </c>
      <c r="J127" s="42" t="s">
        <v>61</v>
      </c>
      <c r="K127" s="46" t="s">
        <v>58</v>
      </c>
      <c r="L127" s="46" t="s">
        <v>58</v>
      </c>
      <c r="M127" s="46">
        <v>1</v>
      </c>
      <c r="N127" s="42" t="s">
        <v>394</v>
      </c>
      <c r="O127" s="42" t="s">
        <v>368</v>
      </c>
    </row>
    <row r="128" spans="1:15" ht="23" customHeight="1" x14ac:dyDescent="0.35">
      <c r="A128" s="33"/>
      <c r="B128" s="48" t="s">
        <v>347</v>
      </c>
      <c r="C128" s="48" t="s">
        <v>398</v>
      </c>
      <c r="D128" s="48" t="s">
        <v>399</v>
      </c>
      <c r="E128" s="48" t="s">
        <v>400</v>
      </c>
      <c r="F128" s="49">
        <v>671141528.15999997</v>
      </c>
      <c r="G128" s="49">
        <v>671141528.15999997</v>
      </c>
      <c r="H128" s="48" t="s">
        <v>69</v>
      </c>
      <c r="I128" s="48" t="s">
        <v>70</v>
      </c>
      <c r="J128" s="48" t="s">
        <v>61</v>
      </c>
      <c r="K128" s="52" t="s">
        <v>58</v>
      </c>
      <c r="L128" s="52" t="s">
        <v>58</v>
      </c>
      <c r="M128" s="52">
        <v>1</v>
      </c>
      <c r="N128" s="48" t="s">
        <v>401</v>
      </c>
      <c r="O128" s="48" t="s">
        <v>402</v>
      </c>
    </row>
    <row r="129" spans="1:15" ht="23" customHeight="1" x14ac:dyDescent="0.35">
      <c r="A129" s="34" t="s">
        <v>403</v>
      </c>
      <c r="B129" s="42" t="s">
        <v>404</v>
      </c>
      <c r="C129" s="42" t="s">
        <v>404</v>
      </c>
      <c r="D129" s="42" t="s">
        <v>405</v>
      </c>
      <c r="E129" s="42" t="s">
        <v>406</v>
      </c>
      <c r="F129" s="43">
        <v>18351769.600000001</v>
      </c>
      <c r="G129" s="43">
        <v>18351769.600000001</v>
      </c>
      <c r="H129" s="42" t="s">
        <v>69</v>
      </c>
      <c r="I129" s="42" t="s">
        <v>70</v>
      </c>
      <c r="J129" s="42" t="s">
        <v>81</v>
      </c>
      <c r="K129" s="46" t="s">
        <v>58</v>
      </c>
      <c r="L129" s="46" t="s">
        <v>58</v>
      </c>
      <c r="M129" s="46">
        <v>1</v>
      </c>
      <c r="N129" s="42" t="s">
        <v>407</v>
      </c>
      <c r="O129" s="42" t="s">
        <v>402</v>
      </c>
    </row>
    <row r="130" spans="1:15" ht="23" customHeight="1" x14ac:dyDescent="0.35">
      <c r="A130" s="34"/>
      <c r="B130" s="42" t="s">
        <v>408</v>
      </c>
      <c r="C130" s="42" t="s">
        <v>408</v>
      </c>
      <c r="D130" s="42" t="s">
        <v>405</v>
      </c>
      <c r="E130" s="42" t="s">
        <v>406</v>
      </c>
      <c r="F130" s="43">
        <v>2324847.9900000002</v>
      </c>
      <c r="G130" s="43">
        <v>2324847.9900000002</v>
      </c>
      <c r="H130" s="42" t="s">
        <v>409</v>
      </c>
      <c r="I130" s="42" t="s">
        <v>70</v>
      </c>
      <c r="J130" s="42" t="s">
        <v>81</v>
      </c>
      <c r="K130" s="46" t="s">
        <v>58</v>
      </c>
      <c r="L130" s="46" t="s">
        <v>58</v>
      </c>
      <c r="M130" s="46">
        <v>1</v>
      </c>
      <c r="N130" s="42" t="s">
        <v>407</v>
      </c>
      <c r="O130" s="42" t="s">
        <v>402</v>
      </c>
    </row>
    <row r="131" spans="1:15" ht="23" customHeight="1" x14ac:dyDescent="0.35">
      <c r="A131" s="34"/>
      <c r="B131" s="42" t="s">
        <v>204</v>
      </c>
      <c r="C131" s="42" t="s">
        <v>204</v>
      </c>
      <c r="D131" s="42" t="s">
        <v>405</v>
      </c>
      <c r="E131" s="42" t="s">
        <v>406</v>
      </c>
      <c r="F131" s="43">
        <v>74262070.209999993</v>
      </c>
      <c r="G131" s="43">
        <v>74262070.209999993</v>
      </c>
      <c r="H131" s="42" t="s">
        <v>410</v>
      </c>
      <c r="I131" s="42" t="s">
        <v>70</v>
      </c>
      <c r="J131" s="42" t="s">
        <v>81</v>
      </c>
      <c r="K131" s="46" t="s">
        <v>58</v>
      </c>
      <c r="L131" s="46" t="s">
        <v>58</v>
      </c>
      <c r="M131" s="46">
        <v>1</v>
      </c>
      <c r="N131" s="42" t="s">
        <v>407</v>
      </c>
      <c r="O131" s="42" t="s">
        <v>402</v>
      </c>
    </row>
    <row r="132" spans="1:15" ht="23" customHeight="1" x14ac:dyDescent="0.35">
      <c r="A132" s="34"/>
      <c r="B132" s="42" t="s">
        <v>170</v>
      </c>
      <c r="C132" s="42" t="s">
        <v>170</v>
      </c>
      <c r="D132" s="42" t="s">
        <v>405</v>
      </c>
      <c r="E132" s="42" t="s">
        <v>406</v>
      </c>
      <c r="F132" s="43">
        <v>6198400</v>
      </c>
      <c r="G132" s="43">
        <v>6198400</v>
      </c>
      <c r="H132" s="42" t="s">
        <v>411</v>
      </c>
      <c r="I132" s="42" t="s">
        <v>70</v>
      </c>
      <c r="J132" s="42" t="s">
        <v>81</v>
      </c>
      <c r="K132" s="46" t="s">
        <v>58</v>
      </c>
      <c r="L132" s="46" t="s">
        <v>58</v>
      </c>
      <c r="M132" s="46">
        <v>1</v>
      </c>
      <c r="N132" s="42" t="s">
        <v>407</v>
      </c>
      <c r="O132" s="42" t="s">
        <v>402</v>
      </c>
    </row>
    <row r="133" spans="1:15" ht="23" customHeight="1" x14ac:dyDescent="0.35">
      <c r="A133" s="34"/>
      <c r="B133" s="42" t="s">
        <v>412</v>
      </c>
      <c r="C133" s="42" t="s">
        <v>412</v>
      </c>
      <c r="D133" s="42" t="s">
        <v>405</v>
      </c>
      <c r="E133" s="42" t="s">
        <v>406</v>
      </c>
      <c r="F133" s="43">
        <v>879922</v>
      </c>
      <c r="G133" s="43">
        <v>879922</v>
      </c>
      <c r="H133" s="42" t="s">
        <v>413</v>
      </c>
      <c r="I133" s="42" t="s">
        <v>70</v>
      </c>
      <c r="J133" s="42" t="s">
        <v>81</v>
      </c>
      <c r="K133" s="46" t="s">
        <v>58</v>
      </c>
      <c r="L133" s="46" t="s">
        <v>58</v>
      </c>
      <c r="M133" s="46">
        <v>1</v>
      </c>
      <c r="N133" s="42" t="s">
        <v>407</v>
      </c>
      <c r="O133" s="42" t="s">
        <v>402</v>
      </c>
    </row>
    <row r="134" spans="1:15" ht="23" customHeight="1" x14ac:dyDescent="0.35">
      <c r="A134" s="34"/>
      <c r="B134" s="42" t="s">
        <v>251</v>
      </c>
      <c r="C134" s="42" t="s">
        <v>251</v>
      </c>
      <c r="D134" s="42" t="s">
        <v>405</v>
      </c>
      <c r="E134" s="42" t="s">
        <v>406</v>
      </c>
      <c r="F134" s="43">
        <v>778606.4</v>
      </c>
      <c r="G134" s="43">
        <v>778606.4</v>
      </c>
      <c r="H134" s="42" t="s">
        <v>414</v>
      </c>
      <c r="I134" s="42" t="s">
        <v>70</v>
      </c>
      <c r="J134" s="42" t="s">
        <v>81</v>
      </c>
      <c r="K134" s="46" t="s">
        <v>58</v>
      </c>
      <c r="L134" s="46" t="s">
        <v>58</v>
      </c>
      <c r="M134" s="46">
        <v>1</v>
      </c>
      <c r="N134" s="42" t="s">
        <v>407</v>
      </c>
      <c r="O134" s="42" t="s">
        <v>402</v>
      </c>
    </row>
    <row r="135" spans="1:15" ht="23" customHeight="1" x14ac:dyDescent="0.35">
      <c r="A135" s="35"/>
      <c r="F135" s="53" t="s">
        <v>415</v>
      </c>
      <c r="G135" s="53">
        <f>SUM(G9:G134)</f>
        <v>6057122917.9299994</v>
      </c>
      <c r="K135" s="54"/>
      <c r="L135" s="54"/>
      <c r="M135" s="54"/>
    </row>
    <row r="136" spans="1:15" x14ac:dyDescent="0.35"/>
    <row r="137" spans="1:15" x14ac:dyDescent="0.35">
      <c r="B137" s="55" t="s">
        <v>19</v>
      </c>
    </row>
    <row r="138" spans="1:15" ht="14" customHeight="1" x14ac:dyDescent="0.35">
      <c r="B138" s="38" t="s">
        <v>20</v>
      </c>
    </row>
    <row r="139" spans="1:15" ht="14" customHeight="1" x14ac:dyDescent="0.35">
      <c r="B139" s="38" t="s">
        <v>21</v>
      </c>
    </row>
    <row r="140" spans="1:15" ht="14" customHeight="1" x14ac:dyDescent="0.35">
      <c r="B140" s="38" t="s">
        <v>22</v>
      </c>
    </row>
    <row r="141" spans="1:15" ht="14" customHeight="1" x14ac:dyDescent="0.35">
      <c r="B141" s="38" t="s">
        <v>23</v>
      </c>
    </row>
    <row r="142" spans="1:15" ht="14" customHeight="1" x14ac:dyDescent="0.35">
      <c r="B142" s="38" t="s">
        <v>24</v>
      </c>
    </row>
    <row r="143" spans="1:15" ht="14" customHeight="1" x14ac:dyDescent="0.35">
      <c r="B143" s="38" t="s">
        <v>25</v>
      </c>
    </row>
    <row r="144" spans="1:15" ht="14" customHeight="1" x14ac:dyDescent="0.35"/>
    <row r="145" spans="2:7" x14ac:dyDescent="0.35">
      <c r="B145" s="56" t="s">
        <v>26</v>
      </c>
      <c r="C145" s="56"/>
      <c r="D145" s="56"/>
      <c r="E145" s="56"/>
      <c r="F145" s="56"/>
      <c r="G145" s="56"/>
    </row>
    <row r="146" spans="2:7" ht="14" customHeight="1" x14ac:dyDescent="0.35">
      <c r="B146" s="38" t="s">
        <v>27</v>
      </c>
    </row>
    <row r="147" spans="2:7" x14ac:dyDescent="0.35"/>
    <row r="148" spans="2:7" x14ac:dyDescent="0.35"/>
    <row r="149" spans="2:7" x14ac:dyDescent="0.35"/>
    <row r="150" spans="2:7" x14ac:dyDescent="0.35"/>
    <row r="151" spans="2:7" x14ac:dyDescent="0.35"/>
    <row r="152" spans="2:7" x14ac:dyDescent="0.35"/>
  </sheetData>
  <mergeCells count="2">
    <mergeCell ref="A117:A128"/>
    <mergeCell ref="A129:A134"/>
  </mergeCells>
  <hyperlinks>
    <hyperlink ref="B5" location="'Index sheet'!A1" display="Back to index" xr:uid="{00000000-0004-0000-0100-000000000000}"/>
  </hyperlinks>
  <pageMargins left="0.7" right="0.7" top="0.75" bottom="0.75" header="0.3" footer="0.3"/>
  <ignoredErrors>
    <ignoredError sqref="B136:O152 B1:O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294"/>
  <sheetViews>
    <sheetView showGridLines="0" topLeftCell="A254" zoomScale="55" zoomScaleNormal="55" workbookViewId="0">
      <selection sqref="A1:XFD1048576"/>
    </sheetView>
  </sheetViews>
  <sheetFormatPr baseColWidth="10" defaultColWidth="8.54296875" defaultRowHeight="11.5" customHeight="1" x14ac:dyDescent="0.35"/>
  <cols>
    <col min="1" max="1" width="2.453125" style="18" customWidth="1"/>
    <col min="2" max="4" width="17.54296875" style="18" customWidth="1"/>
    <col min="5" max="17" width="13.54296875" style="18" customWidth="1"/>
    <col min="18" max="18" width="8.54296875" style="18" customWidth="1"/>
    <col min="19" max="19" width="20.54296875" style="18" customWidth="1"/>
    <col min="20" max="16382" width="8.54296875" style="18" customWidth="1"/>
    <col min="16383" max="16384" width="8.54296875" style="18"/>
  </cols>
  <sheetData>
    <row r="1" spans="2:19" ht="15.5" customHeight="1" x14ac:dyDescent="0.35">
      <c r="B1" s="72" t="s">
        <v>28</v>
      </c>
      <c r="C1" s="72"/>
      <c r="D1" s="72"/>
      <c r="E1" s="72"/>
      <c r="F1" s="72"/>
      <c r="G1" s="72"/>
      <c r="H1" s="72"/>
    </row>
    <row r="2" spans="2:19" ht="15" customHeight="1" x14ac:dyDescent="0.35">
      <c r="B2" s="72" t="s">
        <v>1263</v>
      </c>
      <c r="C2" s="72"/>
      <c r="D2" s="72"/>
      <c r="E2" s="72"/>
      <c r="F2" s="72"/>
      <c r="G2" s="72"/>
      <c r="H2" s="72"/>
      <c r="I2" s="72"/>
      <c r="J2" s="72"/>
      <c r="K2" s="72"/>
      <c r="L2" s="72"/>
      <c r="M2" s="72"/>
      <c r="N2" s="72"/>
      <c r="O2" s="72"/>
      <c r="P2" s="72"/>
      <c r="Q2" s="72"/>
      <c r="R2" s="72"/>
      <c r="S2" s="72"/>
    </row>
    <row r="3" spans="2:19" ht="16" customHeight="1" x14ac:dyDescent="0.35">
      <c r="B3" s="73" t="s">
        <v>15</v>
      </c>
      <c r="C3" s="74">
        <v>0.93</v>
      </c>
    </row>
    <row r="4" spans="2:19" ht="16" customHeight="1" x14ac:dyDescent="0.35">
      <c r="B4" s="73"/>
      <c r="C4" s="73"/>
    </row>
    <row r="5" spans="2:19" x14ac:dyDescent="0.35">
      <c r="B5" s="75" t="s">
        <v>16</v>
      </c>
      <c r="C5" s="76"/>
      <c r="D5" s="77"/>
      <c r="E5" s="76"/>
      <c r="F5" s="76"/>
      <c r="G5" s="75"/>
      <c r="H5" s="75"/>
      <c r="M5" s="75"/>
    </row>
    <row r="6" spans="2:19" x14ac:dyDescent="0.35">
      <c r="B6" s="75"/>
      <c r="C6" s="76"/>
      <c r="D6" s="76"/>
      <c r="E6" s="76"/>
      <c r="F6" s="76"/>
      <c r="G6" s="75"/>
      <c r="H6" s="75"/>
      <c r="M6" s="75"/>
    </row>
    <row r="7" spans="2:19" s="78" customFormat="1" ht="60" customHeight="1" x14ac:dyDescent="0.35">
      <c r="B7" s="65" t="s">
        <v>45</v>
      </c>
      <c r="C7" s="65" t="s">
        <v>1572</v>
      </c>
      <c r="D7" s="65" t="s">
        <v>1582</v>
      </c>
      <c r="E7" s="65" t="s">
        <v>1583</v>
      </c>
      <c r="F7" s="65" t="s">
        <v>1584</v>
      </c>
      <c r="G7" s="66" t="s">
        <v>1585</v>
      </c>
      <c r="H7" s="66"/>
      <c r="I7" s="65" t="s">
        <v>1586</v>
      </c>
      <c r="J7" s="65" t="s">
        <v>1587</v>
      </c>
      <c r="K7" s="65" t="s">
        <v>1588</v>
      </c>
      <c r="L7" s="65" t="s">
        <v>1576</v>
      </c>
      <c r="M7" s="65" t="s">
        <v>1569</v>
      </c>
      <c r="N7" s="65" t="s">
        <v>1570</v>
      </c>
      <c r="O7" s="65" t="s">
        <v>1577</v>
      </c>
      <c r="P7" s="65" t="s">
        <v>1578</v>
      </c>
      <c r="Q7" s="65" t="s">
        <v>1589</v>
      </c>
      <c r="R7" s="65" t="s">
        <v>1590</v>
      </c>
      <c r="S7" s="67" t="s">
        <v>1581</v>
      </c>
    </row>
    <row r="8" spans="2:19" s="78" customFormat="1" ht="23" customHeight="1" x14ac:dyDescent="0.35">
      <c r="B8" s="68"/>
      <c r="C8" s="68"/>
      <c r="D8" s="68"/>
      <c r="E8" s="68"/>
      <c r="F8" s="68"/>
      <c r="G8" s="69" t="s">
        <v>17</v>
      </c>
      <c r="H8" s="70" t="s">
        <v>18</v>
      </c>
      <c r="I8" s="68"/>
      <c r="J8" s="68"/>
      <c r="K8" s="68"/>
      <c r="L8" s="68"/>
      <c r="M8" s="68"/>
      <c r="N8" s="68"/>
      <c r="O8" s="68"/>
      <c r="P8" s="68"/>
      <c r="Q8" s="68"/>
      <c r="R8" s="71"/>
      <c r="S8" s="79"/>
    </row>
    <row r="9" spans="2:19" ht="23" customHeight="1" x14ac:dyDescent="0.35">
      <c r="B9" s="80" t="s">
        <v>416</v>
      </c>
      <c r="C9" s="81" t="s">
        <v>417</v>
      </c>
      <c r="D9" s="81" t="s">
        <v>418</v>
      </c>
      <c r="E9" s="81" t="s">
        <v>1535</v>
      </c>
      <c r="F9" s="81" t="s">
        <v>420</v>
      </c>
      <c r="G9" s="82">
        <v>2441678.1997589841</v>
      </c>
      <c r="H9" s="82">
        <v>2441678.1997589841</v>
      </c>
      <c r="I9" s="83" t="s">
        <v>421</v>
      </c>
      <c r="J9" s="83" t="s">
        <v>422</v>
      </c>
      <c r="K9" s="83" t="s">
        <v>423</v>
      </c>
      <c r="L9" s="84" t="s">
        <v>1176</v>
      </c>
      <c r="M9" s="83" t="s">
        <v>424</v>
      </c>
      <c r="N9" s="83" t="s">
        <v>425</v>
      </c>
      <c r="O9" s="83" t="s">
        <v>426</v>
      </c>
      <c r="P9" s="83" t="s">
        <v>426</v>
      </c>
      <c r="Q9" s="83" t="s">
        <v>427</v>
      </c>
      <c r="R9" s="83" t="s">
        <v>428</v>
      </c>
      <c r="S9" s="83" t="s">
        <v>58</v>
      </c>
    </row>
    <row r="10" spans="2:19" ht="23" customHeight="1" x14ac:dyDescent="0.35">
      <c r="B10" s="80" t="s">
        <v>429</v>
      </c>
      <c r="C10" s="81" t="s">
        <v>430</v>
      </c>
      <c r="D10" s="81" t="s">
        <v>418</v>
      </c>
      <c r="E10" s="81" t="s">
        <v>419</v>
      </c>
      <c r="F10" s="81" t="s">
        <v>431</v>
      </c>
      <c r="G10" s="82">
        <v>791484.38255435845</v>
      </c>
      <c r="H10" s="82">
        <v>791484.38255435845</v>
      </c>
      <c r="I10" s="83" t="s">
        <v>432</v>
      </c>
      <c r="J10" s="83" t="s">
        <v>422</v>
      </c>
      <c r="K10" s="83" t="s">
        <v>423</v>
      </c>
      <c r="L10" s="84" t="s">
        <v>61</v>
      </c>
      <c r="M10" s="83" t="s">
        <v>433</v>
      </c>
      <c r="N10" s="83" t="s">
        <v>434</v>
      </c>
      <c r="O10" s="83" t="s">
        <v>426</v>
      </c>
      <c r="P10" s="83" t="s">
        <v>435</v>
      </c>
      <c r="Q10" s="83" t="s">
        <v>436</v>
      </c>
      <c r="R10" s="83" t="s">
        <v>58</v>
      </c>
      <c r="S10" s="83" t="s">
        <v>58</v>
      </c>
    </row>
    <row r="11" spans="2:19" ht="23" customHeight="1" x14ac:dyDescent="0.35">
      <c r="B11" s="80" t="s">
        <v>437</v>
      </c>
      <c r="C11" s="81" t="s">
        <v>438</v>
      </c>
      <c r="D11" s="81" t="s">
        <v>418</v>
      </c>
      <c r="E11" s="81" t="s">
        <v>419</v>
      </c>
      <c r="F11" s="81" t="s">
        <v>439</v>
      </c>
      <c r="G11" s="82">
        <v>2873903.3887645816</v>
      </c>
      <c r="H11" s="82">
        <v>2873903.3887645816</v>
      </c>
      <c r="I11" s="83" t="s">
        <v>440</v>
      </c>
      <c r="J11" s="83" t="s">
        <v>422</v>
      </c>
      <c r="K11" s="83" t="s">
        <v>423</v>
      </c>
      <c r="L11" s="84" t="s">
        <v>81</v>
      </c>
      <c r="M11" s="83" t="s">
        <v>441</v>
      </c>
      <c r="N11" s="83" t="s">
        <v>204</v>
      </c>
      <c r="O11" s="83" t="s">
        <v>435</v>
      </c>
      <c r="P11" s="83" t="s">
        <v>435</v>
      </c>
      <c r="Q11" s="83" t="s">
        <v>436</v>
      </c>
      <c r="R11" s="83" t="s">
        <v>442</v>
      </c>
      <c r="S11" s="83" t="s">
        <v>58</v>
      </c>
    </row>
    <row r="12" spans="2:19" ht="23" customHeight="1" x14ac:dyDescent="0.35">
      <c r="B12" s="80" t="s">
        <v>443</v>
      </c>
      <c r="C12" s="81" t="s">
        <v>444</v>
      </c>
      <c r="D12" s="81" t="s">
        <v>418</v>
      </c>
      <c r="E12" s="81" t="s">
        <v>445</v>
      </c>
      <c r="F12" s="81" t="s">
        <v>445</v>
      </c>
      <c r="G12" s="82">
        <v>40351653.970854633</v>
      </c>
      <c r="H12" s="82">
        <v>40351653.970854633</v>
      </c>
      <c r="I12" s="83" t="s">
        <v>432</v>
      </c>
      <c r="J12" s="83" t="s">
        <v>422</v>
      </c>
      <c r="K12" s="83" t="s">
        <v>446</v>
      </c>
      <c r="L12" s="84" t="s">
        <v>1177</v>
      </c>
      <c r="M12" s="83" t="s">
        <v>441</v>
      </c>
      <c r="N12" s="83" t="s">
        <v>204</v>
      </c>
      <c r="O12" s="83" t="s">
        <v>426</v>
      </c>
      <c r="P12" s="83" t="s">
        <v>426</v>
      </c>
      <c r="Q12" s="83" t="s">
        <v>436</v>
      </c>
      <c r="R12" s="83" t="s">
        <v>447</v>
      </c>
      <c r="S12" s="83" t="s">
        <v>58</v>
      </c>
    </row>
    <row r="13" spans="2:19" ht="23" customHeight="1" x14ac:dyDescent="0.35">
      <c r="B13" s="80" t="s">
        <v>448</v>
      </c>
      <c r="C13" s="81" t="s">
        <v>449</v>
      </c>
      <c r="D13" s="81" t="s">
        <v>418</v>
      </c>
      <c r="E13" s="81" t="s">
        <v>419</v>
      </c>
      <c r="F13" s="81" t="s">
        <v>450</v>
      </c>
      <c r="G13" s="82">
        <v>14837144.505129445</v>
      </c>
      <c r="H13" s="82">
        <v>14837144.505129445</v>
      </c>
      <c r="I13" s="83" t="s">
        <v>432</v>
      </c>
      <c r="J13" s="83" t="s">
        <v>451</v>
      </c>
      <c r="K13" s="83" t="s">
        <v>423</v>
      </c>
      <c r="L13" s="84" t="s">
        <v>81</v>
      </c>
      <c r="M13" s="83" t="s">
        <v>441</v>
      </c>
      <c r="N13" s="83" t="s">
        <v>204</v>
      </c>
      <c r="O13" s="83" t="s">
        <v>435</v>
      </c>
      <c r="P13" s="83" t="s">
        <v>435</v>
      </c>
      <c r="Q13" s="83" t="s">
        <v>436</v>
      </c>
      <c r="R13" s="83" t="s">
        <v>452</v>
      </c>
      <c r="S13" s="83" t="s">
        <v>58</v>
      </c>
    </row>
    <row r="14" spans="2:19" ht="23" customHeight="1" x14ac:dyDescent="0.35">
      <c r="B14" s="80" t="s">
        <v>453</v>
      </c>
      <c r="C14" s="81" t="s">
        <v>454</v>
      </c>
      <c r="D14" s="81" t="s">
        <v>418</v>
      </c>
      <c r="E14" s="81" t="s">
        <v>455</v>
      </c>
      <c r="F14" s="81" t="s">
        <v>450</v>
      </c>
      <c r="G14" s="82">
        <v>185464.30631411809</v>
      </c>
      <c r="H14" s="82">
        <v>185464.30631411809</v>
      </c>
      <c r="I14" s="83" t="s">
        <v>432</v>
      </c>
      <c r="J14" s="83" t="s">
        <v>422</v>
      </c>
      <c r="K14" s="83" t="s">
        <v>423</v>
      </c>
      <c r="L14" s="84" t="s">
        <v>81</v>
      </c>
      <c r="M14" s="83" t="s">
        <v>456</v>
      </c>
      <c r="N14" s="83" t="s">
        <v>457</v>
      </c>
      <c r="O14" s="83" t="s">
        <v>435</v>
      </c>
      <c r="P14" s="83" t="s">
        <v>426</v>
      </c>
      <c r="Q14" s="83" t="s">
        <v>436</v>
      </c>
      <c r="R14" s="83" t="s">
        <v>458</v>
      </c>
      <c r="S14" s="83" t="s">
        <v>58</v>
      </c>
    </row>
    <row r="15" spans="2:19" ht="23" customHeight="1" x14ac:dyDescent="0.35">
      <c r="B15" s="80" t="s">
        <v>459</v>
      </c>
      <c r="C15" s="81" t="s">
        <v>460</v>
      </c>
      <c r="D15" s="81" t="s">
        <v>418</v>
      </c>
      <c r="E15" s="81" t="s">
        <v>455</v>
      </c>
      <c r="F15" s="81" t="s">
        <v>445</v>
      </c>
      <c r="G15" s="82">
        <v>305180.47483147593</v>
      </c>
      <c r="H15" s="82">
        <v>305180.47483147593</v>
      </c>
      <c r="I15" s="83" t="s">
        <v>461</v>
      </c>
      <c r="J15" s="83" t="s">
        <v>422</v>
      </c>
      <c r="K15" s="83" t="s">
        <v>446</v>
      </c>
      <c r="L15" s="84" t="s">
        <v>81</v>
      </c>
      <c r="M15" s="83" t="s">
        <v>462</v>
      </c>
      <c r="N15" s="83" t="s">
        <v>463</v>
      </c>
      <c r="O15" s="83" t="s">
        <v>435</v>
      </c>
      <c r="P15" s="83" t="s">
        <v>426</v>
      </c>
      <c r="Q15" s="83" t="s">
        <v>436</v>
      </c>
      <c r="R15" s="83" t="s">
        <v>464</v>
      </c>
      <c r="S15" s="83" t="s">
        <v>58</v>
      </c>
    </row>
    <row r="16" spans="2:19" ht="23" customHeight="1" x14ac:dyDescent="0.35">
      <c r="B16" s="80" t="s">
        <v>465</v>
      </c>
      <c r="C16" s="81" t="s">
        <v>466</v>
      </c>
      <c r="D16" s="81" t="s">
        <v>418</v>
      </c>
      <c r="E16" s="81" t="s">
        <v>445</v>
      </c>
      <c r="F16" s="81" t="s">
        <v>445</v>
      </c>
      <c r="G16" s="82">
        <v>26030489.83632876</v>
      </c>
      <c r="H16" s="82">
        <v>26030489.83632876</v>
      </c>
      <c r="I16" s="83" t="s">
        <v>467</v>
      </c>
      <c r="J16" s="83" t="s">
        <v>422</v>
      </c>
      <c r="K16" s="83" t="s">
        <v>423</v>
      </c>
      <c r="L16" s="84" t="s">
        <v>81</v>
      </c>
      <c r="M16" s="83" t="s">
        <v>468</v>
      </c>
      <c r="N16" s="83" t="s">
        <v>469</v>
      </c>
      <c r="O16" s="83" t="s">
        <v>435</v>
      </c>
      <c r="P16" s="83" t="s">
        <v>435</v>
      </c>
      <c r="Q16" s="83" t="s">
        <v>436</v>
      </c>
      <c r="R16" s="83" t="s">
        <v>470</v>
      </c>
      <c r="S16" s="83" t="s">
        <v>58</v>
      </c>
    </row>
    <row r="17" spans="2:19" ht="23" customHeight="1" x14ac:dyDescent="0.35">
      <c r="B17" s="80" t="s">
        <v>471</v>
      </c>
      <c r="C17" s="81" t="s">
        <v>472</v>
      </c>
      <c r="D17" s="81" t="s">
        <v>418</v>
      </c>
      <c r="E17" s="81" t="s">
        <v>455</v>
      </c>
      <c r="F17" s="81" t="s">
        <v>473</v>
      </c>
      <c r="G17" s="82">
        <v>30000000</v>
      </c>
      <c r="H17" s="82">
        <v>30000000</v>
      </c>
      <c r="I17" s="83" t="s">
        <v>474</v>
      </c>
      <c r="J17" s="83" t="s">
        <v>475</v>
      </c>
      <c r="K17" s="83" t="s">
        <v>423</v>
      </c>
      <c r="L17" s="84" t="s">
        <v>61</v>
      </c>
      <c r="M17" s="83" t="s">
        <v>462</v>
      </c>
      <c r="N17" s="83" t="s">
        <v>318</v>
      </c>
      <c r="O17" s="83" t="s">
        <v>426</v>
      </c>
      <c r="P17" s="83" t="s">
        <v>426</v>
      </c>
      <c r="Q17" s="83" t="s">
        <v>436</v>
      </c>
      <c r="R17" s="83" t="s">
        <v>476</v>
      </c>
      <c r="S17" s="83" t="s">
        <v>58</v>
      </c>
    </row>
    <row r="18" spans="2:19" ht="23" customHeight="1" x14ac:dyDescent="0.35">
      <c r="B18" s="80" t="s">
        <v>477</v>
      </c>
      <c r="C18" s="81" t="s">
        <v>478</v>
      </c>
      <c r="D18" s="81" t="s">
        <v>418</v>
      </c>
      <c r="E18" s="81" t="s">
        <v>445</v>
      </c>
      <c r="F18" s="81" t="s">
        <v>445</v>
      </c>
      <c r="G18" s="82">
        <v>19782859.340172596</v>
      </c>
      <c r="H18" s="82">
        <v>19782859.340172596</v>
      </c>
      <c r="I18" s="83" t="s">
        <v>432</v>
      </c>
      <c r="J18" s="83" t="s">
        <v>475</v>
      </c>
      <c r="K18" s="83" t="s">
        <v>423</v>
      </c>
      <c r="L18" s="84" t="s">
        <v>81</v>
      </c>
      <c r="M18" s="83" t="s">
        <v>479</v>
      </c>
      <c r="N18" s="83" t="s">
        <v>85</v>
      </c>
      <c r="O18" s="83" t="s">
        <v>435</v>
      </c>
      <c r="P18" s="83" t="s">
        <v>426</v>
      </c>
      <c r="Q18" s="83" t="s">
        <v>436</v>
      </c>
      <c r="R18" s="83" t="s">
        <v>480</v>
      </c>
      <c r="S18" s="83" t="s">
        <v>58</v>
      </c>
    </row>
    <row r="19" spans="2:19" ht="23" customHeight="1" x14ac:dyDescent="0.35">
      <c r="B19" s="80" t="s">
        <v>481</v>
      </c>
      <c r="C19" s="81" t="s">
        <v>482</v>
      </c>
      <c r="D19" s="81" t="s">
        <v>418</v>
      </c>
      <c r="E19" s="81" t="s">
        <v>450</v>
      </c>
      <c r="F19" s="81" t="s">
        <v>450</v>
      </c>
      <c r="G19" s="82">
        <v>36625.172996384761</v>
      </c>
      <c r="H19" s="82">
        <v>36625.172996384761</v>
      </c>
      <c r="I19" s="83" t="s">
        <v>483</v>
      </c>
      <c r="J19" s="83" t="s">
        <v>484</v>
      </c>
      <c r="K19" s="83" t="s">
        <v>423</v>
      </c>
      <c r="L19" s="84" t="s">
        <v>81</v>
      </c>
      <c r="M19" s="83" t="s">
        <v>479</v>
      </c>
      <c r="N19" s="83" t="s">
        <v>91</v>
      </c>
      <c r="O19" s="83" t="s">
        <v>435</v>
      </c>
      <c r="P19" s="83" t="s">
        <v>435</v>
      </c>
      <c r="Q19" s="83" t="s">
        <v>436</v>
      </c>
      <c r="R19" s="83" t="s">
        <v>58</v>
      </c>
      <c r="S19" s="83" t="s">
        <v>58</v>
      </c>
    </row>
    <row r="20" spans="2:19" ht="23" customHeight="1" x14ac:dyDescent="0.35">
      <c r="B20" s="80" t="s">
        <v>485</v>
      </c>
      <c r="C20" s="81" t="s">
        <v>486</v>
      </c>
      <c r="D20" s="81" t="s">
        <v>418</v>
      </c>
      <c r="E20" s="81" t="s">
        <v>487</v>
      </c>
      <c r="F20" s="81" t="s">
        <v>487</v>
      </c>
      <c r="G20" s="82">
        <v>824035.87144116033</v>
      </c>
      <c r="H20" s="82">
        <v>824035.87144116033</v>
      </c>
      <c r="I20" s="83" t="s">
        <v>483</v>
      </c>
      <c r="J20" s="83" t="s">
        <v>422</v>
      </c>
      <c r="K20" s="83" t="s">
        <v>423</v>
      </c>
      <c r="L20" s="84" t="s">
        <v>81</v>
      </c>
      <c r="M20" s="83" t="s">
        <v>488</v>
      </c>
      <c r="N20" s="83" t="s">
        <v>489</v>
      </c>
      <c r="O20" s="83" t="s">
        <v>435</v>
      </c>
      <c r="P20" s="83" t="s">
        <v>435</v>
      </c>
      <c r="Q20" s="83" t="s">
        <v>436</v>
      </c>
      <c r="R20" s="83" t="s">
        <v>58</v>
      </c>
      <c r="S20" s="83" t="s">
        <v>58</v>
      </c>
    </row>
    <row r="21" spans="2:19" ht="23" customHeight="1" x14ac:dyDescent="0.35">
      <c r="B21" s="80" t="s">
        <v>490</v>
      </c>
      <c r="C21" s="81" t="s">
        <v>491</v>
      </c>
      <c r="D21" s="81" t="s">
        <v>418</v>
      </c>
      <c r="E21" s="81" t="s">
        <v>492</v>
      </c>
      <c r="F21" s="81" t="s">
        <v>493</v>
      </c>
      <c r="G21" s="82">
        <v>29300138.397107817</v>
      </c>
      <c r="H21" s="82">
        <v>29300138.397107817</v>
      </c>
      <c r="I21" s="83" t="s">
        <v>483</v>
      </c>
      <c r="J21" s="83" t="s">
        <v>484</v>
      </c>
      <c r="K21" s="83" t="s">
        <v>423</v>
      </c>
      <c r="L21" s="84" t="s">
        <v>81</v>
      </c>
      <c r="M21" s="83" t="s">
        <v>479</v>
      </c>
      <c r="N21" s="83" t="s">
        <v>91</v>
      </c>
      <c r="O21" s="83" t="s">
        <v>435</v>
      </c>
      <c r="P21" s="83" t="s">
        <v>435</v>
      </c>
      <c r="Q21" s="83" t="s">
        <v>436</v>
      </c>
      <c r="R21" s="83" t="s">
        <v>494</v>
      </c>
      <c r="S21" s="83" t="s">
        <v>58</v>
      </c>
    </row>
    <row r="22" spans="2:19" ht="23" customHeight="1" x14ac:dyDescent="0.35">
      <c r="B22" s="80" t="s">
        <v>495</v>
      </c>
      <c r="C22" s="81" t="s">
        <v>496</v>
      </c>
      <c r="D22" s="81" t="s">
        <v>418</v>
      </c>
      <c r="E22" s="81" t="s">
        <v>450</v>
      </c>
      <c r="F22" s="81" t="s">
        <v>450</v>
      </c>
      <c r="G22" s="82">
        <v>3337.7740990705315</v>
      </c>
      <c r="H22" s="82">
        <v>3337.7740990705315</v>
      </c>
      <c r="I22" s="83" t="s">
        <v>483</v>
      </c>
      <c r="J22" s="83" t="s">
        <v>484</v>
      </c>
      <c r="K22" s="83" t="s">
        <v>423</v>
      </c>
      <c r="L22" s="84" t="s">
        <v>61</v>
      </c>
      <c r="M22" s="83" t="s">
        <v>433</v>
      </c>
      <c r="N22" s="83"/>
      <c r="O22" s="83" t="s">
        <v>426</v>
      </c>
      <c r="P22" s="83" t="s">
        <v>426</v>
      </c>
      <c r="Q22" s="83" t="s">
        <v>436</v>
      </c>
      <c r="R22" s="83" t="s">
        <v>58</v>
      </c>
      <c r="S22" s="83" t="s">
        <v>58</v>
      </c>
    </row>
    <row r="23" spans="2:19" ht="23" customHeight="1" x14ac:dyDescent="0.35">
      <c r="B23" s="80" t="s">
        <v>497</v>
      </c>
      <c r="C23" s="81" t="s">
        <v>498</v>
      </c>
      <c r="D23" s="81" t="s">
        <v>418</v>
      </c>
      <c r="E23" s="81" t="s">
        <v>473</v>
      </c>
      <c r="F23" s="81" t="s">
        <v>473</v>
      </c>
      <c r="G23" s="82">
        <v>305209774.96987307</v>
      </c>
      <c r="H23" s="82">
        <v>305209774.96987307</v>
      </c>
      <c r="I23" s="83" t="s">
        <v>483</v>
      </c>
      <c r="J23" s="83" t="s">
        <v>484</v>
      </c>
      <c r="K23" s="83" t="s">
        <v>423</v>
      </c>
      <c r="L23" s="84" t="s">
        <v>61</v>
      </c>
      <c r="M23" s="83" t="s">
        <v>433</v>
      </c>
      <c r="N23" s="83" t="s">
        <v>434</v>
      </c>
      <c r="O23" s="83" t="s">
        <v>435</v>
      </c>
      <c r="P23" s="83" t="s">
        <v>435</v>
      </c>
      <c r="Q23" s="83" t="s">
        <v>436</v>
      </c>
      <c r="R23" s="83" t="s">
        <v>499</v>
      </c>
      <c r="S23" s="83" t="s">
        <v>58</v>
      </c>
    </row>
    <row r="24" spans="2:19" ht="23" customHeight="1" x14ac:dyDescent="0.35">
      <c r="B24" s="80" t="s">
        <v>500</v>
      </c>
      <c r="C24" s="81" t="s">
        <v>501</v>
      </c>
      <c r="D24" s="81" t="s">
        <v>418</v>
      </c>
      <c r="E24" s="81" t="s">
        <v>502</v>
      </c>
      <c r="F24" s="81" t="s">
        <v>502</v>
      </c>
      <c r="G24" s="82">
        <v>244167.81997589843</v>
      </c>
      <c r="H24" s="82">
        <v>244167.81997589843</v>
      </c>
      <c r="I24" s="83" t="s">
        <v>483</v>
      </c>
      <c r="J24" s="83" t="s">
        <v>484</v>
      </c>
      <c r="K24" s="83" t="s">
        <v>423</v>
      </c>
      <c r="L24" s="84" t="s">
        <v>1176</v>
      </c>
      <c r="M24" s="83" t="s">
        <v>441</v>
      </c>
      <c r="N24" s="83" t="s">
        <v>204</v>
      </c>
      <c r="O24" s="83" t="s">
        <v>435</v>
      </c>
      <c r="P24" s="83" t="s">
        <v>426</v>
      </c>
      <c r="Q24" s="83" t="s">
        <v>427</v>
      </c>
      <c r="R24" s="83" t="s">
        <v>58</v>
      </c>
      <c r="S24" s="83" t="s">
        <v>58</v>
      </c>
    </row>
    <row r="25" spans="2:19" ht="23" customHeight="1" x14ac:dyDescent="0.35">
      <c r="B25" s="80" t="s">
        <v>503</v>
      </c>
      <c r="C25" s="81" t="s">
        <v>504</v>
      </c>
      <c r="D25" s="81" t="s">
        <v>418</v>
      </c>
      <c r="E25" s="81" t="s">
        <v>450</v>
      </c>
      <c r="F25" s="81" t="s">
        <v>450</v>
      </c>
      <c r="G25" s="82">
        <v>183125.86498192381</v>
      </c>
      <c r="H25" s="82">
        <v>183125.86498192381</v>
      </c>
      <c r="I25" s="83" t="s">
        <v>483</v>
      </c>
      <c r="J25" s="83" t="s">
        <v>484</v>
      </c>
      <c r="K25" s="83" t="s">
        <v>423</v>
      </c>
      <c r="L25" s="84" t="s">
        <v>61</v>
      </c>
      <c r="M25" s="83" t="s">
        <v>433</v>
      </c>
      <c r="N25" s="83" t="s">
        <v>434</v>
      </c>
      <c r="O25" s="83" t="s">
        <v>426</v>
      </c>
      <c r="P25" s="83" t="s">
        <v>426</v>
      </c>
      <c r="Q25" s="83" t="s">
        <v>436</v>
      </c>
      <c r="R25" s="83" t="s">
        <v>58</v>
      </c>
      <c r="S25" s="83" t="s">
        <v>58</v>
      </c>
    </row>
    <row r="26" spans="2:19" ht="23" customHeight="1" x14ac:dyDescent="0.35">
      <c r="B26" s="80" t="s">
        <v>505</v>
      </c>
      <c r="C26" s="81" t="s">
        <v>506</v>
      </c>
      <c r="D26" s="81" t="s">
        <v>418</v>
      </c>
      <c r="E26" s="81" t="s">
        <v>450</v>
      </c>
      <c r="F26" s="81" t="s">
        <v>450</v>
      </c>
      <c r="G26" s="82">
        <v>24416.781997589846</v>
      </c>
      <c r="H26" s="82">
        <v>24416.781997589846</v>
      </c>
      <c r="I26" s="83" t="s">
        <v>483</v>
      </c>
      <c r="J26" s="83" t="s">
        <v>484</v>
      </c>
      <c r="K26" s="83" t="s">
        <v>423</v>
      </c>
      <c r="L26" s="84" t="s">
        <v>81</v>
      </c>
      <c r="M26" s="83" t="s">
        <v>479</v>
      </c>
      <c r="N26" s="83" t="s">
        <v>78</v>
      </c>
      <c r="O26" s="83" t="s">
        <v>435</v>
      </c>
      <c r="P26" s="83" t="s">
        <v>426</v>
      </c>
      <c r="Q26" s="83" t="s">
        <v>436</v>
      </c>
      <c r="R26" s="83" t="s">
        <v>58</v>
      </c>
      <c r="S26" s="83" t="s">
        <v>58</v>
      </c>
    </row>
    <row r="27" spans="2:19" ht="23" customHeight="1" x14ac:dyDescent="0.35">
      <c r="B27" s="80" t="s">
        <v>507</v>
      </c>
      <c r="C27" s="81" t="s">
        <v>508</v>
      </c>
      <c r="D27" s="81" t="s">
        <v>418</v>
      </c>
      <c r="E27" s="81" t="s">
        <v>445</v>
      </c>
      <c r="F27" s="81" t="s">
        <v>445</v>
      </c>
      <c r="G27" s="82">
        <v>74185.722525647245</v>
      </c>
      <c r="H27" s="82">
        <v>74185.722525647245</v>
      </c>
      <c r="I27" s="83" t="s">
        <v>432</v>
      </c>
      <c r="J27" s="83" t="s">
        <v>475</v>
      </c>
      <c r="K27" s="83" t="s">
        <v>423</v>
      </c>
      <c r="L27" s="84" t="s">
        <v>1177</v>
      </c>
      <c r="M27" s="83" t="s">
        <v>488</v>
      </c>
      <c r="N27" s="83" t="s">
        <v>509</v>
      </c>
      <c r="O27" s="83" t="s">
        <v>435</v>
      </c>
      <c r="P27" s="83" t="s">
        <v>435</v>
      </c>
      <c r="Q27" s="83" t="s">
        <v>436</v>
      </c>
      <c r="R27" s="83" t="s">
        <v>58</v>
      </c>
      <c r="S27" s="83" t="s">
        <v>58</v>
      </c>
    </row>
    <row r="28" spans="2:19" ht="23" customHeight="1" x14ac:dyDescent="0.35">
      <c r="B28" s="80" t="s">
        <v>510</v>
      </c>
      <c r="C28" s="81" t="s">
        <v>511</v>
      </c>
      <c r="D28" s="81" t="s">
        <v>418</v>
      </c>
      <c r="E28" s="81" t="s">
        <v>450</v>
      </c>
      <c r="F28" s="81" t="s">
        <v>450</v>
      </c>
      <c r="G28" s="82">
        <v>86550.009613255126</v>
      </c>
      <c r="H28" s="82">
        <v>86550.009613255126</v>
      </c>
      <c r="I28" s="83" t="s">
        <v>432</v>
      </c>
      <c r="J28" s="83" t="s">
        <v>475</v>
      </c>
      <c r="K28" s="83" t="s">
        <v>423</v>
      </c>
      <c r="L28" s="84" t="s">
        <v>81</v>
      </c>
      <c r="M28" s="83" t="s">
        <v>462</v>
      </c>
      <c r="N28" s="83" t="s">
        <v>318</v>
      </c>
      <c r="O28" s="83" t="s">
        <v>435</v>
      </c>
      <c r="P28" s="83" t="s">
        <v>426</v>
      </c>
      <c r="Q28" s="83" t="s">
        <v>436</v>
      </c>
      <c r="R28" s="83" t="s">
        <v>58</v>
      </c>
      <c r="S28" s="83" t="s">
        <v>58</v>
      </c>
    </row>
    <row r="29" spans="2:19" ht="23" customHeight="1" x14ac:dyDescent="0.35">
      <c r="B29" s="80" t="s">
        <v>512</v>
      </c>
      <c r="C29" s="81" t="s">
        <v>513</v>
      </c>
      <c r="D29" s="81" t="s">
        <v>418</v>
      </c>
      <c r="E29" s="81" t="s">
        <v>450</v>
      </c>
      <c r="F29" s="81" t="s">
        <v>450</v>
      </c>
      <c r="G29" s="82">
        <v>278196.45947117714</v>
      </c>
      <c r="H29" s="82">
        <v>278196.45947117714</v>
      </c>
      <c r="I29" s="83" t="s">
        <v>432</v>
      </c>
      <c r="J29" s="83" t="s">
        <v>422</v>
      </c>
      <c r="K29" s="83" t="s">
        <v>423</v>
      </c>
      <c r="L29" s="84" t="s">
        <v>61</v>
      </c>
      <c r="M29" s="83" t="s">
        <v>514</v>
      </c>
      <c r="N29" s="83" t="s">
        <v>515</v>
      </c>
      <c r="O29" s="83" t="s">
        <v>435</v>
      </c>
      <c r="P29" s="83" t="s">
        <v>426</v>
      </c>
      <c r="Q29" s="83" t="s">
        <v>436</v>
      </c>
      <c r="R29" s="83" t="s">
        <v>58</v>
      </c>
      <c r="S29" s="83" t="s">
        <v>58</v>
      </c>
    </row>
    <row r="30" spans="2:19" ht="23" customHeight="1" x14ac:dyDescent="0.35">
      <c r="B30" s="80" t="s">
        <v>516</v>
      </c>
      <c r="C30" s="81" t="s">
        <v>517</v>
      </c>
      <c r="D30" s="81" t="s">
        <v>418</v>
      </c>
      <c r="E30" s="81" t="s">
        <v>450</v>
      </c>
      <c r="F30" s="81" t="s">
        <v>450</v>
      </c>
      <c r="G30" s="82">
        <v>216375.0240331378</v>
      </c>
      <c r="H30" s="82">
        <v>216375.0240331378</v>
      </c>
      <c r="I30" s="83" t="s">
        <v>432</v>
      </c>
      <c r="J30" s="83" t="s">
        <v>484</v>
      </c>
      <c r="K30" s="83" t="s">
        <v>423</v>
      </c>
      <c r="L30" s="84" t="s">
        <v>61</v>
      </c>
      <c r="M30" s="83" t="s">
        <v>433</v>
      </c>
      <c r="N30" s="83" t="s">
        <v>434</v>
      </c>
      <c r="O30" s="83" t="s">
        <v>426</v>
      </c>
      <c r="P30" s="83" t="s">
        <v>426</v>
      </c>
      <c r="Q30" s="83" t="s">
        <v>436</v>
      </c>
      <c r="R30" s="83" t="s">
        <v>58</v>
      </c>
      <c r="S30" s="83" t="s">
        <v>58</v>
      </c>
    </row>
    <row r="31" spans="2:19" ht="23" customHeight="1" x14ac:dyDescent="0.35">
      <c r="B31" s="80" t="s">
        <v>518</v>
      </c>
      <c r="C31" s="81" t="s">
        <v>519</v>
      </c>
      <c r="D31" s="81" t="s">
        <v>418</v>
      </c>
      <c r="E31" s="81" t="s">
        <v>450</v>
      </c>
      <c r="F31" s="81" t="s">
        <v>450</v>
      </c>
      <c r="G31" s="82">
        <v>4808.1527109653925</v>
      </c>
      <c r="H31" s="82">
        <v>4808.1527109653925</v>
      </c>
      <c r="I31" s="83" t="s">
        <v>483</v>
      </c>
      <c r="J31" s="83" t="s">
        <v>484</v>
      </c>
      <c r="K31" s="83" t="s">
        <v>423</v>
      </c>
      <c r="L31" s="84" t="s">
        <v>61</v>
      </c>
      <c r="M31" s="83" t="s">
        <v>433</v>
      </c>
      <c r="N31" s="83" t="s">
        <v>520</v>
      </c>
      <c r="O31" s="83" t="s">
        <v>426</v>
      </c>
      <c r="P31" s="83" t="s">
        <v>426</v>
      </c>
      <c r="Q31" s="83" t="s">
        <v>436</v>
      </c>
      <c r="R31" s="83" t="s">
        <v>58</v>
      </c>
      <c r="S31" s="83" t="s">
        <v>58</v>
      </c>
    </row>
    <row r="32" spans="2:19" ht="23" customHeight="1" x14ac:dyDescent="0.35">
      <c r="B32" s="80" t="s">
        <v>521</v>
      </c>
      <c r="C32" s="81" t="s">
        <v>522</v>
      </c>
      <c r="D32" s="81" t="s">
        <v>418</v>
      </c>
      <c r="E32" s="81" t="s">
        <v>450</v>
      </c>
      <c r="F32" s="81" t="s">
        <v>450</v>
      </c>
      <c r="G32" s="82">
        <v>74185.722525647245</v>
      </c>
      <c r="H32" s="82">
        <v>74185.722525647245</v>
      </c>
      <c r="I32" s="83" t="s">
        <v>432</v>
      </c>
      <c r="J32" s="83" t="s">
        <v>484</v>
      </c>
      <c r="K32" s="83" t="s">
        <v>423</v>
      </c>
      <c r="L32" s="84" t="s">
        <v>81</v>
      </c>
      <c r="M32" s="83" t="s">
        <v>488</v>
      </c>
      <c r="N32" s="83" t="s">
        <v>425</v>
      </c>
      <c r="O32" s="83" t="s">
        <v>426</v>
      </c>
      <c r="P32" s="83" t="s">
        <v>426</v>
      </c>
      <c r="Q32" s="83" t="s">
        <v>436</v>
      </c>
      <c r="R32" s="83" t="s">
        <v>58</v>
      </c>
      <c r="S32" s="83" t="s">
        <v>58</v>
      </c>
    </row>
    <row r="33" spans="2:19" ht="23" customHeight="1" x14ac:dyDescent="0.35">
      <c r="B33" s="80" t="s">
        <v>523</v>
      </c>
      <c r="C33" s="81" t="s">
        <v>524</v>
      </c>
      <c r="D33" s="81" t="s">
        <v>418</v>
      </c>
      <c r="E33" s="81" t="s">
        <v>525</v>
      </c>
      <c r="F33" s="81" t="s">
        <v>525</v>
      </c>
      <c r="G33" s="82">
        <v>49457.148350431497</v>
      </c>
      <c r="H33" s="82">
        <v>49457.148350431497</v>
      </c>
      <c r="I33" s="83" t="s">
        <v>432</v>
      </c>
      <c r="J33" s="83" t="s">
        <v>484</v>
      </c>
      <c r="K33" s="83" t="s">
        <v>423</v>
      </c>
      <c r="L33" s="84" t="s">
        <v>81</v>
      </c>
      <c r="M33" s="83" t="s">
        <v>479</v>
      </c>
      <c r="N33" s="83" t="s">
        <v>78</v>
      </c>
      <c r="O33" s="83" t="s">
        <v>435</v>
      </c>
      <c r="P33" s="83" t="s">
        <v>435</v>
      </c>
      <c r="Q33" s="83" t="s">
        <v>526</v>
      </c>
      <c r="R33" s="83" t="s">
        <v>58</v>
      </c>
      <c r="S33" s="83" t="s">
        <v>58</v>
      </c>
    </row>
    <row r="34" spans="2:19" ht="23" customHeight="1" x14ac:dyDescent="0.35">
      <c r="B34" s="80" t="s">
        <v>527</v>
      </c>
      <c r="C34" s="81" t="s">
        <v>528</v>
      </c>
      <c r="D34" s="81" t="s">
        <v>418</v>
      </c>
      <c r="E34" s="81" t="s">
        <v>529</v>
      </c>
      <c r="F34" s="81" t="s">
        <v>530</v>
      </c>
      <c r="G34" s="82">
        <v>3253811.229541095</v>
      </c>
      <c r="H34" s="82">
        <v>3253811.229541095</v>
      </c>
      <c r="I34" s="83" t="s">
        <v>440</v>
      </c>
      <c r="J34" s="83" t="s">
        <v>475</v>
      </c>
      <c r="K34" s="83" t="s">
        <v>423</v>
      </c>
      <c r="L34" s="84" t="s">
        <v>61</v>
      </c>
      <c r="M34" s="83" t="s">
        <v>433</v>
      </c>
      <c r="N34" s="83" t="s">
        <v>531</v>
      </c>
      <c r="O34" s="83" t="s">
        <v>435</v>
      </c>
      <c r="P34" s="83" t="s">
        <v>435</v>
      </c>
      <c r="Q34" s="83" t="s">
        <v>436</v>
      </c>
      <c r="R34" s="83" t="s">
        <v>532</v>
      </c>
      <c r="S34" s="83" t="s">
        <v>58</v>
      </c>
    </row>
    <row r="35" spans="2:19" ht="23" customHeight="1" x14ac:dyDescent="0.35">
      <c r="B35" s="80" t="s">
        <v>533</v>
      </c>
      <c r="C35" s="81" t="s">
        <v>534</v>
      </c>
      <c r="D35" s="81" t="s">
        <v>418</v>
      </c>
      <c r="E35" s="81" t="s">
        <v>445</v>
      </c>
      <c r="F35" s="81" t="s">
        <v>445</v>
      </c>
      <c r="G35" s="82">
        <v>104121.95934531506</v>
      </c>
      <c r="H35" s="82">
        <v>104121.95934531506</v>
      </c>
      <c r="I35" s="83" t="s">
        <v>440</v>
      </c>
      <c r="J35" s="83" t="s">
        <v>422</v>
      </c>
      <c r="K35" s="83" t="s">
        <v>423</v>
      </c>
      <c r="L35" s="84" t="s">
        <v>61</v>
      </c>
      <c r="M35" s="83" t="s">
        <v>424</v>
      </c>
      <c r="N35" s="83" t="s">
        <v>425</v>
      </c>
      <c r="O35" s="83" t="s">
        <v>435</v>
      </c>
      <c r="P35" s="83" t="s">
        <v>435</v>
      </c>
      <c r="Q35" s="83" t="s">
        <v>526</v>
      </c>
      <c r="R35" s="83" t="s">
        <v>58</v>
      </c>
      <c r="S35" s="83" t="s">
        <v>58</v>
      </c>
    </row>
    <row r="36" spans="2:19" ht="23" customHeight="1" x14ac:dyDescent="0.35">
      <c r="B36" s="80" t="s">
        <v>535</v>
      </c>
      <c r="C36" s="81" t="s">
        <v>536</v>
      </c>
      <c r="D36" s="81" t="s">
        <v>418</v>
      </c>
      <c r="E36" s="81" t="s">
        <v>450</v>
      </c>
      <c r="F36" s="81" t="s">
        <v>450</v>
      </c>
      <c r="G36" s="82">
        <v>52060.97967265753</v>
      </c>
      <c r="H36" s="82">
        <v>52060.97967265753</v>
      </c>
      <c r="I36" s="83" t="s">
        <v>440</v>
      </c>
      <c r="J36" s="83" t="s">
        <v>484</v>
      </c>
      <c r="K36" s="83" t="s">
        <v>423</v>
      </c>
      <c r="L36" s="84" t="s">
        <v>61</v>
      </c>
      <c r="M36" s="83" t="s">
        <v>433</v>
      </c>
      <c r="N36" s="83" t="s">
        <v>520</v>
      </c>
      <c r="O36" s="83" t="s">
        <v>426</v>
      </c>
      <c r="P36" s="83" t="s">
        <v>435</v>
      </c>
      <c r="Q36" s="83" t="s">
        <v>526</v>
      </c>
      <c r="R36" s="83" t="s">
        <v>58</v>
      </c>
      <c r="S36" s="83" t="s">
        <v>58</v>
      </c>
    </row>
    <row r="37" spans="2:19" ht="23" customHeight="1" x14ac:dyDescent="0.35">
      <c r="B37" s="80" t="s">
        <v>537</v>
      </c>
      <c r="C37" s="81" t="s">
        <v>538</v>
      </c>
      <c r="D37" s="81" t="s">
        <v>539</v>
      </c>
      <c r="E37" s="81" t="s">
        <v>540</v>
      </c>
      <c r="F37" s="81" t="s">
        <v>541</v>
      </c>
      <c r="G37" s="82">
        <v>6223.1580151947201</v>
      </c>
      <c r="H37" s="82">
        <v>6223.1580151947201</v>
      </c>
      <c r="I37" s="83" t="s">
        <v>440</v>
      </c>
      <c r="J37" s="83" t="s">
        <v>422</v>
      </c>
      <c r="K37" s="83" t="s">
        <v>423</v>
      </c>
      <c r="L37" s="84" t="s">
        <v>81</v>
      </c>
      <c r="M37" s="83" t="s">
        <v>488</v>
      </c>
      <c r="N37" s="83" t="s">
        <v>294</v>
      </c>
      <c r="O37" s="83" t="s">
        <v>435</v>
      </c>
      <c r="P37" s="83" t="s">
        <v>435</v>
      </c>
      <c r="Q37" s="83" t="s">
        <v>526</v>
      </c>
      <c r="R37" s="83" t="s">
        <v>58</v>
      </c>
      <c r="S37" s="83" t="s">
        <v>58</v>
      </c>
    </row>
    <row r="38" spans="2:19" ht="23" customHeight="1" x14ac:dyDescent="0.35">
      <c r="B38" s="80" t="s">
        <v>542</v>
      </c>
      <c r="C38" s="81" t="s">
        <v>543</v>
      </c>
      <c r="D38" s="81" t="s">
        <v>539</v>
      </c>
      <c r="E38" s="81" t="s">
        <v>540</v>
      </c>
      <c r="F38" s="81" t="s">
        <v>544</v>
      </c>
      <c r="G38" s="82">
        <v>317089.66093564202</v>
      </c>
      <c r="H38" s="82">
        <v>317089.66093564202</v>
      </c>
      <c r="I38" s="83" t="s">
        <v>440</v>
      </c>
      <c r="J38" s="83" t="s">
        <v>422</v>
      </c>
      <c r="K38" s="83" t="s">
        <v>423</v>
      </c>
      <c r="L38" s="84" t="s">
        <v>81</v>
      </c>
      <c r="M38" s="83" t="s">
        <v>488</v>
      </c>
      <c r="N38" s="83" t="s">
        <v>294</v>
      </c>
      <c r="O38" s="83" t="s">
        <v>435</v>
      </c>
      <c r="P38" s="83" t="s">
        <v>426</v>
      </c>
      <c r="Q38" s="83" t="s">
        <v>436</v>
      </c>
      <c r="R38" s="83" t="s">
        <v>58</v>
      </c>
      <c r="S38" s="83" t="s">
        <v>58</v>
      </c>
    </row>
    <row r="39" spans="2:19" ht="23" customHeight="1" x14ac:dyDescent="0.35">
      <c r="B39" s="80" t="s">
        <v>545</v>
      </c>
      <c r="C39" s="81" t="s">
        <v>546</v>
      </c>
      <c r="D39" s="81" t="s">
        <v>539</v>
      </c>
      <c r="E39" s="81" t="s">
        <v>540</v>
      </c>
      <c r="F39" s="81" t="s">
        <v>544</v>
      </c>
      <c r="G39" s="82">
        <v>58237.79006078199</v>
      </c>
      <c r="H39" s="82">
        <v>58237.79006078199</v>
      </c>
      <c r="I39" s="83" t="s">
        <v>440</v>
      </c>
      <c r="J39" s="83" t="s">
        <v>422</v>
      </c>
      <c r="K39" s="83" t="s">
        <v>423</v>
      </c>
      <c r="L39" s="84" t="s">
        <v>1177</v>
      </c>
      <c r="M39" s="83" t="s">
        <v>514</v>
      </c>
      <c r="N39" s="83" t="s">
        <v>515</v>
      </c>
      <c r="O39" s="83" t="s">
        <v>435</v>
      </c>
      <c r="P39" s="83" t="s">
        <v>426</v>
      </c>
      <c r="Q39" s="83" t="s">
        <v>526</v>
      </c>
      <c r="R39" s="83" t="s">
        <v>58</v>
      </c>
      <c r="S39" s="83" t="s">
        <v>58</v>
      </c>
    </row>
    <row r="40" spans="2:19" ht="23" customHeight="1" x14ac:dyDescent="0.35">
      <c r="B40" s="80" t="s">
        <v>547</v>
      </c>
      <c r="C40" s="81" t="s">
        <v>548</v>
      </c>
      <c r="D40" s="81" t="s">
        <v>539</v>
      </c>
      <c r="E40" s="81" t="s">
        <v>540</v>
      </c>
      <c r="F40" s="81" t="s">
        <v>544</v>
      </c>
      <c r="G40" s="82">
        <v>267964.88177765399</v>
      </c>
      <c r="H40" s="82">
        <v>267964.88177765399</v>
      </c>
      <c r="I40" s="83" t="s">
        <v>440</v>
      </c>
      <c r="J40" s="83" t="s">
        <v>422</v>
      </c>
      <c r="K40" s="83" t="s">
        <v>423</v>
      </c>
      <c r="L40" s="84" t="s">
        <v>61</v>
      </c>
      <c r="M40" s="83" t="s">
        <v>514</v>
      </c>
      <c r="N40" s="83" t="s">
        <v>515</v>
      </c>
      <c r="O40" s="83" t="s">
        <v>435</v>
      </c>
      <c r="P40" s="83" t="s">
        <v>435</v>
      </c>
      <c r="Q40" s="83" t="s">
        <v>436</v>
      </c>
      <c r="R40" s="83" t="s">
        <v>58</v>
      </c>
      <c r="S40" s="83" t="s">
        <v>58</v>
      </c>
    </row>
    <row r="41" spans="2:19" ht="23" customHeight="1" x14ac:dyDescent="0.35">
      <c r="B41" s="80" t="s">
        <v>549</v>
      </c>
      <c r="C41" s="81" t="s">
        <v>550</v>
      </c>
      <c r="D41" s="81" t="s">
        <v>539</v>
      </c>
      <c r="E41" s="81" t="s">
        <v>540</v>
      </c>
      <c r="F41" s="81" t="s">
        <v>544</v>
      </c>
      <c r="G41" s="82">
        <v>119356.1975894864</v>
      </c>
      <c r="H41" s="82">
        <v>119356.1975894864</v>
      </c>
      <c r="I41" s="83" t="s">
        <v>440</v>
      </c>
      <c r="J41" s="83" t="s">
        <v>422</v>
      </c>
      <c r="K41" s="83" t="s">
        <v>423</v>
      </c>
      <c r="L41" s="84" t="s">
        <v>1177</v>
      </c>
      <c r="M41" s="83" t="s">
        <v>488</v>
      </c>
      <c r="N41" s="83" t="s">
        <v>294</v>
      </c>
      <c r="O41" s="83" t="s">
        <v>435</v>
      </c>
      <c r="P41" s="83" t="s">
        <v>426</v>
      </c>
      <c r="Q41" s="83" t="s">
        <v>436</v>
      </c>
      <c r="R41" s="83" t="s">
        <v>58</v>
      </c>
      <c r="S41" s="83" t="s">
        <v>58</v>
      </c>
    </row>
    <row r="42" spans="2:19" ht="23" customHeight="1" x14ac:dyDescent="0.35">
      <c r="B42" s="80" t="s">
        <v>551</v>
      </c>
      <c r="C42" s="81" t="s">
        <v>552</v>
      </c>
      <c r="D42" s="81" t="s">
        <v>539</v>
      </c>
      <c r="E42" s="81" t="s">
        <v>540</v>
      </c>
      <c r="F42" s="81" t="s">
        <v>553</v>
      </c>
      <c r="G42" s="82">
        <v>105247.61849730757</v>
      </c>
      <c r="H42" s="82">
        <v>105247.61849730757</v>
      </c>
      <c r="I42" s="83" t="s">
        <v>440</v>
      </c>
      <c r="J42" s="83" t="s">
        <v>422</v>
      </c>
      <c r="K42" s="83" t="s">
        <v>423</v>
      </c>
      <c r="L42" s="84" t="s">
        <v>81</v>
      </c>
      <c r="M42" s="83" t="s">
        <v>441</v>
      </c>
      <c r="N42" s="83" t="s">
        <v>204</v>
      </c>
      <c r="O42" s="83" t="s">
        <v>435</v>
      </c>
      <c r="P42" s="83" t="s">
        <v>426</v>
      </c>
      <c r="Q42" s="83" t="s">
        <v>526</v>
      </c>
      <c r="R42" s="83" t="s">
        <v>58</v>
      </c>
      <c r="S42" s="83" t="s">
        <v>58</v>
      </c>
    </row>
    <row r="43" spans="2:19" ht="23" customHeight="1" x14ac:dyDescent="0.35">
      <c r="B43" s="80" t="s">
        <v>554</v>
      </c>
      <c r="C43" s="81" t="s">
        <v>555</v>
      </c>
      <c r="D43" s="81" t="s">
        <v>539</v>
      </c>
      <c r="E43" s="81" t="s">
        <v>540</v>
      </c>
      <c r="F43" s="81" t="s">
        <v>544</v>
      </c>
      <c r="G43" s="82">
        <v>95186.818716044407</v>
      </c>
      <c r="H43" s="82">
        <v>95186.818716044407</v>
      </c>
      <c r="I43" s="83" t="s">
        <v>440</v>
      </c>
      <c r="J43" s="83" t="s">
        <v>422</v>
      </c>
      <c r="K43" s="83" t="s">
        <v>423</v>
      </c>
      <c r="L43" s="84" t="s">
        <v>1177</v>
      </c>
      <c r="M43" s="83" t="s">
        <v>488</v>
      </c>
      <c r="N43" s="83" t="s">
        <v>294</v>
      </c>
      <c r="O43" s="83" t="s">
        <v>435</v>
      </c>
      <c r="P43" s="83" t="s">
        <v>435</v>
      </c>
      <c r="Q43" s="83" t="s">
        <v>526</v>
      </c>
      <c r="R43" s="83" t="s">
        <v>58</v>
      </c>
      <c r="S43" s="83" t="s">
        <v>58</v>
      </c>
    </row>
    <row r="44" spans="2:19" ht="23" customHeight="1" x14ac:dyDescent="0.35">
      <c r="B44" s="80" t="s">
        <v>556</v>
      </c>
      <c r="C44" s="81" t="s">
        <v>557</v>
      </c>
      <c r="D44" s="81" t="s">
        <v>539</v>
      </c>
      <c r="E44" s="81" t="s">
        <v>445</v>
      </c>
      <c r="F44" s="81" t="s">
        <v>445</v>
      </c>
      <c r="G44" s="82">
        <v>707849.29666829808</v>
      </c>
      <c r="H44" s="82">
        <v>707849.29666829808</v>
      </c>
      <c r="I44" s="83" t="s">
        <v>440</v>
      </c>
      <c r="J44" s="83" t="s">
        <v>422</v>
      </c>
      <c r="K44" s="83" t="s">
        <v>423</v>
      </c>
      <c r="L44" s="84" t="s">
        <v>81</v>
      </c>
      <c r="M44" s="83" t="s">
        <v>488</v>
      </c>
      <c r="N44" s="83" t="s">
        <v>294</v>
      </c>
      <c r="O44" s="83" t="s">
        <v>426</v>
      </c>
      <c r="P44" s="83" t="s">
        <v>426</v>
      </c>
      <c r="Q44" s="83" t="s">
        <v>436</v>
      </c>
      <c r="R44" s="83" t="s">
        <v>58</v>
      </c>
      <c r="S44" s="83" t="s">
        <v>58</v>
      </c>
    </row>
    <row r="45" spans="2:19" ht="23" customHeight="1" x14ac:dyDescent="0.35">
      <c r="B45" s="80" t="s">
        <v>558</v>
      </c>
      <c r="C45" s="81" t="s">
        <v>559</v>
      </c>
      <c r="D45" s="81" t="s">
        <v>418</v>
      </c>
      <c r="E45" s="81" t="s">
        <v>560</v>
      </c>
      <c r="F45" s="81" t="s">
        <v>445</v>
      </c>
      <c r="G45" s="82">
        <v>25878350.298234403</v>
      </c>
      <c r="H45" s="82">
        <v>25878350.298234403</v>
      </c>
      <c r="I45" s="83" t="s">
        <v>440</v>
      </c>
      <c r="J45" s="83" t="s">
        <v>475</v>
      </c>
      <c r="K45" s="83" t="s">
        <v>423</v>
      </c>
      <c r="L45" s="84" t="s">
        <v>81</v>
      </c>
      <c r="M45" s="83" t="s">
        <v>479</v>
      </c>
      <c r="N45" s="83" t="s">
        <v>91</v>
      </c>
      <c r="O45" s="83" t="s">
        <v>435</v>
      </c>
      <c r="P45" s="83" t="s">
        <v>435</v>
      </c>
      <c r="Q45" s="83" t="s">
        <v>436</v>
      </c>
      <c r="R45" s="83" t="s">
        <v>561</v>
      </c>
      <c r="S45" s="83" t="s">
        <v>58</v>
      </c>
    </row>
    <row r="46" spans="2:19" ht="23" customHeight="1" x14ac:dyDescent="0.35">
      <c r="B46" s="80" t="s">
        <v>562</v>
      </c>
      <c r="C46" s="81" t="s">
        <v>563</v>
      </c>
      <c r="D46" s="81" t="s">
        <v>539</v>
      </c>
      <c r="E46" s="81" t="s">
        <v>419</v>
      </c>
      <c r="F46" s="81" t="s">
        <v>564</v>
      </c>
      <c r="G46" s="82">
        <v>113520</v>
      </c>
      <c r="H46" s="82">
        <v>113520</v>
      </c>
      <c r="I46" s="83" t="s">
        <v>432</v>
      </c>
      <c r="J46" s="83" t="s">
        <v>422</v>
      </c>
      <c r="K46" s="83" t="s">
        <v>423</v>
      </c>
      <c r="L46" s="84" t="s">
        <v>81</v>
      </c>
      <c r="M46" s="83" t="s">
        <v>441</v>
      </c>
      <c r="N46" s="83" t="s">
        <v>204</v>
      </c>
      <c r="O46" s="83" t="s">
        <v>435</v>
      </c>
      <c r="P46" s="83" t="s">
        <v>435</v>
      </c>
      <c r="Q46" s="83" t="s">
        <v>436</v>
      </c>
      <c r="R46" s="83" t="s">
        <v>58</v>
      </c>
      <c r="S46" s="83" t="s">
        <v>58</v>
      </c>
    </row>
    <row r="47" spans="2:19" ht="23" customHeight="1" x14ac:dyDescent="0.35">
      <c r="B47" s="80" t="s">
        <v>565</v>
      </c>
      <c r="C47" s="81" t="s">
        <v>566</v>
      </c>
      <c r="D47" s="81" t="s">
        <v>539</v>
      </c>
      <c r="E47" s="81" t="s">
        <v>567</v>
      </c>
      <c r="F47" s="81" t="s">
        <v>450</v>
      </c>
      <c r="G47" s="82">
        <v>378713.63266484899</v>
      </c>
      <c r="H47" s="82">
        <v>378713.63266484899</v>
      </c>
      <c r="I47" s="83" t="s">
        <v>440</v>
      </c>
      <c r="J47" s="83" t="s">
        <v>422</v>
      </c>
      <c r="K47" s="83" t="s">
        <v>423</v>
      </c>
      <c r="L47" s="84" t="s">
        <v>81</v>
      </c>
      <c r="M47" s="83" t="s">
        <v>488</v>
      </c>
      <c r="N47" s="83" t="s">
        <v>294</v>
      </c>
      <c r="O47" s="83" t="s">
        <v>435</v>
      </c>
      <c r="P47" s="83" t="s">
        <v>426</v>
      </c>
      <c r="Q47" s="83" t="s">
        <v>436</v>
      </c>
      <c r="R47" s="83" t="s">
        <v>568</v>
      </c>
      <c r="S47" s="83" t="s">
        <v>58</v>
      </c>
    </row>
    <row r="48" spans="2:19" ht="23" customHeight="1" x14ac:dyDescent="0.35">
      <c r="B48" s="80" t="s">
        <v>569</v>
      </c>
      <c r="C48" s="81" t="s">
        <v>570</v>
      </c>
      <c r="D48" s="81" t="s">
        <v>539</v>
      </c>
      <c r="E48" s="81" t="s">
        <v>540</v>
      </c>
      <c r="F48" s="81" t="s">
        <v>450</v>
      </c>
      <c r="G48" s="82">
        <v>7444.3651868200805</v>
      </c>
      <c r="H48" s="82">
        <v>7444.3651868200805</v>
      </c>
      <c r="I48" s="83" t="s">
        <v>440</v>
      </c>
      <c r="J48" s="83" t="s">
        <v>422</v>
      </c>
      <c r="K48" s="83" t="s">
        <v>423</v>
      </c>
      <c r="L48" s="84" t="s">
        <v>1177</v>
      </c>
      <c r="M48" s="83" t="s">
        <v>462</v>
      </c>
      <c r="N48" s="83" t="s">
        <v>318</v>
      </c>
      <c r="O48" s="83" t="s">
        <v>435</v>
      </c>
      <c r="P48" s="83" t="s">
        <v>426</v>
      </c>
      <c r="Q48" s="83" t="s">
        <v>526</v>
      </c>
      <c r="R48" s="83" t="s">
        <v>58</v>
      </c>
      <c r="S48" s="83" t="s">
        <v>58</v>
      </c>
    </row>
    <row r="49" spans="2:19" ht="23" customHeight="1" x14ac:dyDescent="0.35">
      <c r="B49" s="80" t="s">
        <v>571</v>
      </c>
      <c r="C49" s="81" t="s">
        <v>572</v>
      </c>
      <c r="D49" s="81" t="s">
        <v>539</v>
      </c>
      <c r="E49" s="81" t="s">
        <v>540</v>
      </c>
      <c r="F49" s="81" t="s">
        <v>450</v>
      </c>
      <c r="G49" s="82">
        <v>120147.44256162038</v>
      </c>
      <c r="H49" s="82">
        <v>120147.44256162038</v>
      </c>
      <c r="I49" s="83" t="s">
        <v>440</v>
      </c>
      <c r="J49" s="83" t="s">
        <v>422</v>
      </c>
      <c r="K49" s="83" t="s">
        <v>423</v>
      </c>
      <c r="L49" s="84" t="s">
        <v>81</v>
      </c>
      <c r="M49" s="83" t="s">
        <v>488</v>
      </c>
      <c r="N49" s="83" t="s">
        <v>489</v>
      </c>
      <c r="O49" s="83" t="s">
        <v>435</v>
      </c>
      <c r="P49" s="83" t="s">
        <v>426</v>
      </c>
      <c r="Q49" s="83" t="s">
        <v>436</v>
      </c>
      <c r="R49" s="83" t="s">
        <v>573</v>
      </c>
      <c r="S49" s="83" t="s">
        <v>58</v>
      </c>
    </row>
    <row r="50" spans="2:19" ht="23" customHeight="1" x14ac:dyDescent="0.35">
      <c r="B50" s="80" t="s">
        <v>574</v>
      </c>
      <c r="C50" s="81" t="s">
        <v>575</v>
      </c>
      <c r="D50" s="81" t="s">
        <v>418</v>
      </c>
      <c r="E50" s="81" t="s">
        <v>439</v>
      </c>
      <c r="F50" s="81" t="s">
        <v>439</v>
      </c>
      <c r="G50" s="82">
        <v>12240.808874202299</v>
      </c>
      <c r="H50" s="82">
        <v>12240.808874202299</v>
      </c>
      <c r="I50" s="83" t="s">
        <v>576</v>
      </c>
      <c r="J50" s="83" t="s">
        <v>422</v>
      </c>
      <c r="K50" s="83" t="s">
        <v>423</v>
      </c>
      <c r="L50" s="84" t="s">
        <v>1177</v>
      </c>
      <c r="M50" s="83" t="s">
        <v>462</v>
      </c>
      <c r="N50" s="83" t="s">
        <v>303</v>
      </c>
      <c r="O50" s="83" t="s">
        <v>426</v>
      </c>
      <c r="P50" s="83" t="s">
        <v>435</v>
      </c>
      <c r="Q50" s="83" t="s">
        <v>526</v>
      </c>
      <c r="R50" s="83" t="s">
        <v>577</v>
      </c>
      <c r="S50" s="83" t="s">
        <v>58</v>
      </c>
    </row>
    <row r="51" spans="2:19" ht="23" customHeight="1" x14ac:dyDescent="0.35">
      <c r="B51" s="80" t="s">
        <v>578</v>
      </c>
      <c r="C51" s="81" t="s">
        <v>579</v>
      </c>
      <c r="D51" s="81" t="s">
        <v>539</v>
      </c>
      <c r="E51" s="81" t="s">
        <v>580</v>
      </c>
      <c r="F51" s="81" t="s">
        <v>580</v>
      </c>
      <c r="G51" s="82">
        <v>3789.2932311424202</v>
      </c>
      <c r="H51" s="82">
        <v>3789.2932311424202</v>
      </c>
      <c r="I51" s="83" t="s">
        <v>440</v>
      </c>
      <c r="J51" s="83" t="s">
        <v>422</v>
      </c>
      <c r="K51" s="83" t="s">
        <v>423</v>
      </c>
      <c r="L51" s="84" t="s">
        <v>81</v>
      </c>
      <c r="M51" s="83" t="s">
        <v>441</v>
      </c>
      <c r="N51" s="83" t="s">
        <v>204</v>
      </c>
      <c r="O51" s="83" t="s">
        <v>435</v>
      </c>
      <c r="P51" s="83" t="s">
        <v>435</v>
      </c>
      <c r="Q51" s="83" t="s">
        <v>526</v>
      </c>
      <c r="R51" s="83" t="s">
        <v>58</v>
      </c>
      <c r="S51" s="83" t="s">
        <v>58</v>
      </c>
    </row>
    <row r="52" spans="2:19" ht="23" customHeight="1" x14ac:dyDescent="0.35">
      <c r="B52" s="80" t="s">
        <v>581</v>
      </c>
      <c r="C52" s="81" t="s">
        <v>582</v>
      </c>
      <c r="D52" s="81" t="s">
        <v>539</v>
      </c>
      <c r="E52" s="81" t="s">
        <v>419</v>
      </c>
      <c r="F52" s="81" t="s">
        <v>419</v>
      </c>
      <c r="G52" s="82">
        <v>3885.8660757761122</v>
      </c>
      <c r="H52" s="82">
        <v>3885.8660757761122</v>
      </c>
      <c r="I52" s="83" t="s">
        <v>440</v>
      </c>
      <c r="J52" s="83" t="s">
        <v>422</v>
      </c>
      <c r="K52" s="83" t="s">
        <v>423</v>
      </c>
      <c r="L52" s="84" t="s">
        <v>81</v>
      </c>
      <c r="M52" s="83" t="s">
        <v>479</v>
      </c>
      <c r="N52" s="83" t="s">
        <v>91</v>
      </c>
      <c r="O52" s="83" t="s">
        <v>435</v>
      </c>
      <c r="P52" s="83" t="s">
        <v>435</v>
      </c>
      <c r="Q52" s="83" t="s">
        <v>526</v>
      </c>
      <c r="R52" s="83" t="s">
        <v>58</v>
      </c>
      <c r="S52" s="83" t="s">
        <v>58</v>
      </c>
    </row>
    <row r="53" spans="2:19" ht="23" customHeight="1" x14ac:dyDescent="0.35">
      <c r="B53" s="80" t="s">
        <v>583</v>
      </c>
      <c r="C53" s="81" t="s">
        <v>584</v>
      </c>
      <c r="D53" s="81" t="s">
        <v>539</v>
      </c>
      <c r="E53" s="81" t="s">
        <v>419</v>
      </c>
      <c r="F53" s="81" t="s">
        <v>419</v>
      </c>
      <c r="G53" s="82">
        <v>5413.2760444891801</v>
      </c>
      <c r="H53" s="82">
        <v>5413.2760444891801</v>
      </c>
      <c r="I53" s="83" t="s">
        <v>440</v>
      </c>
      <c r="J53" s="83" t="s">
        <v>422</v>
      </c>
      <c r="K53" s="83" t="s">
        <v>423</v>
      </c>
      <c r="L53" s="84" t="s">
        <v>81</v>
      </c>
      <c r="M53" s="83" t="s">
        <v>585</v>
      </c>
      <c r="N53" s="83" t="s">
        <v>85</v>
      </c>
      <c r="O53" s="83" t="s">
        <v>435</v>
      </c>
      <c r="P53" s="83" t="s">
        <v>435</v>
      </c>
      <c r="Q53" s="83" t="s">
        <v>526</v>
      </c>
      <c r="R53" s="83" t="s">
        <v>58</v>
      </c>
      <c r="S53" s="83" t="s">
        <v>58</v>
      </c>
    </row>
    <row r="54" spans="2:19" ht="23" customHeight="1" x14ac:dyDescent="0.35">
      <c r="B54" s="80" t="s">
        <v>586</v>
      </c>
      <c r="C54" s="81" t="s">
        <v>587</v>
      </c>
      <c r="D54" s="81" t="s">
        <v>539</v>
      </c>
      <c r="E54" s="81" t="s">
        <v>455</v>
      </c>
      <c r="F54" s="81" t="s">
        <v>588</v>
      </c>
      <c r="G54" s="82">
        <v>15499804.416245</v>
      </c>
      <c r="H54" s="82">
        <v>15499804.416245</v>
      </c>
      <c r="I54" s="83" t="s">
        <v>440</v>
      </c>
      <c r="J54" s="83" t="s">
        <v>422</v>
      </c>
      <c r="K54" s="83" t="s">
        <v>423</v>
      </c>
      <c r="L54" s="84" t="s">
        <v>81</v>
      </c>
      <c r="M54" s="83" t="s">
        <v>441</v>
      </c>
      <c r="N54" s="83" t="s">
        <v>204</v>
      </c>
      <c r="O54" s="83" t="s">
        <v>435</v>
      </c>
      <c r="P54" s="83" t="s">
        <v>435</v>
      </c>
      <c r="Q54" s="83" t="s">
        <v>436</v>
      </c>
      <c r="R54" s="83" t="s">
        <v>58</v>
      </c>
      <c r="S54" s="83" t="s">
        <v>58</v>
      </c>
    </row>
    <row r="55" spans="2:19" ht="23" customHeight="1" x14ac:dyDescent="0.35">
      <c r="B55" s="80" t="s">
        <v>589</v>
      </c>
      <c r="C55" s="81" t="s">
        <v>590</v>
      </c>
      <c r="D55" s="81" t="s">
        <v>539</v>
      </c>
      <c r="E55" s="81" t="s">
        <v>591</v>
      </c>
      <c r="F55" s="81" t="s">
        <v>588</v>
      </c>
      <c r="G55" s="82">
        <v>7196337.7647520304</v>
      </c>
      <c r="H55" s="82">
        <v>7196337.7647520304</v>
      </c>
      <c r="I55" s="83" t="s">
        <v>440</v>
      </c>
      <c r="J55" s="83" t="s">
        <v>422</v>
      </c>
      <c r="K55" s="83" t="s">
        <v>423</v>
      </c>
      <c r="L55" s="84" t="s">
        <v>1177</v>
      </c>
      <c r="M55" s="83" t="s">
        <v>479</v>
      </c>
      <c r="N55" s="83" t="s">
        <v>592</v>
      </c>
      <c r="O55" s="83" t="s">
        <v>426</v>
      </c>
      <c r="P55" s="83" t="s">
        <v>426</v>
      </c>
      <c r="Q55" s="83" t="s">
        <v>436</v>
      </c>
      <c r="R55" s="83" t="s">
        <v>58</v>
      </c>
      <c r="S55" s="83" t="s">
        <v>58</v>
      </c>
    </row>
    <row r="56" spans="2:19" ht="23" customHeight="1" x14ac:dyDescent="0.35">
      <c r="B56" s="80" t="s">
        <v>593</v>
      </c>
      <c r="C56" s="81" t="s">
        <v>594</v>
      </c>
      <c r="D56" s="81" t="s">
        <v>539</v>
      </c>
      <c r="E56" s="81" t="s">
        <v>580</v>
      </c>
      <c r="F56" s="81" t="s">
        <v>580</v>
      </c>
      <c r="G56" s="82">
        <v>38573.656153850199</v>
      </c>
      <c r="H56" s="82">
        <v>38573.656153850199</v>
      </c>
      <c r="I56" s="83" t="s">
        <v>440</v>
      </c>
      <c r="J56" s="83" t="s">
        <v>422</v>
      </c>
      <c r="K56" s="83" t="s">
        <v>423</v>
      </c>
      <c r="L56" s="84" t="s">
        <v>81</v>
      </c>
      <c r="M56" s="83" t="s">
        <v>468</v>
      </c>
      <c r="N56" s="83" t="s">
        <v>469</v>
      </c>
      <c r="O56" s="83" t="s">
        <v>426</v>
      </c>
      <c r="P56" s="83" t="s">
        <v>435</v>
      </c>
      <c r="Q56" s="83" t="s">
        <v>526</v>
      </c>
      <c r="R56" s="83" t="s">
        <v>58</v>
      </c>
      <c r="S56" s="83" t="s">
        <v>58</v>
      </c>
    </row>
    <row r="57" spans="2:19" ht="23" customHeight="1" x14ac:dyDescent="0.35">
      <c r="B57" s="80" t="s">
        <v>595</v>
      </c>
      <c r="C57" s="81" t="s">
        <v>596</v>
      </c>
      <c r="D57" s="81" t="s">
        <v>539</v>
      </c>
      <c r="E57" s="81" t="s">
        <v>540</v>
      </c>
      <c r="F57" s="81" t="s">
        <v>540</v>
      </c>
      <c r="G57" s="82">
        <v>4060.6878813057601</v>
      </c>
      <c r="H57" s="82">
        <v>4060.6878813057601</v>
      </c>
      <c r="I57" s="83" t="s">
        <v>440</v>
      </c>
      <c r="J57" s="83" t="s">
        <v>422</v>
      </c>
      <c r="K57" s="83" t="s">
        <v>423</v>
      </c>
      <c r="L57" s="84" t="s">
        <v>81</v>
      </c>
      <c r="M57" s="83" t="s">
        <v>488</v>
      </c>
      <c r="N57" s="83" t="s">
        <v>425</v>
      </c>
      <c r="O57" s="83" t="s">
        <v>435</v>
      </c>
      <c r="P57" s="83" t="s">
        <v>426</v>
      </c>
      <c r="Q57" s="83" t="s">
        <v>526</v>
      </c>
      <c r="R57" s="83" t="s">
        <v>58</v>
      </c>
      <c r="S57" s="83" t="s">
        <v>58</v>
      </c>
    </row>
    <row r="58" spans="2:19" ht="23" customHeight="1" x14ac:dyDescent="0.35">
      <c r="B58" s="80" t="s">
        <v>597</v>
      </c>
      <c r="C58" s="81" t="s">
        <v>598</v>
      </c>
      <c r="D58" s="81" t="s">
        <v>539</v>
      </c>
      <c r="E58" s="81" t="s">
        <v>580</v>
      </c>
      <c r="F58" s="81" t="s">
        <v>580</v>
      </c>
      <c r="G58" s="82">
        <v>18883.42314880616</v>
      </c>
      <c r="H58" s="82">
        <v>18883.42314880616</v>
      </c>
      <c r="I58" s="83" t="s">
        <v>440</v>
      </c>
      <c r="J58" s="83" t="s">
        <v>422</v>
      </c>
      <c r="K58" s="83" t="s">
        <v>423</v>
      </c>
      <c r="L58" s="84" t="s">
        <v>81</v>
      </c>
      <c r="M58" s="83" t="s">
        <v>479</v>
      </c>
      <c r="N58" s="83" t="s">
        <v>91</v>
      </c>
      <c r="O58" s="83" t="s">
        <v>435</v>
      </c>
      <c r="P58" s="83" t="s">
        <v>435</v>
      </c>
      <c r="Q58" s="83" t="s">
        <v>526</v>
      </c>
      <c r="R58" s="83" t="s">
        <v>599</v>
      </c>
      <c r="S58" s="83" t="s">
        <v>58</v>
      </c>
    </row>
    <row r="59" spans="2:19" ht="23" customHeight="1" x14ac:dyDescent="0.35">
      <c r="B59" s="80" t="s">
        <v>600</v>
      </c>
      <c r="C59" s="81" t="s">
        <v>601</v>
      </c>
      <c r="D59" s="81" t="s">
        <v>539</v>
      </c>
      <c r="E59" s="81" t="s">
        <v>591</v>
      </c>
      <c r="F59" s="81" t="s">
        <v>591</v>
      </c>
      <c r="G59" s="82">
        <v>2282879.75973689</v>
      </c>
      <c r="H59" s="82">
        <v>2282879.75973689</v>
      </c>
      <c r="I59" s="83" t="s">
        <v>440</v>
      </c>
      <c r="J59" s="83" t="s">
        <v>422</v>
      </c>
      <c r="K59" s="83" t="s">
        <v>423</v>
      </c>
      <c r="L59" s="84" t="s">
        <v>61</v>
      </c>
      <c r="M59" s="83" t="s">
        <v>462</v>
      </c>
      <c r="N59" s="83" t="s">
        <v>318</v>
      </c>
      <c r="O59" s="83" t="s">
        <v>426</v>
      </c>
      <c r="P59" s="83" t="s">
        <v>426</v>
      </c>
      <c r="Q59" s="83" t="s">
        <v>436</v>
      </c>
      <c r="R59" s="83" t="s">
        <v>602</v>
      </c>
      <c r="S59" s="83" t="s">
        <v>58</v>
      </c>
    </row>
    <row r="60" spans="2:19" ht="23" customHeight="1" x14ac:dyDescent="0.35">
      <c r="B60" s="80" t="s">
        <v>603</v>
      </c>
      <c r="C60" s="81" t="s">
        <v>604</v>
      </c>
      <c r="D60" s="81" t="s">
        <v>539</v>
      </c>
      <c r="E60" s="81" t="s">
        <v>445</v>
      </c>
      <c r="F60" s="81" t="s">
        <v>445</v>
      </c>
      <c r="G60" s="82">
        <v>83946.046490521796</v>
      </c>
      <c r="H60" s="82">
        <v>83946.046490521796</v>
      </c>
      <c r="I60" s="83" t="s">
        <v>440</v>
      </c>
      <c r="J60" s="83" t="s">
        <v>422</v>
      </c>
      <c r="K60" s="83" t="s">
        <v>423</v>
      </c>
      <c r="L60" s="84" t="s">
        <v>61</v>
      </c>
      <c r="M60" s="83" t="s">
        <v>433</v>
      </c>
      <c r="N60" s="83" t="s">
        <v>531</v>
      </c>
      <c r="O60" s="83" t="s">
        <v>426</v>
      </c>
      <c r="P60" s="83" t="s">
        <v>426</v>
      </c>
      <c r="Q60" s="83" t="s">
        <v>526</v>
      </c>
      <c r="R60" s="83" t="s">
        <v>58</v>
      </c>
      <c r="S60" s="83" t="s">
        <v>58</v>
      </c>
    </row>
    <row r="61" spans="2:19" ht="23" customHeight="1" x14ac:dyDescent="0.35">
      <c r="B61" s="80" t="s">
        <v>605</v>
      </c>
      <c r="C61" s="81" t="s">
        <v>606</v>
      </c>
      <c r="D61" s="81" t="s">
        <v>539</v>
      </c>
      <c r="E61" s="81" t="s">
        <v>445</v>
      </c>
      <c r="F61" s="81" t="s">
        <v>445</v>
      </c>
      <c r="G61" s="82">
        <v>106629.752377293</v>
      </c>
      <c r="H61" s="82">
        <v>106629.752377293</v>
      </c>
      <c r="I61" s="83" t="s">
        <v>440</v>
      </c>
      <c r="J61" s="83" t="s">
        <v>422</v>
      </c>
      <c r="K61" s="83" t="s">
        <v>423</v>
      </c>
      <c r="L61" s="84" t="s">
        <v>61</v>
      </c>
      <c r="M61" s="83" t="s">
        <v>433</v>
      </c>
      <c r="N61" s="83" t="s">
        <v>531</v>
      </c>
      <c r="O61" s="83" t="s">
        <v>435</v>
      </c>
      <c r="P61" s="83" t="s">
        <v>426</v>
      </c>
      <c r="Q61" s="83" t="s">
        <v>526</v>
      </c>
      <c r="R61" s="83" t="s">
        <v>58</v>
      </c>
      <c r="S61" s="83" t="s">
        <v>58</v>
      </c>
    </row>
    <row r="62" spans="2:19" ht="23" customHeight="1" x14ac:dyDescent="0.35">
      <c r="B62" s="80" t="s">
        <v>607</v>
      </c>
      <c r="C62" s="81" t="s">
        <v>608</v>
      </c>
      <c r="D62" s="81" t="s">
        <v>539</v>
      </c>
      <c r="E62" s="81" t="s">
        <v>540</v>
      </c>
      <c r="F62" s="81" t="s">
        <v>609</v>
      </c>
      <c r="G62" s="82">
        <v>4929463.4152093204</v>
      </c>
      <c r="H62" s="82">
        <v>4929463.4152093204</v>
      </c>
      <c r="I62" s="83" t="s">
        <v>440</v>
      </c>
      <c r="J62" s="83" t="s">
        <v>422</v>
      </c>
      <c r="K62" s="83" t="s">
        <v>423</v>
      </c>
      <c r="L62" s="84" t="s">
        <v>61</v>
      </c>
      <c r="M62" s="83" t="s">
        <v>441</v>
      </c>
      <c r="N62" s="83" t="s">
        <v>204</v>
      </c>
      <c r="O62" s="83" t="s">
        <v>435</v>
      </c>
      <c r="P62" s="83" t="s">
        <v>426</v>
      </c>
      <c r="Q62" s="83" t="s">
        <v>436</v>
      </c>
      <c r="R62" s="83" t="s">
        <v>58</v>
      </c>
      <c r="S62" s="83" t="s">
        <v>58</v>
      </c>
    </row>
    <row r="63" spans="2:19" ht="23" customHeight="1" x14ac:dyDescent="0.35">
      <c r="B63" s="80" t="s">
        <v>610</v>
      </c>
      <c r="C63" s="81" t="s">
        <v>611</v>
      </c>
      <c r="D63" s="81" t="s">
        <v>539</v>
      </c>
      <c r="E63" s="81" t="s">
        <v>540</v>
      </c>
      <c r="F63" s="81" t="s">
        <v>609</v>
      </c>
      <c r="G63" s="82">
        <v>152597.26885366562</v>
      </c>
      <c r="H63" s="82">
        <v>152597.26885366562</v>
      </c>
      <c r="I63" s="83" t="s">
        <v>440</v>
      </c>
      <c r="J63" s="83" t="s">
        <v>422</v>
      </c>
      <c r="K63" s="83" t="s">
        <v>423</v>
      </c>
      <c r="L63" s="84" t="s">
        <v>61</v>
      </c>
      <c r="M63" s="83" t="s">
        <v>514</v>
      </c>
      <c r="N63" s="83" t="s">
        <v>515</v>
      </c>
      <c r="O63" s="83" t="s">
        <v>426</v>
      </c>
      <c r="P63" s="83" t="s">
        <v>426</v>
      </c>
      <c r="Q63" s="83" t="s">
        <v>436</v>
      </c>
      <c r="R63" s="83" t="s">
        <v>58</v>
      </c>
      <c r="S63" s="83" t="s">
        <v>58</v>
      </c>
    </row>
    <row r="64" spans="2:19" ht="23" customHeight="1" x14ac:dyDescent="0.35">
      <c r="B64" s="80" t="s">
        <v>612</v>
      </c>
      <c r="C64" s="81" t="s">
        <v>613</v>
      </c>
      <c r="D64" s="81" t="s">
        <v>539</v>
      </c>
      <c r="E64" s="81" t="s">
        <v>540</v>
      </c>
      <c r="F64" s="81" t="s">
        <v>609</v>
      </c>
      <c r="G64" s="82">
        <v>379701.91171206895</v>
      </c>
      <c r="H64" s="82">
        <v>379701.91171206895</v>
      </c>
      <c r="I64" s="83" t="s">
        <v>440</v>
      </c>
      <c r="J64" s="83" t="s">
        <v>422</v>
      </c>
      <c r="K64" s="83" t="s">
        <v>423</v>
      </c>
      <c r="L64" s="84" t="s">
        <v>61</v>
      </c>
      <c r="M64" s="83" t="s">
        <v>514</v>
      </c>
      <c r="N64" s="83" t="s">
        <v>515</v>
      </c>
      <c r="O64" s="83" t="s">
        <v>426</v>
      </c>
      <c r="P64" s="83" t="s">
        <v>426</v>
      </c>
      <c r="Q64" s="83" t="s">
        <v>436</v>
      </c>
      <c r="R64" s="83" t="s">
        <v>58</v>
      </c>
      <c r="S64" s="83" t="s">
        <v>58</v>
      </c>
    </row>
    <row r="65" spans="2:19" ht="23" customHeight="1" x14ac:dyDescent="0.35">
      <c r="B65" s="80" t="s">
        <v>614</v>
      </c>
      <c r="C65" s="81" t="s">
        <v>615</v>
      </c>
      <c r="D65" s="81" t="s">
        <v>539</v>
      </c>
      <c r="E65" s="81" t="s">
        <v>540</v>
      </c>
      <c r="F65" s="81" t="s">
        <v>560</v>
      </c>
      <c r="G65" s="82">
        <v>52569.385899342502</v>
      </c>
      <c r="H65" s="82">
        <v>52569.385899342502</v>
      </c>
      <c r="I65" s="83" t="s">
        <v>440</v>
      </c>
      <c r="J65" s="83" t="s">
        <v>422</v>
      </c>
      <c r="K65" s="83" t="s">
        <v>423</v>
      </c>
      <c r="L65" s="84" t="s">
        <v>1177</v>
      </c>
      <c r="M65" s="83" t="s">
        <v>488</v>
      </c>
      <c r="N65" s="83" t="s">
        <v>294</v>
      </c>
      <c r="O65" s="83" t="s">
        <v>435</v>
      </c>
      <c r="P65" s="83" t="s">
        <v>426</v>
      </c>
      <c r="Q65" s="83" t="s">
        <v>526</v>
      </c>
      <c r="R65" s="83" t="s">
        <v>58</v>
      </c>
      <c r="S65" s="83" t="s">
        <v>58</v>
      </c>
    </row>
    <row r="66" spans="2:19" ht="23" customHeight="1" x14ac:dyDescent="0.35">
      <c r="B66" s="80" t="s">
        <v>616</v>
      </c>
      <c r="C66" s="81" t="s">
        <v>617</v>
      </c>
      <c r="D66" s="81" t="s">
        <v>539</v>
      </c>
      <c r="E66" s="81" t="s">
        <v>540</v>
      </c>
      <c r="F66" s="81" t="s">
        <v>560</v>
      </c>
      <c r="G66" s="82">
        <v>26184.3401823805</v>
      </c>
      <c r="H66" s="82">
        <v>26184.3401823805</v>
      </c>
      <c r="I66" s="83" t="s">
        <v>440</v>
      </c>
      <c r="J66" s="83" t="s">
        <v>422</v>
      </c>
      <c r="K66" s="83" t="s">
        <v>423</v>
      </c>
      <c r="L66" s="84" t="s">
        <v>81</v>
      </c>
      <c r="M66" s="83" t="s">
        <v>618</v>
      </c>
      <c r="N66" s="83" t="s">
        <v>168</v>
      </c>
      <c r="O66" s="83" t="s">
        <v>435</v>
      </c>
      <c r="P66" s="83" t="s">
        <v>426</v>
      </c>
      <c r="Q66" s="83" t="s">
        <v>526</v>
      </c>
      <c r="R66" s="83" t="s">
        <v>619</v>
      </c>
      <c r="S66" s="83" t="s">
        <v>58</v>
      </c>
    </row>
    <row r="67" spans="2:19" ht="23" customHeight="1" x14ac:dyDescent="0.35">
      <c r="B67" s="80" t="s">
        <v>620</v>
      </c>
      <c r="C67" s="81" t="s">
        <v>621</v>
      </c>
      <c r="D67" s="81" t="s">
        <v>539</v>
      </c>
      <c r="E67" s="81" t="s">
        <v>540</v>
      </c>
      <c r="F67" s="81" t="s">
        <v>622</v>
      </c>
      <c r="G67" s="82">
        <v>48079.084187107204</v>
      </c>
      <c r="H67" s="82">
        <v>48079.084187107204</v>
      </c>
      <c r="I67" s="83" t="s">
        <v>440</v>
      </c>
      <c r="J67" s="83" t="s">
        <v>422</v>
      </c>
      <c r="K67" s="83" t="s">
        <v>423</v>
      </c>
      <c r="L67" s="84" t="s">
        <v>81</v>
      </c>
      <c r="M67" s="83" t="s">
        <v>479</v>
      </c>
      <c r="N67" s="83" t="s">
        <v>91</v>
      </c>
      <c r="O67" s="83" t="s">
        <v>435</v>
      </c>
      <c r="P67" s="83" t="s">
        <v>426</v>
      </c>
      <c r="Q67" s="83" t="s">
        <v>526</v>
      </c>
      <c r="R67" s="83" t="s">
        <v>58</v>
      </c>
      <c r="S67" s="83" t="s">
        <v>58</v>
      </c>
    </row>
    <row r="68" spans="2:19" ht="23" customHeight="1" x14ac:dyDescent="0.35">
      <c r="B68" s="80" t="s">
        <v>623</v>
      </c>
      <c r="C68" s="81" t="s">
        <v>624</v>
      </c>
      <c r="D68" s="81" t="s">
        <v>539</v>
      </c>
      <c r="E68" s="81" t="s">
        <v>540</v>
      </c>
      <c r="F68" s="81" t="s">
        <v>625</v>
      </c>
      <c r="G68" s="82">
        <v>131423.4647483564</v>
      </c>
      <c r="H68" s="82">
        <v>131423.4647483564</v>
      </c>
      <c r="I68" s="83" t="s">
        <v>440</v>
      </c>
      <c r="J68" s="83" t="s">
        <v>422</v>
      </c>
      <c r="K68" s="83" t="s">
        <v>423</v>
      </c>
      <c r="L68" s="84" t="s">
        <v>81</v>
      </c>
      <c r="M68" s="83" t="s">
        <v>479</v>
      </c>
      <c r="N68" s="83" t="s">
        <v>91</v>
      </c>
      <c r="O68" s="83" t="s">
        <v>435</v>
      </c>
      <c r="P68" s="83" t="s">
        <v>435</v>
      </c>
      <c r="Q68" s="83" t="s">
        <v>436</v>
      </c>
      <c r="R68" s="83" t="s">
        <v>58</v>
      </c>
      <c r="S68" s="83" t="s">
        <v>58</v>
      </c>
    </row>
    <row r="69" spans="2:19" ht="23" customHeight="1" x14ac:dyDescent="0.35">
      <c r="B69" s="80" t="s">
        <v>626</v>
      </c>
      <c r="C69" s="81" t="s">
        <v>627</v>
      </c>
      <c r="D69" s="81" t="s">
        <v>539</v>
      </c>
      <c r="E69" s="81" t="s">
        <v>567</v>
      </c>
      <c r="F69" s="81" t="s">
        <v>625</v>
      </c>
      <c r="G69" s="82">
        <v>48180.718333179197</v>
      </c>
      <c r="H69" s="82">
        <v>48180.718333179197</v>
      </c>
      <c r="I69" s="83" t="s">
        <v>440</v>
      </c>
      <c r="J69" s="83" t="s">
        <v>422</v>
      </c>
      <c r="K69" s="83" t="s">
        <v>423</v>
      </c>
      <c r="L69" s="84" t="s">
        <v>1177</v>
      </c>
      <c r="M69" s="83" t="s">
        <v>462</v>
      </c>
      <c r="N69" s="83" t="s">
        <v>318</v>
      </c>
      <c r="O69" s="83" t="s">
        <v>426</v>
      </c>
      <c r="P69" s="83" t="s">
        <v>426</v>
      </c>
      <c r="Q69" s="83" t="s">
        <v>526</v>
      </c>
      <c r="R69" s="83" t="s">
        <v>58</v>
      </c>
      <c r="S69" s="83" t="s">
        <v>58</v>
      </c>
    </row>
    <row r="70" spans="2:19" ht="23" customHeight="1" x14ac:dyDescent="0.35">
      <c r="B70" s="80" t="s">
        <v>628</v>
      </c>
      <c r="C70" s="81" t="s">
        <v>629</v>
      </c>
      <c r="D70" s="81" t="s">
        <v>539</v>
      </c>
      <c r="E70" s="81" t="s">
        <v>445</v>
      </c>
      <c r="F70" s="81" t="s">
        <v>445</v>
      </c>
      <c r="G70" s="82">
        <v>5475.9776978481605</v>
      </c>
      <c r="H70" s="82">
        <v>5475.9776978481605</v>
      </c>
      <c r="I70" s="83" t="s">
        <v>440</v>
      </c>
      <c r="J70" s="83" t="s">
        <v>422</v>
      </c>
      <c r="K70" s="83" t="s">
        <v>423</v>
      </c>
      <c r="L70" s="84" t="s">
        <v>1177</v>
      </c>
      <c r="M70" s="83" t="s">
        <v>618</v>
      </c>
      <c r="N70" s="83" t="s">
        <v>168</v>
      </c>
      <c r="O70" s="83" t="s">
        <v>435</v>
      </c>
      <c r="P70" s="83" t="s">
        <v>435</v>
      </c>
      <c r="Q70" s="83" t="s">
        <v>526</v>
      </c>
      <c r="R70" s="83" t="s">
        <v>58</v>
      </c>
      <c r="S70" s="83" t="s">
        <v>58</v>
      </c>
    </row>
    <row r="71" spans="2:19" ht="23" customHeight="1" x14ac:dyDescent="0.35">
      <c r="B71" s="80" t="s">
        <v>630</v>
      </c>
      <c r="C71" s="81" t="s">
        <v>631</v>
      </c>
      <c r="D71" s="81" t="s">
        <v>539</v>
      </c>
      <c r="E71" s="81" t="s">
        <v>540</v>
      </c>
      <c r="F71" s="81" t="s">
        <v>632</v>
      </c>
      <c r="G71" s="82">
        <v>27370.031729384798</v>
      </c>
      <c r="H71" s="82">
        <v>27370.031729384798</v>
      </c>
      <c r="I71" s="83" t="s">
        <v>440</v>
      </c>
      <c r="J71" s="83" t="s">
        <v>422</v>
      </c>
      <c r="K71" s="83" t="s">
        <v>423</v>
      </c>
      <c r="L71" s="84" t="s">
        <v>81</v>
      </c>
      <c r="M71" s="83" t="s">
        <v>618</v>
      </c>
      <c r="N71" s="83" t="s">
        <v>168</v>
      </c>
      <c r="O71" s="83" t="s">
        <v>435</v>
      </c>
      <c r="P71" s="83" t="s">
        <v>426</v>
      </c>
      <c r="Q71" s="83" t="s">
        <v>526</v>
      </c>
      <c r="R71" s="83" t="s">
        <v>58</v>
      </c>
      <c r="S71" s="83" t="s">
        <v>58</v>
      </c>
    </row>
    <row r="72" spans="2:19" ht="23" customHeight="1" x14ac:dyDescent="0.35">
      <c r="B72" s="80" t="s">
        <v>633</v>
      </c>
      <c r="C72" s="81" t="s">
        <v>634</v>
      </c>
      <c r="D72" s="81" t="s">
        <v>539</v>
      </c>
      <c r="E72" s="81" t="s">
        <v>540</v>
      </c>
      <c r="F72" s="81" t="s">
        <v>560</v>
      </c>
      <c r="G72" s="82">
        <v>151422.68593062641</v>
      </c>
      <c r="H72" s="82">
        <v>151422.68593062641</v>
      </c>
      <c r="I72" s="83" t="s">
        <v>440</v>
      </c>
      <c r="J72" s="83" t="s">
        <v>422</v>
      </c>
      <c r="K72" s="83" t="s">
        <v>423</v>
      </c>
      <c r="L72" s="84" t="s">
        <v>81</v>
      </c>
      <c r="M72" s="83" t="s">
        <v>479</v>
      </c>
      <c r="N72" s="83" t="s">
        <v>592</v>
      </c>
      <c r="O72" s="83" t="s">
        <v>435</v>
      </c>
      <c r="P72" s="83" t="s">
        <v>435</v>
      </c>
      <c r="Q72" s="83" t="s">
        <v>436</v>
      </c>
      <c r="R72" s="83" t="s">
        <v>58</v>
      </c>
      <c r="S72" s="83" t="s">
        <v>58</v>
      </c>
    </row>
    <row r="73" spans="2:19" ht="23" customHeight="1" x14ac:dyDescent="0.35">
      <c r="B73" s="80" t="s">
        <v>635</v>
      </c>
      <c r="C73" s="81" t="s">
        <v>636</v>
      </c>
      <c r="D73" s="81" t="s">
        <v>539</v>
      </c>
      <c r="E73" s="81" t="s">
        <v>540</v>
      </c>
      <c r="F73" s="81" t="s">
        <v>560</v>
      </c>
      <c r="G73" s="82">
        <v>97102.817373420286</v>
      </c>
      <c r="H73" s="82">
        <v>97102.817373420286</v>
      </c>
      <c r="I73" s="83" t="s">
        <v>440</v>
      </c>
      <c r="J73" s="83" t="s">
        <v>422</v>
      </c>
      <c r="K73" s="83" t="s">
        <v>423</v>
      </c>
      <c r="L73" s="84" t="s">
        <v>1177</v>
      </c>
      <c r="M73" s="83" t="s">
        <v>462</v>
      </c>
      <c r="N73" s="83" t="s">
        <v>318</v>
      </c>
      <c r="O73" s="83" t="s">
        <v>435</v>
      </c>
      <c r="P73" s="83" t="s">
        <v>426</v>
      </c>
      <c r="Q73" s="83" t="s">
        <v>526</v>
      </c>
      <c r="R73" s="83" t="s">
        <v>58</v>
      </c>
      <c r="S73" s="83" t="s">
        <v>58</v>
      </c>
    </row>
    <row r="74" spans="2:19" ht="23" customHeight="1" x14ac:dyDescent="0.35">
      <c r="B74" s="80" t="s">
        <v>637</v>
      </c>
      <c r="C74" s="81" t="s">
        <v>638</v>
      </c>
      <c r="D74" s="81" t="s">
        <v>539</v>
      </c>
      <c r="E74" s="81" t="s">
        <v>540</v>
      </c>
      <c r="F74" s="81" t="s">
        <v>560</v>
      </c>
      <c r="G74" s="82">
        <v>38653.200540939921</v>
      </c>
      <c r="H74" s="82">
        <v>38653.200540939921</v>
      </c>
      <c r="I74" s="83" t="s">
        <v>440</v>
      </c>
      <c r="J74" s="83" t="s">
        <v>422</v>
      </c>
      <c r="K74" s="83" t="s">
        <v>423</v>
      </c>
      <c r="L74" s="84" t="s">
        <v>81</v>
      </c>
      <c r="M74" s="83" t="s">
        <v>479</v>
      </c>
      <c r="N74" s="83" t="s">
        <v>91</v>
      </c>
      <c r="O74" s="83" t="s">
        <v>435</v>
      </c>
      <c r="P74" s="83" t="s">
        <v>435</v>
      </c>
      <c r="Q74" s="83" t="s">
        <v>526</v>
      </c>
      <c r="R74" s="83" t="s">
        <v>58</v>
      </c>
      <c r="S74" s="83" t="s">
        <v>58</v>
      </c>
    </row>
    <row r="75" spans="2:19" ht="23" customHeight="1" x14ac:dyDescent="0.35">
      <c r="B75" s="80" t="s">
        <v>639</v>
      </c>
      <c r="C75" s="81" t="s">
        <v>640</v>
      </c>
      <c r="D75" s="81" t="s">
        <v>539</v>
      </c>
      <c r="E75" s="81" t="s">
        <v>567</v>
      </c>
      <c r="F75" s="81" t="s">
        <v>567</v>
      </c>
      <c r="G75" s="82">
        <v>7994.9274388583408</v>
      </c>
      <c r="H75" s="82">
        <v>7994.9274388583408</v>
      </c>
      <c r="I75" s="83" t="s">
        <v>440</v>
      </c>
      <c r="J75" s="83" t="s">
        <v>422</v>
      </c>
      <c r="K75" s="83" t="s">
        <v>423</v>
      </c>
      <c r="L75" s="84" t="s">
        <v>1176</v>
      </c>
      <c r="M75" s="83" t="s">
        <v>462</v>
      </c>
      <c r="N75" s="83" t="s">
        <v>308</v>
      </c>
      <c r="O75" s="83" t="s">
        <v>426</v>
      </c>
      <c r="P75" s="83" t="s">
        <v>426</v>
      </c>
      <c r="Q75" s="83" t="s">
        <v>526</v>
      </c>
      <c r="R75" s="83" t="s">
        <v>58</v>
      </c>
      <c r="S75" s="83" t="s">
        <v>58</v>
      </c>
    </row>
    <row r="76" spans="2:19" ht="23" customHeight="1" x14ac:dyDescent="0.35">
      <c r="B76" s="80" t="s">
        <v>641</v>
      </c>
      <c r="C76" s="81" t="s">
        <v>642</v>
      </c>
      <c r="D76" s="81" t="s">
        <v>539</v>
      </c>
      <c r="E76" s="81" t="s">
        <v>445</v>
      </c>
      <c r="F76" s="81" t="s">
        <v>445</v>
      </c>
      <c r="G76" s="82">
        <v>105138.77179868522</v>
      </c>
      <c r="H76" s="82">
        <v>105138.77179868522</v>
      </c>
      <c r="I76" s="83" t="s">
        <v>440</v>
      </c>
      <c r="J76" s="83" t="s">
        <v>422</v>
      </c>
      <c r="K76" s="83" t="s">
        <v>423</v>
      </c>
      <c r="L76" s="84" t="s">
        <v>1177</v>
      </c>
      <c r="M76" s="83" t="s">
        <v>479</v>
      </c>
      <c r="N76" s="83" t="s">
        <v>91</v>
      </c>
      <c r="O76" s="83" t="s">
        <v>435</v>
      </c>
      <c r="P76" s="83" t="s">
        <v>435</v>
      </c>
      <c r="Q76" s="83" t="s">
        <v>436</v>
      </c>
      <c r="R76" s="83" t="s">
        <v>58</v>
      </c>
      <c r="S76" s="83" t="s">
        <v>58</v>
      </c>
    </row>
    <row r="77" spans="2:19" ht="23" customHeight="1" x14ac:dyDescent="0.35">
      <c r="B77" s="80" t="s">
        <v>643</v>
      </c>
      <c r="C77" s="81" t="s">
        <v>644</v>
      </c>
      <c r="D77" s="81" t="s">
        <v>539</v>
      </c>
      <c r="E77" s="81" t="s">
        <v>645</v>
      </c>
      <c r="F77" s="81" t="s">
        <v>645</v>
      </c>
      <c r="G77" s="82">
        <v>328522.52041808498</v>
      </c>
      <c r="H77" s="82">
        <v>328522.52041808498</v>
      </c>
      <c r="I77" s="83" t="s">
        <v>440</v>
      </c>
      <c r="J77" s="83" t="s">
        <v>422</v>
      </c>
      <c r="K77" s="83" t="s">
        <v>423</v>
      </c>
      <c r="L77" s="84" t="s">
        <v>1176</v>
      </c>
      <c r="M77" s="83" t="s">
        <v>462</v>
      </c>
      <c r="N77" s="83" t="s">
        <v>303</v>
      </c>
      <c r="O77" s="83" t="s">
        <v>435</v>
      </c>
      <c r="P77" s="83" t="s">
        <v>435</v>
      </c>
      <c r="Q77" s="83" t="s">
        <v>436</v>
      </c>
      <c r="R77" s="83" t="s">
        <v>58</v>
      </c>
      <c r="S77" s="83" t="s">
        <v>58</v>
      </c>
    </row>
    <row r="78" spans="2:19" ht="23" customHeight="1" x14ac:dyDescent="0.35">
      <c r="B78" s="80" t="s">
        <v>646</v>
      </c>
      <c r="C78" s="81" t="s">
        <v>647</v>
      </c>
      <c r="D78" s="81" t="s">
        <v>539</v>
      </c>
      <c r="E78" s="81" t="s">
        <v>445</v>
      </c>
      <c r="F78" s="81" t="s">
        <v>445</v>
      </c>
      <c r="G78" s="82">
        <v>109519.553956964</v>
      </c>
      <c r="H78" s="82">
        <v>109519.553956964</v>
      </c>
      <c r="I78" s="83" t="s">
        <v>440</v>
      </c>
      <c r="J78" s="83" t="s">
        <v>422</v>
      </c>
      <c r="K78" s="83" t="s">
        <v>423</v>
      </c>
      <c r="L78" s="84" t="s">
        <v>1176</v>
      </c>
      <c r="M78" s="83" t="s">
        <v>433</v>
      </c>
      <c r="N78" s="83" t="s">
        <v>531</v>
      </c>
      <c r="O78" s="83" t="s">
        <v>426</v>
      </c>
      <c r="P78" s="83" t="s">
        <v>435</v>
      </c>
      <c r="Q78" s="83" t="s">
        <v>526</v>
      </c>
      <c r="R78" s="83" t="s">
        <v>58</v>
      </c>
      <c r="S78" s="83" t="s">
        <v>58</v>
      </c>
    </row>
    <row r="79" spans="2:19" ht="23" customHeight="1" x14ac:dyDescent="0.35">
      <c r="B79" s="80" t="s">
        <v>648</v>
      </c>
      <c r="C79" s="81" t="s">
        <v>649</v>
      </c>
      <c r="D79" s="81" t="s">
        <v>539</v>
      </c>
      <c r="E79" s="81" t="s">
        <v>445</v>
      </c>
      <c r="F79" s="81" t="s">
        <v>445</v>
      </c>
      <c r="G79" s="82">
        <v>109519.553956964</v>
      </c>
      <c r="H79" s="82">
        <v>109519.553956964</v>
      </c>
      <c r="I79" s="83" t="s">
        <v>440</v>
      </c>
      <c r="J79" s="83" t="s">
        <v>422</v>
      </c>
      <c r="K79" s="83" t="s">
        <v>423</v>
      </c>
      <c r="L79" s="84" t="s">
        <v>1176</v>
      </c>
      <c r="M79" s="83" t="s">
        <v>433</v>
      </c>
      <c r="N79" s="83" t="s">
        <v>650</v>
      </c>
      <c r="O79" s="83" t="s">
        <v>426</v>
      </c>
      <c r="P79" s="83" t="s">
        <v>435</v>
      </c>
      <c r="Q79" s="83" t="s">
        <v>526</v>
      </c>
      <c r="R79" s="83" t="s">
        <v>58</v>
      </c>
      <c r="S79" s="83" t="s">
        <v>58</v>
      </c>
    </row>
    <row r="80" spans="2:19" ht="23" customHeight="1" x14ac:dyDescent="0.35">
      <c r="B80" s="80" t="s">
        <v>651</v>
      </c>
      <c r="C80" s="81" t="s">
        <v>652</v>
      </c>
      <c r="D80" s="81" t="s">
        <v>539</v>
      </c>
      <c r="E80" s="81" t="s">
        <v>540</v>
      </c>
      <c r="F80" s="81" t="s">
        <v>653</v>
      </c>
      <c r="G80" s="82">
        <v>87615.577453838399</v>
      </c>
      <c r="H80" s="82">
        <v>87615.577453838399</v>
      </c>
      <c r="I80" s="83" t="s">
        <v>440</v>
      </c>
      <c r="J80" s="83" t="s">
        <v>422</v>
      </c>
      <c r="K80" s="83" t="s">
        <v>423</v>
      </c>
      <c r="L80" s="84" t="s">
        <v>61</v>
      </c>
      <c r="M80" s="83" t="s">
        <v>488</v>
      </c>
      <c r="N80" s="83" t="s">
        <v>654</v>
      </c>
      <c r="O80" s="83" t="s">
        <v>435</v>
      </c>
      <c r="P80" s="83" t="s">
        <v>435</v>
      </c>
      <c r="Q80" s="83" t="s">
        <v>526</v>
      </c>
      <c r="R80" s="83" t="s">
        <v>58</v>
      </c>
      <c r="S80" s="83" t="s">
        <v>58</v>
      </c>
    </row>
    <row r="81" spans="2:19" ht="23" customHeight="1" x14ac:dyDescent="0.35">
      <c r="B81" s="80" t="s">
        <v>655</v>
      </c>
      <c r="C81" s="81" t="s">
        <v>656</v>
      </c>
      <c r="D81" s="81" t="s">
        <v>539</v>
      </c>
      <c r="E81" s="81" t="s">
        <v>445</v>
      </c>
      <c r="F81" s="81" t="s">
        <v>445</v>
      </c>
      <c r="G81" s="82">
        <v>4818.8603741063998</v>
      </c>
      <c r="H81" s="82">
        <v>4818.8603741063998</v>
      </c>
      <c r="I81" s="83" t="s">
        <v>440</v>
      </c>
      <c r="J81" s="83" t="s">
        <v>422</v>
      </c>
      <c r="K81" s="83" t="s">
        <v>423</v>
      </c>
      <c r="L81" s="84" t="s">
        <v>81</v>
      </c>
      <c r="M81" s="83" t="s">
        <v>488</v>
      </c>
      <c r="N81" s="83" t="s">
        <v>489</v>
      </c>
      <c r="O81" s="83" t="s">
        <v>426</v>
      </c>
      <c r="P81" s="83" t="s">
        <v>426</v>
      </c>
      <c r="Q81" s="83" t="s">
        <v>526</v>
      </c>
      <c r="R81" s="83" t="s">
        <v>58</v>
      </c>
      <c r="S81" s="83" t="s">
        <v>58</v>
      </c>
    </row>
    <row r="82" spans="2:19" ht="23" customHeight="1" x14ac:dyDescent="0.35">
      <c r="B82" s="80" t="s">
        <v>657</v>
      </c>
      <c r="C82" s="81" t="s">
        <v>658</v>
      </c>
      <c r="D82" s="81" t="s">
        <v>539</v>
      </c>
      <c r="E82" s="81" t="s">
        <v>567</v>
      </c>
      <c r="F82" s="81" t="s">
        <v>567</v>
      </c>
      <c r="G82" s="82">
        <v>963.77207482128006</v>
      </c>
      <c r="H82" s="82">
        <v>963.77207482128006</v>
      </c>
      <c r="I82" s="83" t="s">
        <v>440</v>
      </c>
      <c r="J82" s="83" t="s">
        <v>422</v>
      </c>
      <c r="K82" s="83" t="s">
        <v>423</v>
      </c>
      <c r="L82" s="84" t="s">
        <v>1176</v>
      </c>
      <c r="M82" s="83" t="s">
        <v>462</v>
      </c>
      <c r="N82" s="83" t="s">
        <v>318</v>
      </c>
      <c r="O82" s="83" t="s">
        <v>435</v>
      </c>
      <c r="P82" s="83" t="s">
        <v>426</v>
      </c>
      <c r="Q82" s="83" t="s">
        <v>526</v>
      </c>
      <c r="R82" s="83" t="s">
        <v>58</v>
      </c>
      <c r="S82" s="83" t="s">
        <v>58</v>
      </c>
    </row>
    <row r="83" spans="2:19" ht="23" customHeight="1" x14ac:dyDescent="0.35">
      <c r="B83" s="80" t="s">
        <v>659</v>
      </c>
      <c r="C83" s="81" t="s">
        <v>660</v>
      </c>
      <c r="D83" s="81" t="s">
        <v>539</v>
      </c>
      <c r="E83" s="81" t="s">
        <v>567</v>
      </c>
      <c r="F83" s="81" t="s">
        <v>567</v>
      </c>
      <c r="G83" s="82">
        <v>1314.234647483564</v>
      </c>
      <c r="H83" s="82">
        <v>1314.234647483564</v>
      </c>
      <c r="I83" s="83" t="s">
        <v>440</v>
      </c>
      <c r="J83" s="83" t="s">
        <v>422</v>
      </c>
      <c r="K83" s="83" t="s">
        <v>423</v>
      </c>
      <c r="L83" s="84" t="s">
        <v>61</v>
      </c>
      <c r="M83" s="83" t="s">
        <v>488</v>
      </c>
      <c r="N83" s="83" t="s">
        <v>489</v>
      </c>
      <c r="O83" s="83" t="s">
        <v>426</v>
      </c>
      <c r="P83" s="83" t="s">
        <v>435</v>
      </c>
      <c r="Q83" s="83" t="s">
        <v>526</v>
      </c>
      <c r="R83" s="83" t="s">
        <v>58</v>
      </c>
      <c r="S83" s="83" t="s">
        <v>58</v>
      </c>
    </row>
    <row r="84" spans="2:19" ht="23" customHeight="1" x14ac:dyDescent="0.35">
      <c r="B84" s="80" t="s">
        <v>661</v>
      </c>
      <c r="C84" s="81" t="s">
        <v>662</v>
      </c>
      <c r="D84" s="81" t="s">
        <v>539</v>
      </c>
      <c r="E84" s="81" t="s">
        <v>567</v>
      </c>
      <c r="F84" s="81" t="s">
        <v>567</v>
      </c>
      <c r="G84" s="82">
        <v>3285.58661870891</v>
      </c>
      <c r="H84" s="82">
        <v>3285.58661870891</v>
      </c>
      <c r="I84" s="83" t="s">
        <v>440</v>
      </c>
      <c r="J84" s="83" t="s">
        <v>422</v>
      </c>
      <c r="K84" s="83" t="s">
        <v>423</v>
      </c>
      <c r="L84" s="84" t="s">
        <v>61</v>
      </c>
      <c r="M84" s="83" t="s">
        <v>468</v>
      </c>
      <c r="N84" s="83" t="s">
        <v>469</v>
      </c>
      <c r="O84" s="83" t="s">
        <v>426</v>
      </c>
      <c r="P84" s="83" t="s">
        <v>426</v>
      </c>
      <c r="Q84" s="83" t="s">
        <v>526</v>
      </c>
      <c r="R84" s="83" t="s">
        <v>58</v>
      </c>
      <c r="S84" s="83" t="s">
        <v>58</v>
      </c>
    </row>
    <row r="85" spans="2:19" ht="23" customHeight="1" x14ac:dyDescent="0.35">
      <c r="B85" s="80" t="s">
        <v>663</v>
      </c>
      <c r="C85" s="81" t="s">
        <v>664</v>
      </c>
      <c r="D85" s="81" t="s">
        <v>539</v>
      </c>
      <c r="E85" s="81" t="s">
        <v>567</v>
      </c>
      <c r="F85" s="81" t="s">
        <v>567</v>
      </c>
      <c r="G85" s="82">
        <v>2847.5084028810497</v>
      </c>
      <c r="H85" s="82">
        <v>2847.5084028810497</v>
      </c>
      <c r="I85" s="83" t="s">
        <v>440</v>
      </c>
      <c r="J85" s="83" t="s">
        <v>422</v>
      </c>
      <c r="K85" s="83" t="s">
        <v>423</v>
      </c>
      <c r="L85" s="84" t="s">
        <v>1176</v>
      </c>
      <c r="M85" s="83" t="s">
        <v>468</v>
      </c>
      <c r="N85" s="83" t="s">
        <v>469</v>
      </c>
      <c r="O85" s="83" t="s">
        <v>435</v>
      </c>
      <c r="P85" s="83" t="s">
        <v>426</v>
      </c>
      <c r="Q85" s="83" t="s">
        <v>526</v>
      </c>
      <c r="R85" s="83" t="s">
        <v>58</v>
      </c>
      <c r="S85" s="83" t="s">
        <v>58</v>
      </c>
    </row>
    <row r="86" spans="2:19" ht="23" customHeight="1" x14ac:dyDescent="0.35">
      <c r="B86" s="80" t="s">
        <v>665</v>
      </c>
      <c r="C86" s="81" t="s">
        <v>666</v>
      </c>
      <c r="D86" s="81" t="s">
        <v>539</v>
      </c>
      <c r="E86" s="81" t="s">
        <v>567</v>
      </c>
      <c r="F86" s="81" t="s">
        <v>567</v>
      </c>
      <c r="G86" s="82">
        <v>3285.58661870891</v>
      </c>
      <c r="H86" s="82">
        <v>3285.58661870891</v>
      </c>
      <c r="I86" s="83" t="s">
        <v>440</v>
      </c>
      <c r="J86" s="83" t="s">
        <v>422</v>
      </c>
      <c r="K86" s="83" t="s">
        <v>423</v>
      </c>
      <c r="L86" s="84" t="s">
        <v>1176</v>
      </c>
      <c r="M86" s="83" t="s">
        <v>462</v>
      </c>
      <c r="N86" s="83" t="s">
        <v>308</v>
      </c>
      <c r="O86" s="83" t="s">
        <v>426</v>
      </c>
      <c r="P86" s="83" t="s">
        <v>426</v>
      </c>
      <c r="Q86" s="83" t="s">
        <v>526</v>
      </c>
      <c r="R86" s="83" t="s">
        <v>58</v>
      </c>
      <c r="S86" s="83" t="s">
        <v>58</v>
      </c>
    </row>
    <row r="87" spans="2:19" ht="23" customHeight="1" x14ac:dyDescent="0.35">
      <c r="B87" s="80" t="s">
        <v>667</v>
      </c>
      <c r="C87" s="81" t="s">
        <v>668</v>
      </c>
      <c r="D87" s="81" t="s">
        <v>539</v>
      </c>
      <c r="E87" s="81" t="s">
        <v>567</v>
      </c>
      <c r="F87" s="81" t="s">
        <v>567</v>
      </c>
      <c r="G87" s="82">
        <v>3285.58661870891</v>
      </c>
      <c r="H87" s="82">
        <v>3285.58661870891</v>
      </c>
      <c r="I87" s="83" t="s">
        <v>440</v>
      </c>
      <c r="J87" s="83" t="s">
        <v>422</v>
      </c>
      <c r="K87" s="83" t="s">
        <v>423</v>
      </c>
      <c r="L87" s="84" t="s">
        <v>1176</v>
      </c>
      <c r="M87" s="83" t="s">
        <v>462</v>
      </c>
      <c r="N87" s="83" t="s">
        <v>308</v>
      </c>
      <c r="O87" s="83" t="s">
        <v>426</v>
      </c>
      <c r="P87" s="83" t="s">
        <v>426</v>
      </c>
      <c r="Q87" s="83" t="s">
        <v>526</v>
      </c>
      <c r="R87" s="83" t="s">
        <v>58</v>
      </c>
      <c r="S87" s="83" t="s">
        <v>58</v>
      </c>
    </row>
    <row r="88" spans="2:19" ht="23" customHeight="1" x14ac:dyDescent="0.35">
      <c r="B88" s="80" t="s">
        <v>669</v>
      </c>
      <c r="C88" s="81" t="s">
        <v>670</v>
      </c>
      <c r="D88" s="81" t="s">
        <v>539</v>
      </c>
      <c r="E88" s="81" t="s">
        <v>567</v>
      </c>
      <c r="F88" s="81" t="s">
        <v>567</v>
      </c>
      <c r="G88" s="82">
        <v>1314.234647483564</v>
      </c>
      <c r="H88" s="82">
        <v>1314.234647483564</v>
      </c>
      <c r="I88" s="83" t="s">
        <v>440</v>
      </c>
      <c r="J88" s="83" t="s">
        <v>422</v>
      </c>
      <c r="K88" s="83" t="s">
        <v>423</v>
      </c>
      <c r="L88" s="84" t="s">
        <v>1176</v>
      </c>
      <c r="M88" s="83" t="s">
        <v>462</v>
      </c>
      <c r="N88" s="83" t="s">
        <v>318</v>
      </c>
      <c r="O88" s="83" t="s">
        <v>426</v>
      </c>
      <c r="P88" s="83" t="s">
        <v>426</v>
      </c>
      <c r="Q88" s="83" t="s">
        <v>526</v>
      </c>
      <c r="R88" s="83" t="s">
        <v>58</v>
      </c>
      <c r="S88" s="83" t="s">
        <v>58</v>
      </c>
    </row>
    <row r="89" spans="2:19" ht="23" customHeight="1" x14ac:dyDescent="0.35">
      <c r="B89" s="80" t="s">
        <v>671</v>
      </c>
      <c r="C89" s="81" t="s">
        <v>672</v>
      </c>
      <c r="D89" s="81" t="s">
        <v>539</v>
      </c>
      <c r="E89" s="81" t="s">
        <v>567</v>
      </c>
      <c r="F89" s="81" t="s">
        <v>567</v>
      </c>
      <c r="G89" s="82">
        <v>4003.41282160012</v>
      </c>
      <c r="H89" s="82">
        <v>4003.41282160012</v>
      </c>
      <c r="I89" s="83" t="s">
        <v>440</v>
      </c>
      <c r="J89" s="83" t="s">
        <v>422</v>
      </c>
      <c r="K89" s="83" t="s">
        <v>423</v>
      </c>
      <c r="L89" s="84" t="s">
        <v>1176</v>
      </c>
      <c r="M89" s="83" t="s">
        <v>488</v>
      </c>
      <c r="N89" s="83" t="s">
        <v>489</v>
      </c>
      <c r="O89" s="83" t="s">
        <v>435</v>
      </c>
      <c r="P89" s="83" t="s">
        <v>426</v>
      </c>
      <c r="Q89" s="83" t="s">
        <v>526</v>
      </c>
      <c r="R89" s="83" t="s">
        <v>58</v>
      </c>
      <c r="S89" s="83" t="s">
        <v>58</v>
      </c>
    </row>
    <row r="90" spans="2:19" ht="23" customHeight="1" x14ac:dyDescent="0.35">
      <c r="B90" s="80" t="s">
        <v>673</v>
      </c>
      <c r="C90" s="81" t="s">
        <v>674</v>
      </c>
      <c r="D90" s="81" t="s">
        <v>539</v>
      </c>
      <c r="E90" s="81" t="s">
        <v>567</v>
      </c>
      <c r="F90" s="81" t="s">
        <v>567</v>
      </c>
      <c r="G90" s="82">
        <v>885.01531855253597</v>
      </c>
      <c r="H90" s="82">
        <v>885.01531855253597</v>
      </c>
      <c r="I90" s="83" t="s">
        <v>440</v>
      </c>
      <c r="J90" s="83" t="s">
        <v>422</v>
      </c>
      <c r="K90" s="83" t="s">
        <v>423</v>
      </c>
      <c r="L90" s="84" t="s">
        <v>1176</v>
      </c>
      <c r="M90" s="83" t="s">
        <v>462</v>
      </c>
      <c r="N90" s="83" t="s">
        <v>318</v>
      </c>
      <c r="O90" s="83" t="s">
        <v>426</v>
      </c>
      <c r="P90" s="83" t="s">
        <v>426</v>
      </c>
      <c r="Q90" s="83" t="s">
        <v>526</v>
      </c>
      <c r="R90" s="83" t="s">
        <v>58</v>
      </c>
      <c r="S90" s="83" t="s">
        <v>58</v>
      </c>
    </row>
    <row r="91" spans="2:19" ht="23" customHeight="1" x14ac:dyDescent="0.35">
      <c r="B91" s="80" t="s">
        <v>675</v>
      </c>
      <c r="C91" s="81" t="s">
        <v>676</v>
      </c>
      <c r="D91" s="81" t="s">
        <v>539</v>
      </c>
      <c r="E91" s="81" t="s">
        <v>540</v>
      </c>
      <c r="F91" s="81" t="s">
        <v>560</v>
      </c>
      <c r="G91" s="82">
        <v>859.20648205049201</v>
      </c>
      <c r="H91" s="82">
        <v>859.20648205049201</v>
      </c>
      <c r="I91" s="83" t="s">
        <v>440</v>
      </c>
      <c r="J91" s="83" t="s">
        <v>422</v>
      </c>
      <c r="K91" s="83" t="s">
        <v>423</v>
      </c>
      <c r="L91" s="84" t="s">
        <v>81</v>
      </c>
      <c r="M91" s="83" t="s">
        <v>488</v>
      </c>
      <c r="N91" s="83" t="s">
        <v>489</v>
      </c>
      <c r="O91" s="83" t="s">
        <v>426</v>
      </c>
      <c r="P91" s="83" t="s">
        <v>426</v>
      </c>
      <c r="Q91" s="83" t="s">
        <v>526</v>
      </c>
      <c r="R91" s="83" t="s">
        <v>58</v>
      </c>
      <c r="S91" s="83" t="s">
        <v>58</v>
      </c>
    </row>
    <row r="92" spans="2:19" ht="23" customHeight="1" x14ac:dyDescent="0.35">
      <c r="B92" s="80" t="s">
        <v>677</v>
      </c>
      <c r="C92" s="81" t="s">
        <v>678</v>
      </c>
      <c r="D92" s="81" t="s">
        <v>539</v>
      </c>
      <c r="E92" s="81" t="s">
        <v>540</v>
      </c>
      <c r="F92" s="81" t="s">
        <v>560</v>
      </c>
      <c r="G92" s="82">
        <v>10740.0810256312</v>
      </c>
      <c r="H92" s="82">
        <v>10740.0810256312</v>
      </c>
      <c r="I92" s="83" t="s">
        <v>440</v>
      </c>
      <c r="J92" s="83" t="s">
        <v>422</v>
      </c>
      <c r="K92" s="83" t="s">
        <v>423</v>
      </c>
      <c r="L92" s="84" t="s">
        <v>61</v>
      </c>
      <c r="M92" s="83" t="s">
        <v>514</v>
      </c>
      <c r="N92" s="83" t="s">
        <v>515</v>
      </c>
      <c r="O92" s="83" t="s">
        <v>435</v>
      </c>
      <c r="P92" s="83" t="s">
        <v>435</v>
      </c>
      <c r="Q92" s="83" t="s">
        <v>526</v>
      </c>
      <c r="R92" s="83" t="s">
        <v>58</v>
      </c>
      <c r="S92" s="83" t="s">
        <v>58</v>
      </c>
    </row>
    <row r="93" spans="2:19" ht="23" customHeight="1" x14ac:dyDescent="0.35">
      <c r="B93" s="80" t="s">
        <v>679</v>
      </c>
      <c r="C93" s="81" t="s">
        <v>680</v>
      </c>
      <c r="D93" s="81" t="s">
        <v>539</v>
      </c>
      <c r="E93" s="81" t="s">
        <v>540</v>
      </c>
      <c r="F93" s="81" t="s">
        <v>455</v>
      </c>
      <c r="G93" s="82">
        <v>206032.57999353</v>
      </c>
      <c r="H93" s="82">
        <v>206032.57999353</v>
      </c>
      <c r="I93" s="83" t="s">
        <v>440</v>
      </c>
      <c r="J93" s="83" t="s">
        <v>422</v>
      </c>
      <c r="K93" s="83" t="s">
        <v>423</v>
      </c>
      <c r="L93" s="84" t="s">
        <v>81</v>
      </c>
      <c r="M93" s="83" t="s">
        <v>514</v>
      </c>
      <c r="N93" s="83" t="s">
        <v>515</v>
      </c>
      <c r="O93" s="83" t="s">
        <v>435</v>
      </c>
      <c r="P93" s="83" t="s">
        <v>435</v>
      </c>
      <c r="Q93" s="83" t="s">
        <v>526</v>
      </c>
      <c r="R93" s="83" t="s">
        <v>58</v>
      </c>
      <c r="S93" s="83" t="s">
        <v>58</v>
      </c>
    </row>
    <row r="94" spans="2:19" ht="23" customHeight="1" x14ac:dyDescent="0.35">
      <c r="B94" s="80" t="s">
        <v>681</v>
      </c>
      <c r="C94" s="81" t="s">
        <v>682</v>
      </c>
      <c r="D94" s="81" t="s">
        <v>539</v>
      </c>
      <c r="E94" s="81" t="s">
        <v>540</v>
      </c>
      <c r="F94" s="81" t="s">
        <v>553</v>
      </c>
      <c r="G94" s="82">
        <v>9738.5634661899221</v>
      </c>
      <c r="H94" s="82">
        <v>9738.5634661899221</v>
      </c>
      <c r="I94" s="83" t="s">
        <v>432</v>
      </c>
      <c r="J94" s="83" t="s">
        <v>422</v>
      </c>
      <c r="K94" s="83" t="s">
        <v>423</v>
      </c>
      <c r="L94" s="84" t="s">
        <v>61</v>
      </c>
      <c r="M94" s="83" t="s">
        <v>514</v>
      </c>
      <c r="N94" s="83" t="s">
        <v>515</v>
      </c>
      <c r="O94" s="83" t="s">
        <v>435</v>
      </c>
      <c r="P94" s="83" t="s">
        <v>435</v>
      </c>
      <c r="Q94" s="83" t="s">
        <v>526</v>
      </c>
      <c r="R94" s="83" t="s">
        <v>58</v>
      </c>
      <c r="S94" s="83" t="s">
        <v>58</v>
      </c>
    </row>
    <row r="95" spans="2:19" ht="23" customHeight="1" x14ac:dyDescent="0.35">
      <c r="B95" s="80" t="s">
        <v>683</v>
      </c>
      <c r="C95" s="81" t="s">
        <v>684</v>
      </c>
      <c r="D95" s="81" t="s">
        <v>539</v>
      </c>
      <c r="E95" s="81" t="s">
        <v>540</v>
      </c>
      <c r="F95" s="81" t="s">
        <v>544</v>
      </c>
      <c r="G95" s="82">
        <v>479148.596066884</v>
      </c>
      <c r="H95" s="82">
        <v>479148.596066884</v>
      </c>
      <c r="I95" s="83" t="s">
        <v>432</v>
      </c>
      <c r="J95" s="83" t="s">
        <v>422</v>
      </c>
      <c r="K95" s="83" t="s">
        <v>423</v>
      </c>
      <c r="L95" s="84" t="s">
        <v>81</v>
      </c>
      <c r="M95" s="83" t="s">
        <v>462</v>
      </c>
      <c r="N95" s="83" t="s">
        <v>318</v>
      </c>
      <c r="O95" s="83" t="s">
        <v>435</v>
      </c>
      <c r="P95" s="83" t="s">
        <v>426</v>
      </c>
      <c r="Q95" s="83" t="s">
        <v>436</v>
      </c>
      <c r="R95" s="83" t="s">
        <v>58</v>
      </c>
      <c r="S95" s="83" t="s">
        <v>58</v>
      </c>
    </row>
    <row r="96" spans="2:19" ht="23" customHeight="1" x14ac:dyDescent="0.35">
      <c r="B96" s="80" t="s">
        <v>685</v>
      </c>
      <c r="C96" s="81" t="s">
        <v>686</v>
      </c>
      <c r="D96" s="81" t="s">
        <v>539</v>
      </c>
      <c r="E96" s="81" t="s">
        <v>540</v>
      </c>
      <c r="F96" s="81" t="s">
        <v>544</v>
      </c>
      <c r="G96" s="82">
        <v>95210.011567988418</v>
      </c>
      <c r="H96" s="82">
        <v>95210.011567988418</v>
      </c>
      <c r="I96" s="83" t="s">
        <v>432</v>
      </c>
      <c r="J96" s="83" t="s">
        <v>422</v>
      </c>
      <c r="K96" s="83" t="s">
        <v>423</v>
      </c>
      <c r="L96" s="84" t="s">
        <v>1176</v>
      </c>
      <c r="M96" s="83" t="s">
        <v>488</v>
      </c>
      <c r="N96" s="83" t="s">
        <v>425</v>
      </c>
      <c r="O96" s="83" t="s">
        <v>435</v>
      </c>
      <c r="P96" s="83" t="s">
        <v>426</v>
      </c>
      <c r="Q96" s="83" t="s">
        <v>436</v>
      </c>
      <c r="R96" s="83" t="s">
        <v>58</v>
      </c>
      <c r="S96" s="83" t="s">
        <v>58</v>
      </c>
    </row>
    <row r="97" spans="2:19" ht="23" customHeight="1" x14ac:dyDescent="0.35">
      <c r="B97" s="80" t="s">
        <v>687</v>
      </c>
      <c r="C97" s="81" t="s">
        <v>688</v>
      </c>
      <c r="D97" s="81" t="s">
        <v>539</v>
      </c>
      <c r="E97" s="81" t="s">
        <v>540</v>
      </c>
      <c r="F97" s="81" t="s">
        <v>544</v>
      </c>
      <c r="G97" s="82">
        <v>413141.23461983399</v>
      </c>
      <c r="H97" s="82">
        <v>413141.23461983399</v>
      </c>
      <c r="I97" s="83" t="s">
        <v>432</v>
      </c>
      <c r="J97" s="83" t="s">
        <v>422</v>
      </c>
      <c r="K97" s="83" t="s">
        <v>423</v>
      </c>
      <c r="L97" s="84" t="s">
        <v>1176</v>
      </c>
      <c r="M97" s="83" t="s">
        <v>441</v>
      </c>
      <c r="N97" s="83" t="s">
        <v>204</v>
      </c>
      <c r="O97" s="83" t="s">
        <v>435</v>
      </c>
      <c r="P97" s="83" t="s">
        <v>426</v>
      </c>
      <c r="Q97" s="83" t="s">
        <v>436</v>
      </c>
      <c r="R97" s="83" t="s">
        <v>58</v>
      </c>
      <c r="S97" s="83" t="s">
        <v>58</v>
      </c>
    </row>
    <row r="98" spans="2:19" ht="23" customHeight="1" x14ac:dyDescent="0.35">
      <c r="B98" s="80" t="s">
        <v>689</v>
      </c>
      <c r="C98" s="81" t="s">
        <v>690</v>
      </c>
      <c r="D98" s="81" t="s">
        <v>539</v>
      </c>
      <c r="E98" s="81" t="s">
        <v>540</v>
      </c>
      <c r="F98" s="81" t="s">
        <v>544</v>
      </c>
      <c r="G98" s="82">
        <v>216464.82279945325</v>
      </c>
      <c r="H98" s="82">
        <v>216464.82279945325</v>
      </c>
      <c r="I98" s="83" t="s">
        <v>432</v>
      </c>
      <c r="J98" s="83" t="s">
        <v>422</v>
      </c>
      <c r="K98" s="83" t="s">
        <v>423</v>
      </c>
      <c r="L98" s="84" t="s">
        <v>81</v>
      </c>
      <c r="M98" s="83" t="s">
        <v>441</v>
      </c>
      <c r="N98" s="83" t="s">
        <v>204</v>
      </c>
      <c r="O98" s="83" t="s">
        <v>435</v>
      </c>
      <c r="P98" s="83" t="s">
        <v>426</v>
      </c>
      <c r="Q98" s="83" t="s">
        <v>436</v>
      </c>
      <c r="R98" s="83" t="s">
        <v>58</v>
      </c>
      <c r="S98" s="83" t="s">
        <v>58</v>
      </c>
    </row>
    <row r="99" spans="2:19" ht="23" customHeight="1" x14ac:dyDescent="0.35">
      <c r="B99" s="80" t="s">
        <v>691</v>
      </c>
      <c r="C99" s="81" t="s">
        <v>692</v>
      </c>
      <c r="D99" s="81" t="s">
        <v>539</v>
      </c>
      <c r="E99" s="81" t="s">
        <v>540</v>
      </c>
      <c r="F99" s="81" t="s">
        <v>553</v>
      </c>
      <c r="G99" s="82">
        <v>6045.640971711</v>
      </c>
      <c r="H99" s="82">
        <v>6045.640971711</v>
      </c>
      <c r="I99" s="83" t="s">
        <v>432</v>
      </c>
      <c r="J99" s="83" t="s">
        <v>422</v>
      </c>
      <c r="K99" s="83" t="s">
        <v>423</v>
      </c>
      <c r="L99" s="84" t="s">
        <v>81</v>
      </c>
      <c r="M99" s="83" t="s">
        <v>441</v>
      </c>
      <c r="N99" s="83" t="s">
        <v>204</v>
      </c>
      <c r="O99" s="83" t="s">
        <v>435</v>
      </c>
      <c r="P99" s="83" t="s">
        <v>426</v>
      </c>
      <c r="Q99" s="83" t="s">
        <v>526</v>
      </c>
      <c r="R99" s="83" t="s">
        <v>58</v>
      </c>
      <c r="S99" s="83" t="s">
        <v>58</v>
      </c>
    </row>
    <row r="100" spans="2:19" ht="23" customHeight="1" x14ac:dyDescent="0.35">
      <c r="B100" s="80" t="s">
        <v>693</v>
      </c>
      <c r="C100" s="81" t="s">
        <v>694</v>
      </c>
      <c r="D100" s="81" t="s">
        <v>539</v>
      </c>
      <c r="E100" s="81" t="s">
        <v>540</v>
      </c>
      <c r="F100" s="81" t="s">
        <v>695</v>
      </c>
      <c r="G100" s="82">
        <v>285000</v>
      </c>
      <c r="H100" s="82">
        <v>285000</v>
      </c>
      <c r="I100" s="83" t="s">
        <v>432</v>
      </c>
      <c r="J100" s="83" t="s">
        <v>422</v>
      </c>
      <c r="K100" s="83" t="s">
        <v>423</v>
      </c>
      <c r="L100" s="84" t="s">
        <v>81</v>
      </c>
      <c r="M100" s="83" t="s">
        <v>441</v>
      </c>
      <c r="N100" s="83" t="s">
        <v>204</v>
      </c>
      <c r="O100" s="83" t="s">
        <v>426</v>
      </c>
      <c r="P100" s="83" t="s">
        <v>435</v>
      </c>
      <c r="Q100" s="83" t="s">
        <v>436</v>
      </c>
      <c r="R100" s="83" t="s">
        <v>58</v>
      </c>
      <c r="S100" s="83" t="s">
        <v>58</v>
      </c>
    </row>
    <row r="101" spans="2:19" ht="23" customHeight="1" x14ac:dyDescent="0.35">
      <c r="B101" s="80" t="s">
        <v>696</v>
      </c>
      <c r="C101" s="81" t="s">
        <v>697</v>
      </c>
      <c r="D101" s="81" t="s">
        <v>539</v>
      </c>
      <c r="E101" s="81" t="s">
        <v>540</v>
      </c>
      <c r="F101" s="81" t="s">
        <v>695</v>
      </c>
      <c r="G101" s="82">
        <v>1250000</v>
      </c>
      <c r="H101" s="82">
        <v>1250000</v>
      </c>
      <c r="I101" s="83" t="s">
        <v>432</v>
      </c>
      <c r="J101" s="83" t="s">
        <v>422</v>
      </c>
      <c r="K101" s="83" t="s">
        <v>423</v>
      </c>
      <c r="L101" s="84" t="s">
        <v>81</v>
      </c>
      <c r="M101" s="83" t="s">
        <v>585</v>
      </c>
      <c r="N101" s="83" t="s">
        <v>170</v>
      </c>
      <c r="O101" s="83" t="s">
        <v>435</v>
      </c>
      <c r="P101" s="83" t="s">
        <v>435</v>
      </c>
      <c r="Q101" s="83" t="s">
        <v>436</v>
      </c>
      <c r="R101" s="83" t="s">
        <v>58</v>
      </c>
      <c r="S101" s="83" t="s">
        <v>58</v>
      </c>
    </row>
    <row r="102" spans="2:19" ht="23" customHeight="1" x14ac:dyDescent="0.35">
      <c r="B102" s="80" t="s">
        <v>558</v>
      </c>
      <c r="C102" s="81" t="s">
        <v>559</v>
      </c>
      <c r="D102" s="81" t="s">
        <v>418</v>
      </c>
      <c r="E102" s="81" t="s">
        <v>560</v>
      </c>
      <c r="F102" s="81" t="s">
        <v>445</v>
      </c>
      <c r="G102" s="82">
        <v>3320000</v>
      </c>
      <c r="H102" s="82">
        <v>3320000</v>
      </c>
      <c r="I102" s="83" t="s">
        <v>432</v>
      </c>
      <c r="J102" s="83" t="s">
        <v>475</v>
      </c>
      <c r="K102" s="83" t="s">
        <v>423</v>
      </c>
      <c r="L102" s="84" t="s">
        <v>81</v>
      </c>
      <c r="M102" s="83" t="s">
        <v>479</v>
      </c>
      <c r="N102" s="83" t="s">
        <v>91</v>
      </c>
      <c r="O102" s="83" t="s">
        <v>435</v>
      </c>
      <c r="P102" s="83" t="s">
        <v>435</v>
      </c>
      <c r="Q102" s="83" t="s">
        <v>436</v>
      </c>
      <c r="R102" s="83" t="s">
        <v>58</v>
      </c>
      <c r="S102" s="83" t="s">
        <v>58</v>
      </c>
    </row>
    <row r="103" spans="2:19" ht="23" customHeight="1" x14ac:dyDescent="0.35">
      <c r="B103" s="80" t="s">
        <v>698</v>
      </c>
      <c r="C103" s="81" t="s">
        <v>699</v>
      </c>
      <c r="D103" s="81" t="s">
        <v>418</v>
      </c>
      <c r="E103" s="81" t="s">
        <v>560</v>
      </c>
      <c r="F103" s="81" t="s">
        <v>445</v>
      </c>
      <c r="G103" s="82">
        <v>6496000</v>
      </c>
      <c r="H103" s="82">
        <v>6496000</v>
      </c>
      <c r="I103" s="83" t="s">
        <v>432</v>
      </c>
      <c r="J103" s="83" t="s">
        <v>475</v>
      </c>
      <c r="K103" s="83" t="s">
        <v>423</v>
      </c>
      <c r="L103" s="84" t="s">
        <v>81</v>
      </c>
      <c r="M103" s="83" t="s">
        <v>479</v>
      </c>
      <c r="N103" s="83" t="s">
        <v>91</v>
      </c>
      <c r="O103" s="83" t="s">
        <v>435</v>
      </c>
      <c r="P103" s="83" t="s">
        <v>435</v>
      </c>
      <c r="Q103" s="83" t="s">
        <v>436</v>
      </c>
      <c r="R103" s="83" t="s">
        <v>58</v>
      </c>
      <c r="S103" s="83" t="s">
        <v>58</v>
      </c>
    </row>
    <row r="104" spans="2:19" ht="23" customHeight="1" x14ac:dyDescent="0.35">
      <c r="B104" s="80" t="s">
        <v>700</v>
      </c>
      <c r="C104" s="81" t="s">
        <v>701</v>
      </c>
      <c r="D104" s="81" t="s">
        <v>418</v>
      </c>
      <c r="E104" s="81" t="s">
        <v>445</v>
      </c>
      <c r="F104" s="81" t="s">
        <v>445</v>
      </c>
      <c r="G104" s="82">
        <v>472500</v>
      </c>
      <c r="H104" s="82">
        <v>472500</v>
      </c>
      <c r="I104" s="83" t="s">
        <v>432</v>
      </c>
      <c r="J104" s="83" t="s">
        <v>475</v>
      </c>
      <c r="K104" s="83" t="s">
        <v>423</v>
      </c>
      <c r="L104" s="84" t="s">
        <v>81</v>
      </c>
      <c r="M104" s="83" t="s">
        <v>468</v>
      </c>
      <c r="N104" s="83" t="s">
        <v>469</v>
      </c>
      <c r="O104" s="83" t="s">
        <v>435</v>
      </c>
      <c r="P104" s="83" t="s">
        <v>435</v>
      </c>
      <c r="Q104" s="83" t="s">
        <v>436</v>
      </c>
      <c r="R104" s="83" t="s">
        <v>58</v>
      </c>
      <c r="S104" s="83" t="s">
        <v>58</v>
      </c>
    </row>
    <row r="105" spans="2:19" ht="23" customHeight="1" x14ac:dyDescent="0.35">
      <c r="B105" s="80" t="s">
        <v>702</v>
      </c>
      <c r="C105" s="81" t="s">
        <v>703</v>
      </c>
      <c r="D105" s="81" t="s">
        <v>539</v>
      </c>
      <c r="E105" s="81" t="s">
        <v>445</v>
      </c>
      <c r="F105" s="81" t="s">
        <v>445</v>
      </c>
      <c r="G105" s="82">
        <v>41292.156410847296</v>
      </c>
      <c r="H105" s="82">
        <v>41292.156410847296</v>
      </c>
      <c r="I105" s="83" t="s">
        <v>432</v>
      </c>
      <c r="J105" s="83" t="s">
        <v>422</v>
      </c>
      <c r="K105" s="83" t="s">
        <v>423</v>
      </c>
      <c r="L105" s="84" t="s">
        <v>1176</v>
      </c>
      <c r="M105" s="83" t="s">
        <v>462</v>
      </c>
      <c r="N105" s="83" t="s">
        <v>303</v>
      </c>
      <c r="O105" s="83" t="s">
        <v>435</v>
      </c>
      <c r="P105" s="83" t="s">
        <v>435</v>
      </c>
      <c r="Q105" s="83" t="s">
        <v>436</v>
      </c>
      <c r="R105" s="83" t="s">
        <v>58</v>
      </c>
      <c r="S105" s="83" t="s">
        <v>58</v>
      </c>
    </row>
    <row r="106" spans="2:19" ht="23" customHeight="1" x14ac:dyDescent="0.35">
      <c r="B106" s="80" t="s">
        <v>704</v>
      </c>
      <c r="C106" s="81" t="s">
        <v>705</v>
      </c>
      <c r="D106" s="81" t="s">
        <v>539</v>
      </c>
      <c r="E106" s="81" t="s">
        <v>706</v>
      </c>
      <c r="F106" s="81" t="s">
        <v>450</v>
      </c>
      <c r="G106" s="82">
        <v>315648.76699700399</v>
      </c>
      <c r="H106" s="82">
        <v>315648.76699700399</v>
      </c>
      <c r="I106" s="83" t="s">
        <v>432</v>
      </c>
      <c r="J106" s="83" t="s">
        <v>422</v>
      </c>
      <c r="K106" s="83" t="s">
        <v>423</v>
      </c>
      <c r="L106" s="84" t="s">
        <v>81</v>
      </c>
      <c r="M106" s="83" t="s">
        <v>488</v>
      </c>
      <c r="N106" s="83" t="s">
        <v>489</v>
      </c>
      <c r="O106" s="83" t="s">
        <v>426</v>
      </c>
      <c r="P106" s="83" t="s">
        <v>426</v>
      </c>
      <c r="Q106" s="83" t="s">
        <v>436</v>
      </c>
      <c r="R106" s="83" t="s">
        <v>91</v>
      </c>
      <c r="S106" s="83" t="s">
        <v>58</v>
      </c>
    </row>
    <row r="107" spans="2:19" ht="23" customHeight="1" x14ac:dyDescent="0.35">
      <c r="B107" s="80" t="s">
        <v>707</v>
      </c>
      <c r="C107" s="81" t="s">
        <v>708</v>
      </c>
      <c r="D107" s="81" t="s">
        <v>539</v>
      </c>
      <c r="E107" s="81" t="s">
        <v>540</v>
      </c>
      <c r="F107" s="81" t="s">
        <v>450</v>
      </c>
      <c r="G107" s="82">
        <v>31776.907121456563</v>
      </c>
      <c r="H107" s="82">
        <v>31776.907121456563</v>
      </c>
      <c r="I107" s="83" t="s">
        <v>432</v>
      </c>
      <c r="J107" s="83" t="s">
        <v>422</v>
      </c>
      <c r="K107" s="83" t="s">
        <v>423</v>
      </c>
      <c r="L107" s="84" t="s">
        <v>81</v>
      </c>
      <c r="M107" s="83" t="s">
        <v>488</v>
      </c>
      <c r="N107" s="83" t="s">
        <v>489</v>
      </c>
      <c r="O107" s="83" t="s">
        <v>426</v>
      </c>
      <c r="P107" s="83" t="s">
        <v>426</v>
      </c>
      <c r="Q107" s="83" t="s">
        <v>436</v>
      </c>
      <c r="R107" s="83" t="s">
        <v>709</v>
      </c>
      <c r="S107" s="83" t="s">
        <v>58</v>
      </c>
    </row>
    <row r="108" spans="2:19" ht="23" customHeight="1" x14ac:dyDescent="0.35">
      <c r="B108" s="80" t="s">
        <v>710</v>
      </c>
      <c r="C108" s="81" t="s">
        <v>711</v>
      </c>
      <c r="D108" s="81" t="s">
        <v>539</v>
      </c>
      <c r="E108" s="81" t="s">
        <v>540</v>
      </c>
      <c r="F108" s="81" t="s">
        <v>712</v>
      </c>
      <c r="G108" s="82">
        <v>4112247.7652750001</v>
      </c>
      <c r="H108" s="82">
        <v>4112247.7652750001</v>
      </c>
      <c r="I108" s="83" t="s">
        <v>432</v>
      </c>
      <c r="J108" s="83" t="s">
        <v>422</v>
      </c>
      <c r="K108" s="83" t="s">
        <v>423</v>
      </c>
      <c r="L108" s="84" t="s">
        <v>81</v>
      </c>
      <c r="M108" s="83" t="s">
        <v>488</v>
      </c>
      <c r="N108" s="83" t="s">
        <v>489</v>
      </c>
      <c r="O108" s="83" t="s">
        <v>426</v>
      </c>
      <c r="P108" s="83" t="s">
        <v>426</v>
      </c>
      <c r="Q108" s="83" t="s">
        <v>436</v>
      </c>
      <c r="R108" s="83" t="s">
        <v>58</v>
      </c>
      <c r="S108" s="83" t="s">
        <v>58</v>
      </c>
    </row>
    <row r="109" spans="2:19" ht="23" customHeight="1" x14ac:dyDescent="0.35">
      <c r="B109" s="80" t="s">
        <v>713</v>
      </c>
      <c r="C109" s="81" t="s">
        <v>714</v>
      </c>
      <c r="D109" s="81" t="s">
        <v>539</v>
      </c>
      <c r="E109" s="81" t="s">
        <v>540</v>
      </c>
      <c r="F109" s="81" t="s">
        <v>712</v>
      </c>
      <c r="G109" s="82">
        <v>552239.20000000007</v>
      </c>
      <c r="H109" s="82">
        <v>552239.20000000007</v>
      </c>
      <c r="I109" s="83" t="s">
        <v>432</v>
      </c>
      <c r="J109" s="83" t="s">
        <v>422</v>
      </c>
      <c r="K109" s="83" t="s">
        <v>423</v>
      </c>
      <c r="L109" s="84" t="s">
        <v>81</v>
      </c>
      <c r="M109" s="83" t="s">
        <v>479</v>
      </c>
      <c r="N109" s="83" t="s">
        <v>592</v>
      </c>
      <c r="O109" s="83" t="s">
        <v>435</v>
      </c>
      <c r="P109" s="83" t="s">
        <v>426</v>
      </c>
      <c r="Q109" s="83" t="s">
        <v>436</v>
      </c>
      <c r="R109" s="83" t="s">
        <v>58</v>
      </c>
      <c r="S109" s="83" t="s">
        <v>58</v>
      </c>
    </row>
    <row r="110" spans="2:19" ht="23" customHeight="1" x14ac:dyDescent="0.35">
      <c r="B110" s="80" t="s">
        <v>715</v>
      </c>
      <c r="C110" s="81" t="s">
        <v>716</v>
      </c>
      <c r="D110" s="81" t="s">
        <v>539</v>
      </c>
      <c r="E110" s="81" t="s">
        <v>540</v>
      </c>
      <c r="F110" s="81" t="s">
        <v>419</v>
      </c>
      <c r="G110" s="82">
        <v>1177.8315280260802</v>
      </c>
      <c r="H110" s="82">
        <v>1177.8315280260802</v>
      </c>
      <c r="I110" s="83" t="s">
        <v>432</v>
      </c>
      <c r="J110" s="83" t="s">
        <v>422</v>
      </c>
      <c r="K110" s="83" t="s">
        <v>423</v>
      </c>
      <c r="L110" s="84" t="s">
        <v>1176</v>
      </c>
      <c r="M110" s="83" t="s">
        <v>585</v>
      </c>
      <c r="N110" s="83" t="s">
        <v>85</v>
      </c>
      <c r="O110" s="83" t="s">
        <v>435</v>
      </c>
      <c r="P110" s="83" t="s">
        <v>426</v>
      </c>
      <c r="Q110" s="83" t="s">
        <v>526</v>
      </c>
      <c r="R110" s="83" t="s">
        <v>58</v>
      </c>
      <c r="S110" s="83" t="s">
        <v>58</v>
      </c>
    </row>
    <row r="111" spans="2:19" ht="23" customHeight="1" x14ac:dyDescent="0.35">
      <c r="B111" s="80" t="s">
        <v>717</v>
      </c>
      <c r="C111" s="81" t="s">
        <v>718</v>
      </c>
      <c r="D111" s="81" t="s">
        <v>539</v>
      </c>
      <c r="E111" s="81" t="s">
        <v>591</v>
      </c>
      <c r="F111" s="81" t="s">
        <v>719</v>
      </c>
      <c r="G111" s="82">
        <v>67277.362498685441</v>
      </c>
      <c r="H111" s="82">
        <v>67277.362498685441</v>
      </c>
      <c r="I111" s="83" t="s">
        <v>432</v>
      </c>
      <c r="J111" s="83" t="s">
        <v>422</v>
      </c>
      <c r="K111" s="83" t="s">
        <v>423</v>
      </c>
      <c r="L111" s="84" t="s">
        <v>1176</v>
      </c>
      <c r="M111" s="83" t="s">
        <v>462</v>
      </c>
      <c r="N111" s="83" t="s">
        <v>308</v>
      </c>
      <c r="O111" s="83" t="s">
        <v>426</v>
      </c>
      <c r="P111" s="83" t="s">
        <v>435</v>
      </c>
      <c r="Q111" s="83" t="s">
        <v>436</v>
      </c>
      <c r="R111" s="83" t="s">
        <v>58</v>
      </c>
      <c r="S111" s="83" t="s">
        <v>58</v>
      </c>
    </row>
    <row r="112" spans="2:19" ht="23" customHeight="1" x14ac:dyDescent="0.35">
      <c r="B112" s="80" t="s">
        <v>720</v>
      </c>
      <c r="C112" s="81" t="s">
        <v>721</v>
      </c>
      <c r="D112" s="81" t="s">
        <v>539</v>
      </c>
      <c r="E112" s="81" t="s">
        <v>455</v>
      </c>
      <c r="F112" s="81" t="s">
        <v>722</v>
      </c>
      <c r="G112" s="82">
        <v>39284097.604374804</v>
      </c>
      <c r="H112" s="82">
        <v>39284097.604374804</v>
      </c>
      <c r="I112" s="83" t="s">
        <v>432</v>
      </c>
      <c r="J112" s="83" t="s">
        <v>422</v>
      </c>
      <c r="K112" s="83" t="s">
        <v>423</v>
      </c>
      <c r="L112" s="84" t="s">
        <v>81</v>
      </c>
      <c r="M112" s="83" t="s">
        <v>462</v>
      </c>
      <c r="N112" s="83" t="s">
        <v>303</v>
      </c>
      <c r="O112" s="83" t="s">
        <v>435</v>
      </c>
      <c r="P112" s="83" t="s">
        <v>435</v>
      </c>
      <c r="Q112" s="83" t="s">
        <v>436</v>
      </c>
      <c r="R112" s="83" t="s">
        <v>723</v>
      </c>
      <c r="S112" s="83" t="s">
        <v>58</v>
      </c>
    </row>
    <row r="113" spans="2:19" ht="23" customHeight="1" x14ac:dyDescent="0.35">
      <c r="B113" s="80" t="s">
        <v>724</v>
      </c>
      <c r="C113" s="81" t="s">
        <v>725</v>
      </c>
      <c r="D113" s="81" t="s">
        <v>539</v>
      </c>
      <c r="E113" s="81" t="s">
        <v>540</v>
      </c>
      <c r="F113" s="81" t="s">
        <v>726</v>
      </c>
      <c r="G113" s="82">
        <v>8873.9257560000005</v>
      </c>
      <c r="H113" s="82">
        <v>8873.9257560000005</v>
      </c>
      <c r="I113" s="83" t="s">
        <v>432</v>
      </c>
      <c r="J113" s="83" t="s">
        <v>422</v>
      </c>
      <c r="K113" s="83" t="s">
        <v>423</v>
      </c>
      <c r="L113" s="84" t="s">
        <v>81</v>
      </c>
      <c r="M113" s="83" t="s">
        <v>424</v>
      </c>
      <c r="N113" s="83" t="s">
        <v>425</v>
      </c>
      <c r="O113" s="83" t="s">
        <v>435</v>
      </c>
      <c r="P113" s="83" t="s">
        <v>426</v>
      </c>
      <c r="Q113" s="83" t="s">
        <v>526</v>
      </c>
      <c r="R113" s="83" t="s">
        <v>727</v>
      </c>
      <c r="S113" s="83" t="s">
        <v>58</v>
      </c>
    </row>
    <row r="114" spans="2:19" ht="23" customHeight="1" x14ac:dyDescent="0.35">
      <c r="B114" s="80" t="s">
        <v>728</v>
      </c>
      <c r="C114" s="81" t="s">
        <v>729</v>
      </c>
      <c r="D114" s="81" t="s">
        <v>539</v>
      </c>
      <c r="E114" s="81" t="s">
        <v>455</v>
      </c>
      <c r="F114" s="81" t="s">
        <v>726</v>
      </c>
      <c r="G114" s="82">
        <v>1164.921652</v>
      </c>
      <c r="H114" s="82">
        <v>1164.921652</v>
      </c>
      <c r="I114" s="83" t="s">
        <v>432</v>
      </c>
      <c r="J114" s="83" t="s">
        <v>422</v>
      </c>
      <c r="K114" s="83" t="s">
        <v>423</v>
      </c>
      <c r="L114" s="84" t="s">
        <v>81</v>
      </c>
      <c r="M114" s="83" t="s">
        <v>462</v>
      </c>
      <c r="N114" s="83" t="s">
        <v>318</v>
      </c>
      <c r="O114" s="83" t="s">
        <v>426</v>
      </c>
      <c r="P114" s="83" t="s">
        <v>426</v>
      </c>
      <c r="Q114" s="83" t="s">
        <v>526</v>
      </c>
      <c r="R114" s="83" t="s">
        <v>58</v>
      </c>
      <c r="S114" s="83" t="s">
        <v>58</v>
      </c>
    </row>
    <row r="115" spans="2:19" ht="23" customHeight="1" x14ac:dyDescent="0.35">
      <c r="B115" s="80" t="s">
        <v>730</v>
      </c>
      <c r="C115" s="81" t="s">
        <v>731</v>
      </c>
      <c r="D115" s="81" t="s">
        <v>539</v>
      </c>
      <c r="E115" s="81" t="s">
        <v>540</v>
      </c>
      <c r="F115" s="81" t="s">
        <v>588</v>
      </c>
      <c r="G115" s="82">
        <v>154590.38810000001</v>
      </c>
      <c r="H115" s="82">
        <v>154590.38810000001</v>
      </c>
      <c r="I115" s="83" t="s">
        <v>432</v>
      </c>
      <c r="J115" s="83" t="s">
        <v>422</v>
      </c>
      <c r="K115" s="83" t="s">
        <v>423</v>
      </c>
      <c r="L115" s="84" t="s">
        <v>81</v>
      </c>
      <c r="M115" s="83" t="s">
        <v>488</v>
      </c>
      <c r="N115" s="83" t="s">
        <v>489</v>
      </c>
      <c r="O115" s="83" t="s">
        <v>435</v>
      </c>
      <c r="P115" s="83" t="s">
        <v>426</v>
      </c>
      <c r="Q115" s="83" t="s">
        <v>436</v>
      </c>
      <c r="R115" s="83" t="s">
        <v>58</v>
      </c>
      <c r="S115" s="83" t="s">
        <v>58</v>
      </c>
    </row>
    <row r="116" spans="2:19" ht="23" customHeight="1" x14ac:dyDescent="0.35">
      <c r="B116" s="80" t="s">
        <v>732</v>
      </c>
      <c r="C116" s="81" t="s">
        <v>733</v>
      </c>
      <c r="D116" s="81" t="s">
        <v>539</v>
      </c>
      <c r="E116" s="81" t="s">
        <v>540</v>
      </c>
      <c r="F116" s="81" t="s">
        <v>588</v>
      </c>
      <c r="G116" s="82">
        <v>82868.861080000002</v>
      </c>
      <c r="H116" s="82">
        <v>82868.861080000002</v>
      </c>
      <c r="I116" s="83" t="s">
        <v>432</v>
      </c>
      <c r="J116" s="83" t="s">
        <v>422</v>
      </c>
      <c r="K116" s="83" t="s">
        <v>423</v>
      </c>
      <c r="L116" s="84" t="s">
        <v>1176</v>
      </c>
      <c r="M116" s="83" t="s">
        <v>488</v>
      </c>
      <c r="N116" s="83" t="s">
        <v>489</v>
      </c>
      <c r="O116" s="83" t="s">
        <v>435</v>
      </c>
      <c r="P116" s="83" t="s">
        <v>426</v>
      </c>
      <c r="Q116" s="83" t="s">
        <v>436</v>
      </c>
      <c r="R116" s="83" t="s">
        <v>734</v>
      </c>
      <c r="S116" s="83" t="s">
        <v>58</v>
      </c>
    </row>
    <row r="117" spans="2:19" ht="23" customHeight="1" x14ac:dyDescent="0.35">
      <c r="B117" s="80" t="s">
        <v>735</v>
      </c>
      <c r="C117" s="81" t="s">
        <v>736</v>
      </c>
      <c r="D117" s="81" t="s">
        <v>539</v>
      </c>
      <c r="E117" s="81" t="s">
        <v>591</v>
      </c>
      <c r="F117" s="81" t="s">
        <v>588</v>
      </c>
      <c r="G117" s="82">
        <v>1051635.2930000001</v>
      </c>
      <c r="H117" s="82">
        <v>1051635.2930000001</v>
      </c>
      <c r="I117" s="83" t="s">
        <v>432</v>
      </c>
      <c r="J117" s="83" t="s">
        <v>422</v>
      </c>
      <c r="K117" s="83" t="s">
        <v>423</v>
      </c>
      <c r="L117" s="84" t="s">
        <v>1176</v>
      </c>
      <c r="M117" s="83" t="s">
        <v>441</v>
      </c>
      <c r="N117" s="83" t="s">
        <v>204</v>
      </c>
      <c r="O117" s="83" t="s">
        <v>435</v>
      </c>
      <c r="P117" s="83" t="s">
        <v>435</v>
      </c>
      <c r="Q117" s="83" t="s">
        <v>436</v>
      </c>
      <c r="R117" s="83" t="s">
        <v>58</v>
      </c>
      <c r="S117" s="83" t="s">
        <v>58</v>
      </c>
    </row>
    <row r="118" spans="2:19" ht="23" customHeight="1" x14ac:dyDescent="0.35">
      <c r="B118" s="80" t="s">
        <v>737</v>
      </c>
      <c r="C118" s="81" t="s">
        <v>738</v>
      </c>
      <c r="D118" s="81" t="s">
        <v>539</v>
      </c>
      <c r="E118" s="81" t="s">
        <v>540</v>
      </c>
      <c r="F118" s="81" t="s">
        <v>455</v>
      </c>
      <c r="G118" s="82">
        <v>110367.020717215</v>
      </c>
      <c r="H118" s="82">
        <v>110367.020717215</v>
      </c>
      <c r="I118" s="83" t="s">
        <v>432</v>
      </c>
      <c r="J118" s="83" t="s">
        <v>422</v>
      </c>
      <c r="K118" s="83" t="s">
        <v>423</v>
      </c>
      <c r="L118" s="84" t="s">
        <v>81</v>
      </c>
      <c r="M118" s="83" t="s">
        <v>488</v>
      </c>
      <c r="N118" s="83" t="s">
        <v>489</v>
      </c>
      <c r="O118" s="83" t="s">
        <v>435</v>
      </c>
      <c r="P118" s="83" t="s">
        <v>426</v>
      </c>
      <c r="Q118" s="83" t="s">
        <v>436</v>
      </c>
      <c r="R118" s="83" t="s">
        <v>58</v>
      </c>
      <c r="S118" s="83" t="s">
        <v>58</v>
      </c>
    </row>
    <row r="119" spans="2:19" ht="23" customHeight="1" x14ac:dyDescent="0.35">
      <c r="B119" s="80" t="s">
        <v>739</v>
      </c>
      <c r="C119" s="81" t="s">
        <v>740</v>
      </c>
      <c r="D119" s="81" t="s">
        <v>539</v>
      </c>
      <c r="E119" s="81" t="s">
        <v>580</v>
      </c>
      <c r="F119" s="81" t="s">
        <v>580</v>
      </c>
      <c r="G119" s="82">
        <v>28892.078798858398</v>
      </c>
      <c r="H119" s="82">
        <v>28892.078798858398</v>
      </c>
      <c r="I119" s="83" t="s">
        <v>432</v>
      </c>
      <c r="J119" s="83" t="s">
        <v>422</v>
      </c>
      <c r="K119" s="83" t="s">
        <v>423</v>
      </c>
      <c r="L119" s="84" t="s">
        <v>81</v>
      </c>
      <c r="M119" s="83" t="s">
        <v>468</v>
      </c>
      <c r="N119" s="83" t="s">
        <v>469</v>
      </c>
      <c r="O119" s="83" t="s">
        <v>435</v>
      </c>
      <c r="P119" s="83" t="s">
        <v>435</v>
      </c>
      <c r="Q119" s="83" t="s">
        <v>436</v>
      </c>
      <c r="R119" s="83" t="s">
        <v>58</v>
      </c>
      <c r="S119" s="83" t="s">
        <v>58</v>
      </c>
    </row>
    <row r="120" spans="2:19" ht="23" customHeight="1" x14ac:dyDescent="0.35">
      <c r="B120" s="80" t="s">
        <v>741</v>
      </c>
      <c r="C120" s="81" t="s">
        <v>742</v>
      </c>
      <c r="D120" s="81" t="s">
        <v>539</v>
      </c>
      <c r="E120" s="81" t="s">
        <v>580</v>
      </c>
      <c r="F120" s="81" t="s">
        <v>580</v>
      </c>
      <c r="G120" s="82">
        <v>68465.802266330793</v>
      </c>
      <c r="H120" s="82">
        <v>68465.802266330793</v>
      </c>
      <c r="I120" s="83" t="s">
        <v>432</v>
      </c>
      <c r="J120" s="83" t="s">
        <v>422</v>
      </c>
      <c r="K120" s="83" t="s">
        <v>423</v>
      </c>
      <c r="L120" s="84" t="s">
        <v>81</v>
      </c>
      <c r="M120" s="83" t="s">
        <v>479</v>
      </c>
      <c r="N120" s="83" t="s">
        <v>91</v>
      </c>
      <c r="O120" s="83" t="s">
        <v>435</v>
      </c>
      <c r="P120" s="83" t="s">
        <v>435</v>
      </c>
      <c r="Q120" s="83" t="s">
        <v>436</v>
      </c>
      <c r="R120" s="83" t="s">
        <v>58</v>
      </c>
      <c r="S120" s="83" t="s">
        <v>58</v>
      </c>
    </row>
    <row r="121" spans="2:19" ht="23" customHeight="1" x14ac:dyDescent="0.35">
      <c r="B121" s="80" t="s">
        <v>743</v>
      </c>
      <c r="C121" s="81" t="s">
        <v>744</v>
      </c>
      <c r="D121" s="81" t="s">
        <v>539</v>
      </c>
      <c r="E121" s="81" t="s">
        <v>445</v>
      </c>
      <c r="F121" s="81" t="s">
        <v>445</v>
      </c>
      <c r="G121" s="82">
        <v>5476</v>
      </c>
      <c r="H121" s="82">
        <v>5476</v>
      </c>
      <c r="I121" s="83" t="s">
        <v>432</v>
      </c>
      <c r="J121" s="83" t="s">
        <v>422</v>
      </c>
      <c r="K121" s="83" t="s">
        <v>423</v>
      </c>
      <c r="L121" s="84" t="s">
        <v>61</v>
      </c>
      <c r="M121" s="83" t="s">
        <v>433</v>
      </c>
      <c r="N121" s="83" t="s">
        <v>531</v>
      </c>
      <c r="O121" s="83" t="s">
        <v>435</v>
      </c>
      <c r="P121" s="83" t="s">
        <v>426</v>
      </c>
      <c r="Q121" s="83" t="s">
        <v>526</v>
      </c>
      <c r="R121" s="83" t="s">
        <v>58</v>
      </c>
      <c r="S121" s="83" t="s">
        <v>58</v>
      </c>
    </row>
    <row r="122" spans="2:19" ht="23" customHeight="1" x14ac:dyDescent="0.35">
      <c r="B122" s="80" t="s">
        <v>745</v>
      </c>
      <c r="C122" s="81" t="s">
        <v>746</v>
      </c>
      <c r="D122" s="81" t="s">
        <v>539</v>
      </c>
      <c r="E122" s="81" t="s">
        <v>445</v>
      </c>
      <c r="F122" s="81" t="s">
        <v>445</v>
      </c>
      <c r="G122" s="82">
        <v>29354.800000000003</v>
      </c>
      <c r="H122" s="82">
        <v>29354.800000000003</v>
      </c>
      <c r="I122" s="83" t="s">
        <v>432</v>
      </c>
      <c r="J122" s="83" t="s">
        <v>422</v>
      </c>
      <c r="K122" s="83" t="s">
        <v>423</v>
      </c>
      <c r="L122" s="84" t="s">
        <v>61</v>
      </c>
      <c r="M122" s="83" t="s">
        <v>433</v>
      </c>
      <c r="N122" s="83" t="s">
        <v>531</v>
      </c>
      <c r="O122" s="83" t="s">
        <v>435</v>
      </c>
      <c r="P122" s="83" t="s">
        <v>426</v>
      </c>
      <c r="Q122" s="83" t="s">
        <v>436</v>
      </c>
      <c r="R122" s="83" t="s">
        <v>58</v>
      </c>
      <c r="S122" s="83" t="s">
        <v>58</v>
      </c>
    </row>
    <row r="123" spans="2:19" ht="23" customHeight="1" x14ac:dyDescent="0.35">
      <c r="B123" s="80" t="s">
        <v>747</v>
      </c>
      <c r="C123" s="81" t="s">
        <v>748</v>
      </c>
      <c r="D123" s="81" t="s">
        <v>539</v>
      </c>
      <c r="E123" s="81" t="s">
        <v>591</v>
      </c>
      <c r="F123" s="81" t="s">
        <v>749</v>
      </c>
      <c r="G123" s="82">
        <v>65974.718801028022</v>
      </c>
      <c r="H123" s="82">
        <v>65974.718801028022</v>
      </c>
      <c r="I123" s="83" t="s">
        <v>432</v>
      </c>
      <c r="J123" s="83" t="s">
        <v>422</v>
      </c>
      <c r="K123" s="83" t="s">
        <v>423</v>
      </c>
      <c r="L123" s="84" t="s">
        <v>1176</v>
      </c>
      <c r="M123" s="83" t="s">
        <v>462</v>
      </c>
      <c r="N123" s="83" t="s">
        <v>318</v>
      </c>
      <c r="O123" s="83" t="s">
        <v>426</v>
      </c>
      <c r="P123" s="83" t="s">
        <v>426</v>
      </c>
      <c r="Q123" s="83" t="s">
        <v>436</v>
      </c>
      <c r="R123" s="83" t="s">
        <v>58</v>
      </c>
      <c r="S123" s="83" t="s">
        <v>58</v>
      </c>
    </row>
    <row r="124" spans="2:19" ht="23" customHeight="1" x14ac:dyDescent="0.35">
      <c r="B124" s="80" t="s">
        <v>750</v>
      </c>
      <c r="C124" s="81" t="s">
        <v>751</v>
      </c>
      <c r="D124" s="81" t="s">
        <v>539</v>
      </c>
      <c r="E124" s="81" t="s">
        <v>540</v>
      </c>
      <c r="F124" s="81" t="s">
        <v>609</v>
      </c>
      <c r="G124" s="82">
        <v>132677.00693859282</v>
      </c>
      <c r="H124" s="82">
        <v>132677.00693859282</v>
      </c>
      <c r="I124" s="83" t="s">
        <v>432</v>
      </c>
      <c r="J124" s="83" t="s">
        <v>422</v>
      </c>
      <c r="K124" s="83" t="s">
        <v>423</v>
      </c>
      <c r="L124" s="84" t="s">
        <v>1176</v>
      </c>
      <c r="M124" s="83" t="s">
        <v>462</v>
      </c>
      <c r="N124" s="83" t="s">
        <v>318</v>
      </c>
      <c r="O124" s="83" t="s">
        <v>426</v>
      </c>
      <c r="P124" s="83" t="s">
        <v>426</v>
      </c>
      <c r="Q124" s="83" t="s">
        <v>436</v>
      </c>
      <c r="R124" s="83" t="s">
        <v>58</v>
      </c>
      <c r="S124" s="83" t="s">
        <v>58</v>
      </c>
    </row>
    <row r="125" spans="2:19" ht="23" customHeight="1" x14ac:dyDescent="0.35">
      <c r="B125" s="80" t="s">
        <v>752</v>
      </c>
      <c r="C125" s="81" t="s">
        <v>753</v>
      </c>
      <c r="D125" s="81" t="s">
        <v>539</v>
      </c>
      <c r="E125" s="81" t="s">
        <v>540</v>
      </c>
      <c r="F125" s="81" t="s">
        <v>754</v>
      </c>
      <c r="G125" s="82">
        <v>24037.5</v>
      </c>
      <c r="H125" s="82">
        <v>24037.5</v>
      </c>
      <c r="I125" s="83" t="s">
        <v>432</v>
      </c>
      <c r="J125" s="83" t="s">
        <v>422</v>
      </c>
      <c r="K125" s="83" t="s">
        <v>423</v>
      </c>
      <c r="L125" s="84" t="s">
        <v>61</v>
      </c>
      <c r="M125" s="83" t="s">
        <v>424</v>
      </c>
      <c r="N125" s="83" t="s">
        <v>55</v>
      </c>
      <c r="O125" s="83" t="s">
        <v>426</v>
      </c>
      <c r="P125" s="83" t="s">
        <v>435</v>
      </c>
      <c r="Q125" s="83" t="s">
        <v>436</v>
      </c>
      <c r="R125" s="83" t="s">
        <v>58</v>
      </c>
      <c r="S125" s="83" t="s">
        <v>58</v>
      </c>
    </row>
    <row r="126" spans="2:19" ht="23" customHeight="1" x14ac:dyDescent="0.35">
      <c r="B126" s="80" t="s">
        <v>755</v>
      </c>
      <c r="C126" s="81" t="s">
        <v>756</v>
      </c>
      <c r="D126" s="81" t="s">
        <v>539</v>
      </c>
      <c r="E126" s="81" t="s">
        <v>567</v>
      </c>
      <c r="F126" s="81" t="s">
        <v>567</v>
      </c>
      <c r="G126" s="82">
        <v>495.57261541697198</v>
      </c>
      <c r="H126" s="82">
        <v>495.57261541697198</v>
      </c>
      <c r="I126" s="83" t="s">
        <v>432</v>
      </c>
      <c r="J126" s="83" t="s">
        <v>422</v>
      </c>
      <c r="K126" s="83" t="s">
        <v>423</v>
      </c>
      <c r="L126" s="84" t="s">
        <v>1176</v>
      </c>
      <c r="M126" s="83" t="s">
        <v>462</v>
      </c>
      <c r="N126" s="83" t="s">
        <v>318</v>
      </c>
      <c r="O126" s="83" t="s">
        <v>435</v>
      </c>
      <c r="P126" s="83" t="s">
        <v>426</v>
      </c>
      <c r="Q126" s="83" t="s">
        <v>526</v>
      </c>
      <c r="R126" s="83" t="s">
        <v>58</v>
      </c>
      <c r="S126" s="83" t="s">
        <v>58</v>
      </c>
    </row>
    <row r="127" spans="2:19" ht="23" customHeight="1" x14ac:dyDescent="0.35">
      <c r="B127" s="80" t="s">
        <v>757</v>
      </c>
      <c r="C127" s="81" t="s">
        <v>758</v>
      </c>
      <c r="D127" s="81" t="s">
        <v>539</v>
      </c>
      <c r="E127" s="81" t="s">
        <v>567</v>
      </c>
      <c r="F127" s="81" t="s">
        <v>567</v>
      </c>
      <c r="G127" s="82">
        <v>495.57261541697198</v>
      </c>
      <c r="H127" s="82">
        <v>495.57261541697198</v>
      </c>
      <c r="I127" s="83" t="s">
        <v>432</v>
      </c>
      <c r="J127" s="83" t="s">
        <v>422</v>
      </c>
      <c r="K127" s="83" t="s">
        <v>423</v>
      </c>
      <c r="L127" s="84" t="s">
        <v>1176</v>
      </c>
      <c r="M127" s="83" t="s">
        <v>585</v>
      </c>
      <c r="N127" s="83" t="s">
        <v>170</v>
      </c>
      <c r="O127" s="83" t="s">
        <v>435</v>
      </c>
      <c r="P127" s="83" t="s">
        <v>426</v>
      </c>
      <c r="Q127" s="83" t="s">
        <v>526</v>
      </c>
      <c r="R127" s="83" t="s">
        <v>58</v>
      </c>
      <c r="S127" s="83" t="s">
        <v>58</v>
      </c>
    </row>
    <row r="128" spans="2:19" ht="23" customHeight="1" x14ac:dyDescent="0.35">
      <c r="B128" s="80" t="s">
        <v>759</v>
      </c>
      <c r="C128" s="81" t="s">
        <v>760</v>
      </c>
      <c r="D128" s="81" t="s">
        <v>539</v>
      </c>
      <c r="E128" s="81" t="s">
        <v>567</v>
      </c>
      <c r="F128" s="81" t="s">
        <v>567</v>
      </c>
      <c r="G128" s="82">
        <v>2913.35623093911</v>
      </c>
      <c r="H128" s="82">
        <v>2913.35623093911</v>
      </c>
      <c r="I128" s="83" t="s">
        <v>432</v>
      </c>
      <c r="J128" s="83" t="s">
        <v>422</v>
      </c>
      <c r="K128" s="83" t="s">
        <v>423</v>
      </c>
      <c r="L128" s="84" t="s">
        <v>81</v>
      </c>
      <c r="M128" s="83" t="s">
        <v>488</v>
      </c>
      <c r="N128" s="83" t="s">
        <v>489</v>
      </c>
      <c r="O128" s="83" t="s">
        <v>426</v>
      </c>
      <c r="P128" s="83" t="s">
        <v>426</v>
      </c>
      <c r="Q128" s="83" t="s">
        <v>526</v>
      </c>
      <c r="R128" s="83" t="s">
        <v>58</v>
      </c>
      <c r="S128" s="83" t="s">
        <v>58</v>
      </c>
    </row>
    <row r="129" spans="2:19" ht="23" customHeight="1" x14ac:dyDescent="0.35">
      <c r="B129" s="80" t="s">
        <v>761</v>
      </c>
      <c r="C129" s="81" t="s">
        <v>762</v>
      </c>
      <c r="D129" s="81" t="s">
        <v>539</v>
      </c>
      <c r="E129" s="81" t="s">
        <v>567</v>
      </c>
      <c r="F129" s="81" t="s">
        <v>567</v>
      </c>
      <c r="G129" s="82">
        <v>2734.2517614891203</v>
      </c>
      <c r="H129" s="82">
        <v>2734.2517614891203</v>
      </c>
      <c r="I129" s="83" t="s">
        <v>432</v>
      </c>
      <c r="J129" s="83" t="s">
        <v>422</v>
      </c>
      <c r="K129" s="83" t="s">
        <v>423</v>
      </c>
      <c r="L129" s="84" t="s">
        <v>1176</v>
      </c>
      <c r="M129" s="83" t="s">
        <v>488</v>
      </c>
      <c r="N129" s="83" t="s">
        <v>425</v>
      </c>
      <c r="O129" s="83" t="s">
        <v>426</v>
      </c>
      <c r="P129" s="83" t="s">
        <v>426</v>
      </c>
      <c r="Q129" s="83" t="s">
        <v>526</v>
      </c>
      <c r="R129" s="83" t="s">
        <v>58</v>
      </c>
      <c r="S129" s="83" t="s">
        <v>58</v>
      </c>
    </row>
    <row r="130" spans="2:19" ht="23" customHeight="1" x14ac:dyDescent="0.35">
      <c r="B130" s="80" t="s">
        <v>763</v>
      </c>
      <c r="C130" s="81" t="s">
        <v>764</v>
      </c>
      <c r="D130" s="81" t="s">
        <v>539</v>
      </c>
      <c r="E130" s="81" t="s">
        <v>567</v>
      </c>
      <c r="F130" s="81" t="s">
        <v>567</v>
      </c>
      <c r="G130" s="82">
        <v>4206.5411715217197</v>
      </c>
      <c r="H130" s="82">
        <v>4206.5411715217197</v>
      </c>
      <c r="I130" s="83" t="s">
        <v>432</v>
      </c>
      <c r="J130" s="83" t="s">
        <v>422</v>
      </c>
      <c r="K130" s="83" t="s">
        <v>423</v>
      </c>
      <c r="L130" s="84" t="s">
        <v>1176</v>
      </c>
      <c r="M130" s="83" t="s">
        <v>585</v>
      </c>
      <c r="N130" s="83" t="s">
        <v>170</v>
      </c>
      <c r="O130" s="83" t="s">
        <v>426</v>
      </c>
      <c r="P130" s="83" t="s">
        <v>435</v>
      </c>
      <c r="Q130" s="83" t="s">
        <v>526</v>
      </c>
      <c r="R130" s="83" t="s">
        <v>58</v>
      </c>
      <c r="S130" s="83" t="s">
        <v>58</v>
      </c>
    </row>
    <row r="131" spans="2:19" ht="23" customHeight="1" x14ac:dyDescent="0.35">
      <c r="B131" s="80" t="s">
        <v>765</v>
      </c>
      <c r="C131" s="81" t="s">
        <v>766</v>
      </c>
      <c r="D131" s="81" t="s">
        <v>539</v>
      </c>
      <c r="E131" s="81" t="s">
        <v>455</v>
      </c>
      <c r="F131" s="81" t="s">
        <v>632</v>
      </c>
      <c r="G131" s="82">
        <v>105163.52928804299</v>
      </c>
      <c r="H131" s="82">
        <v>105163.52928804299</v>
      </c>
      <c r="I131" s="83" t="s">
        <v>432</v>
      </c>
      <c r="J131" s="83" t="s">
        <v>422</v>
      </c>
      <c r="K131" s="83" t="s">
        <v>423</v>
      </c>
      <c r="L131" s="84" t="s">
        <v>1176</v>
      </c>
      <c r="M131" s="83" t="s">
        <v>433</v>
      </c>
      <c r="N131" s="83" t="s">
        <v>531</v>
      </c>
      <c r="O131" s="83" t="s">
        <v>426</v>
      </c>
      <c r="P131" s="83" t="s">
        <v>435</v>
      </c>
      <c r="Q131" s="83" t="s">
        <v>436</v>
      </c>
      <c r="R131" s="83" t="s">
        <v>58</v>
      </c>
      <c r="S131" s="83" t="s">
        <v>58</v>
      </c>
    </row>
    <row r="132" spans="2:19" ht="23" customHeight="1" x14ac:dyDescent="0.35">
      <c r="B132" s="80" t="s">
        <v>767</v>
      </c>
      <c r="C132" s="81" t="s">
        <v>768</v>
      </c>
      <c r="D132" s="81" t="s">
        <v>539</v>
      </c>
      <c r="E132" s="81" t="s">
        <v>455</v>
      </c>
      <c r="F132" s="81" t="s">
        <v>632</v>
      </c>
      <c r="G132" s="82">
        <v>70459.564622988793</v>
      </c>
      <c r="H132" s="82">
        <v>70459.564622988793</v>
      </c>
      <c r="I132" s="83" t="s">
        <v>432</v>
      </c>
      <c r="J132" s="83" t="s">
        <v>422</v>
      </c>
      <c r="K132" s="83" t="s">
        <v>423</v>
      </c>
      <c r="L132" s="84" t="s">
        <v>61</v>
      </c>
      <c r="M132" s="83" t="s">
        <v>433</v>
      </c>
      <c r="N132" s="83" t="s">
        <v>650</v>
      </c>
      <c r="O132" s="83" t="s">
        <v>426</v>
      </c>
      <c r="P132" s="83" t="s">
        <v>435</v>
      </c>
      <c r="Q132" s="83" t="s">
        <v>436</v>
      </c>
      <c r="R132" s="83" t="s">
        <v>58</v>
      </c>
      <c r="S132" s="83" t="s">
        <v>58</v>
      </c>
    </row>
    <row r="133" spans="2:19" ht="23" customHeight="1" x14ac:dyDescent="0.35">
      <c r="B133" s="80" t="s">
        <v>769</v>
      </c>
      <c r="C133" s="81" t="s">
        <v>770</v>
      </c>
      <c r="D133" s="81" t="s">
        <v>539</v>
      </c>
      <c r="E133" s="81" t="s">
        <v>567</v>
      </c>
      <c r="F133" s="81" t="s">
        <v>567</v>
      </c>
      <c r="G133" s="82">
        <v>11747.2394573562</v>
      </c>
      <c r="H133" s="82">
        <v>11747.2394573562</v>
      </c>
      <c r="I133" s="83" t="s">
        <v>432</v>
      </c>
      <c r="J133" s="83" t="s">
        <v>422</v>
      </c>
      <c r="K133" s="83" t="s">
        <v>423</v>
      </c>
      <c r="L133" s="84" t="s">
        <v>81</v>
      </c>
      <c r="M133" s="83" t="s">
        <v>585</v>
      </c>
      <c r="N133" s="83" t="s">
        <v>170</v>
      </c>
      <c r="O133" s="83" t="s">
        <v>435</v>
      </c>
      <c r="P133" s="83" t="s">
        <v>435</v>
      </c>
      <c r="Q133" s="83" t="s">
        <v>436</v>
      </c>
      <c r="R133" s="83" t="s">
        <v>58</v>
      </c>
      <c r="S133" s="83" t="s">
        <v>58</v>
      </c>
    </row>
    <row r="134" spans="2:19" ht="23" customHeight="1" x14ac:dyDescent="0.35">
      <c r="B134" s="80" t="s">
        <v>771</v>
      </c>
      <c r="C134" s="81" t="s">
        <v>772</v>
      </c>
      <c r="D134" s="81" t="s">
        <v>539</v>
      </c>
      <c r="E134" s="81" t="s">
        <v>567</v>
      </c>
      <c r="F134" s="81" t="s">
        <v>567</v>
      </c>
      <c r="G134" s="82">
        <v>3996.2141129456322</v>
      </c>
      <c r="H134" s="82">
        <v>3996.2141129456322</v>
      </c>
      <c r="I134" s="83" t="s">
        <v>432</v>
      </c>
      <c r="J134" s="83" t="s">
        <v>422</v>
      </c>
      <c r="K134" s="83" t="s">
        <v>423</v>
      </c>
      <c r="L134" s="84" t="s">
        <v>81</v>
      </c>
      <c r="M134" s="83" t="s">
        <v>479</v>
      </c>
      <c r="N134" s="83" t="s">
        <v>91</v>
      </c>
      <c r="O134" s="83" t="s">
        <v>435</v>
      </c>
      <c r="P134" s="83" t="s">
        <v>435</v>
      </c>
      <c r="Q134" s="83" t="s">
        <v>526</v>
      </c>
      <c r="R134" s="83" t="s">
        <v>58</v>
      </c>
      <c r="S134" s="83" t="s">
        <v>58</v>
      </c>
    </row>
    <row r="135" spans="2:19" ht="23" customHeight="1" x14ac:dyDescent="0.35">
      <c r="B135" s="80" t="s">
        <v>773</v>
      </c>
      <c r="C135" s="81" t="s">
        <v>774</v>
      </c>
      <c r="D135" s="81" t="s">
        <v>539</v>
      </c>
      <c r="E135" s="81" t="s">
        <v>567</v>
      </c>
      <c r="F135" s="81" t="s">
        <v>567</v>
      </c>
      <c r="G135" s="82">
        <v>16811.115785045702</v>
      </c>
      <c r="H135" s="82">
        <v>16811.115785045702</v>
      </c>
      <c r="I135" s="83" t="s">
        <v>432</v>
      </c>
      <c r="J135" s="83" t="s">
        <v>422</v>
      </c>
      <c r="K135" s="83" t="s">
        <v>423</v>
      </c>
      <c r="L135" s="84" t="s">
        <v>1176</v>
      </c>
      <c r="M135" s="83" t="s">
        <v>488</v>
      </c>
      <c r="N135" s="83" t="s">
        <v>425</v>
      </c>
      <c r="O135" s="83" t="s">
        <v>426</v>
      </c>
      <c r="P135" s="83" t="s">
        <v>435</v>
      </c>
      <c r="Q135" s="83" t="s">
        <v>526</v>
      </c>
      <c r="R135" s="83" t="s">
        <v>58</v>
      </c>
      <c r="S135" s="83" t="s">
        <v>58</v>
      </c>
    </row>
    <row r="136" spans="2:19" ht="23" customHeight="1" x14ac:dyDescent="0.35">
      <c r="B136" s="80" t="s">
        <v>775</v>
      </c>
      <c r="C136" s="81" t="s">
        <v>776</v>
      </c>
      <c r="D136" s="81" t="s">
        <v>539</v>
      </c>
      <c r="E136" s="81" t="s">
        <v>567</v>
      </c>
      <c r="F136" s="81" t="s">
        <v>567</v>
      </c>
      <c r="G136" s="82">
        <v>10469.0293406247</v>
      </c>
      <c r="H136" s="82">
        <v>10469.0293406247</v>
      </c>
      <c r="I136" s="83" t="s">
        <v>432</v>
      </c>
      <c r="J136" s="83" t="s">
        <v>422</v>
      </c>
      <c r="K136" s="83" t="s">
        <v>423</v>
      </c>
      <c r="L136" s="84" t="s">
        <v>1176</v>
      </c>
      <c r="M136" s="83" t="s">
        <v>462</v>
      </c>
      <c r="N136" s="83" t="s">
        <v>308</v>
      </c>
      <c r="O136" s="83" t="s">
        <v>426</v>
      </c>
      <c r="P136" s="83" t="s">
        <v>426</v>
      </c>
      <c r="Q136" s="83" t="s">
        <v>436</v>
      </c>
      <c r="R136" s="83" t="s">
        <v>58</v>
      </c>
      <c r="S136" s="83" t="s">
        <v>58</v>
      </c>
    </row>
    <row r="137" spans="2:19" ht="23" customHeight="1" x14ac:dyDescent="0.35">
      <c r="B137" s="80" t="s">
        <v>777</v>
      </c>
      <c r="C137" s="81" t="s">
        <v>778</v>
      </c>
      <c r="D137" s="81" t="s">
        <v>539</v>
      </c>
      <c r="E137" s="81" t="s">
        <v>567</v>
      </c>
      <c r="F137" s="81" t="s">
        <v>567</v>
      </c>
      <c r="G137" s="82">
        <v>3154.9058786412897</v>
      </c>
      <c r="H137" s="82">
        <v>3154.9058786412897</v>
      </c>
      <c r="I137" s="83" t="s">
        <v>432</v>
      </c>
      <c r="J137" s="83" t="s">
        <v>422</v>
      </c>
      <c r="K137" s="83" t="s">
        <v>423</v>
      </c>
      <c r="L137" s="84" t="s">
        <v>81</v>
      </c>
      <c r="M137" s="83" t="s">
        <v>585</v>
      </c>
      <c r="N137" s="83" t="s">
        <v>170</v>
      </c>
      <c r="O137" s="83" t="s">
        <v>426</v>
      </c>
      <c r="P137" s="83" t="s">
        <v>435</v>
      </c>
      <c r="Q137" s="83" t="s">
        <v>526</v>
      </c>
      <c r="R137" s="83" t="s">
        <v>58</v>
      </c>
      <c r="S137" s="83" t="s">
        <v>58</v>
      </c>
    </row>
    <row r="138" spans="2:19" ht="23" customHeight="1" x14ac:dyDescent="0.35">
      <c r="B138" s="80" t="s">
        <v>779</v>
      </c>
      <c r="C138" s="81" t="s">
        <v>780</v>
      </c>
      <c r="D138" s="81" t="s">
        <v>539</v>
      </c>
      <c r="E138" s="81" t="s">
        <v>567</v>
      </c>
      <c r="F138" s="81" t="s">
        <v>567</v>
      </c>
      <c r="G138" s="82">
        <v>1261.962351456516</v>
      </c>
      <c r="H138" s="82">
        <v>1261.962351456516</v>
      </c>
      <c r="I138" s="83" t="s">
        <v>432</v>
      </c>
      <c r="J138" s="83" t="s">
        <v>422</v>
      </c>
      <c r="K138" s="83" t="s">
        <v>423</v>
      </c>
      <c r="L138" s="84" t="s">
        <v>81</v>
      </c>
      <c r="M138" s="83" t="s">
        <v>488</v>
      </c>
      <c r="N138" s="83" t="s">
        <v>425</v>
      </c>
      <c r="O138" s="83" t="s">
        <v>426</v>
      </c>
      <c r="P138" s="83" t="s">
        <v>426</v>
      </c>
      <c r="Q138" s="83" t="s">
        <v>526</v>
      </c>
      <c r="R138" s="83" t="s">
        <v>58</v>
      </c>
      <c r="S138" s="83" t="s">
        <v>58</v>
      </c>
    </row>
    <row r="139" spans="2:19" ht="23" customHeight="1" x14ac:dyDescent="0.35">
      <c r="B139" s="80" t="s">
        <v>781</v>
      </c>
      <c r="C139" s="81" t="s">
        <v>782</v>
      </c>
      <c r="D139" s="81" t="s">
        <v>539</v>
      </c>
      <c r="E139" s="81" t="s">
        <v>445</v>
      </c>
      <c r="F139" s="81" t="s">
        <v>445</v>
      </c>
      <c r="G139" s="82">
        <v>7348.6907140603589</v>
      </c>
      <c r="H139" s="82">
        <v>7348.6907140603589</v>
      </c>
      <c r="I139" s="83" t="s">
        <v>432</v>
      </c>
      <c r="J139" s="83" t="s">
        <v>422</v>
      </c>
      <c r="K139" s="83" t="s">
        <v>423</v>
      </c>
      <c r="L139" s="84" t="s">
        <v>81</v>
      </c>
      <c r="M139" s="83" t="s">
        <v>585</v>
      </c>
      <c r="N139" s="83" t="s">
        <v>170</v>
      </c>
      <c r="O139" s="83" t="s">
        <v>435</v>
      </c>
      <c r="P139" s="83" t="s">
        <v>426</v>
      </c>
      <c r="Q139" s="83" t="s">
        <v>526</v>
      </c>
      <c r="R139" s="83" t="s">
        <v>58</v>
      </c>
      <c r="S139" s="83" t="s">
        <v>58</v>
      </c>
    </row>
    <row r="140" spans="2:19" ht="23" customHeight="1" x14ac:dyDescent="0.35">
      <c r="B140" s="80" t="s">
        <v>783</v>
      </c>
      <c r="C140" s="81" t="s">
        <v>784</v>
      </c>
      <c r="D140" s="81" t="s">
        <v>539</v>
      </c>
      <c r="E140" s="81" t="s">
        <v>540</v>
      </c>
      <c r="F140" s="81" t="s">
        <v>560</v>
      </c>
      <c r="G140" s="82">
        <v>32879.3774319066</v>
      </c>
      <c r="H140" s="82">
        <v>32879.3774319066</v>
      </c>
      <c r="I140" s="83" t="s">
        <v>432</v>
      </c>
      <c r="J140" s="83" t="s">
        <v>422</v>
      </c>
      <c r="K140" s="83" t="s">
        <v>423</v>
      </c>
      <c r="L140" s="84" t="s">
        <v>81</v>
      </c>
      <c r="M140" s="83" t="s">
        <v>488</v>
      </c>
      <c r="N140" s="83" t="s">
        <v>785</v>
      </c>
      <c r="O140" s="83" t="s">
        <v>435</v>
      </c>
      <c r="P140" s="83" t="s">
        <v>426</v>
      </c>
      <c r="Q140" s="83" t="s">
        <v>436</v>
      </c>
      <c r="R140" s="83" t="s">
        <v>58</v>
      </c>
      <c r="S140" s="83" t="s">
        <v>58</v>
      </c>
    </row>
    <row r="141" spans="2:19" ht="23" customHeight="1" x14ac:dyDescent="0.35">
      <c r="B141" s="80" t="s">
        <v>786</v>
      </c>
      <c r="C141" s="81" t="s">
        <v>787</v>
      </c>
      <c r="D141" s="81" t="s">
        <v>539</v>
      </c>
      <c r="E141" s="81" t="s">
        <v>540</v>
      </c>
      <c r="F141" s="81" t="s">
        <v>788</v>
      </c>
      <c r="G141" s="82">
        <v>394363.23483016097</v>
      </c>
      <c r="H141" s="82">
        <v>394363.23483016097</v>
      </c>
      <c r="I141" s="83" t="s">
        <v>432</v>
      </c>
      <c r="J141" s="83" t="s">
        <v>422</v>
      </c>
      <c r="K141" s="83" t="s">
        <v>423</v>
      </c>
      <c r="L141" s="84" t="s">
        <v>61</v>
      </c>
      <c r="M141" s="83" t="s">
        <v>618</v>
      </c>
      <c r="N141" s="83" t="s">
        <v>168</v>
      </c>
      <c r="O141" s="83" t="s">
        <v>435</v>
      </c>
      <c r="P141" s="83" t="s">
        <v>426</v>
      </c>
      <c r="Q141" s="83" t="s">
        <v>436</v>
      </c>
      <c r="R141" s="83" t="s">
        <v>58</v>
      </c>
      <c r="S141" s="83" t="s">
        <v>58</v>
      </c>
    </row>
    <row r="142" spans="2:19" ht="23" customHeight="1" x14ac:dyDescent="0.35">
      <c r="B142" s="80" t="s">
        <v>789</v>
      </c>
      <c r="C142" s="81" t="s">
        <v>790</v>
      </c>
      <c r="D142" s="81" t="s">
        <v>539</v>
      </c>
      <c r="E142" s="81" t="s">
        <v>540</v>
      </c>
      <c r="F142" s="81" t="s">
        <v>788</v>
      </c>
      <c r="G142" s="82">
        <v>370596.27721106325</v>
      </c>
      <c r="H142" s="82">
        <v>370596.27721106325</v>
      </c>
      <c r="I142" s="83" t="s">
        <v>432</v>
      </c>
      <c r="J142" s="83" t="s">
        <v>422</v>
      </c>
      <c r="K142" s="83" t="s">
        <v>423</v>
      </c>
      <c r="L142" s="84" t="s">
        <v>81</v>
      </c>
      <c r="M142" s="83" t="s">
        <v>479</v>
      </c>
      <c r="N142" s="83" t="s">
        <v>791</v>
      </c>
      <c r="O142" s="83" t="s">
        <v>435</v>
      </c>
      <c r="P142" s="83" t="s">
        <v>426</v>
      </c>
      <c r="Q142" s="83" t="s">
        <v>436</v>
      </c>
      <c r="R142" s="83" t="s">
        <v>58</v>
      </c>
      <c r="S142" s="83" t="s">
        <v>58</v>
      </c>
    </row>
    <row r="143" spans="2:19" ht="23" customHeight="1" x14ac:dyDescent="0.35">
      <c r="B143" s="80" t="s">
        <v>792</v>
      </c>
      <c r="C143" s="81" t="s">
        <v>793</v>
      </c>
      <c r="D143" s="81" t="s">
        <v>539</v>
      </c>
      <c r="E143" s="81" t="s">
        <v>540</v>
      </c>
      <c r="F143" s="81" t="s">
        <v>632</v>
      </c>
      <c r="G143" s="82">
        <v>504784.94058260409</v>
      </c>
      <c r="H143" s="82">
        <v>504784.94058260409</v>
      </c>
      <c r="I143" s="83" t="s">
        <v>432</v>
      </c>
      <c r="J143" s="83" t="s">
        <v>422</v>
      </c>
      <c r="K143" s="83" t="s">
        <v>423</v>
      </c>
      <c r="L143" s="84" t="s">
        <v>61</v>
      </c>
      <c r="M143" s="83" t="s">
        <v>441</v>
      </c>
      <c r="N143" s="83" t="s">
        <v>204</v>
      </c>
      <c r="O143" s="83" t="s">
        <v>435</v>
      </c>
      <c r="P143" s="83" t="s">
        <v>426</v>
      </c>
      <c r="Q143" s="83" t="s">
        <v>436</v>
      </c>
      <c r="R143" s="83" t="s">
        <v>58</v>
      </c>
      <c r="S143" s="83" t="s">
        <v>58</v>
      </c>
    </row>
    <row r="144" spans="2:19" ht="23" customHeight="1" x14ac:dyDescent="0.35">
      <c r="B144" s="80" t="s">
        <v>794</v>
      </c>
      <c r="C144" s="81" t="s">
        <v>795</v>
      </c>
      <c r="D144" s="81" t="s">
        <v>539</v>
      </c>
      <c r="E144" s="81" t="s">
        <v>540</v>
      </c>
      <c r="F144" s="81" t="s">
        <v>632</v>
      </c>
      <c r="G144" s="82">
        <v>2208434.1150488998</v>
      </c>
      <c r="H144" s="82">
        <v>2208434.1150488998</v>
      </c>
      <c r="I144" s="83" t="s">
        <v>432</v>
      </c>
      <c r="J144" s="83" t="s">
        <v>422</v>
      </c>
      <c r="K144" s="83" t="s">
        <v>423</v>
      </c>
      <c r="L144" s="84" t="s">
        <v>61</v>
      </c>
      <c r="M144" s="83" t="s">
        <v>796</v>
      </c>
      <c r="N144" s="83" t="s">
        <v>797</v>
      </c>
      <c r="O144" s="83" t="s">
        <v>435</v>
      </c>
      <c r="P144" s="83" t="s">
        <v>435</v>
      </c>
      <c r="Q144" s="83" t="s">
        <v>436</v>
      </c>
      <c r="R144" s="83" t="s">
        <v>58</v>
      </c>
      <c r="S144" s="83" t="s">
        <v>58</v>
      </c>
    </row>
    <row r="145" spans="2:19" ht="23" customHeight="1" x14ac:dyDescent="0.35">
      <c r="B145" s="80" t="s">
        <v>798</v>
      </c>
      <c r="C145" s="81" t="s">
        <v>799</v>
      </c>
      <c r="D145" s="81" t="s">
        <v>539</v>
      </c>
      <c r="E145" s="81" t="s">
        <v>540</v>
      </c>
      <c r="F145" s="81" t="s">
        <v>622</v>
      </c>
      <c r="G145" s="82">
        <v>46271.532232621597</v>
      </c>
      <c r="H145" s="82">
        <v>46271.532232621597</v>
      </c>
      <c r="I145" s="83" t="s">
        <v>432</v>
      </c>
      <c r="J145" s="83" t="s">
        <v>422</v>
      </c>
      <c r="K145" s="83" t="s">
        <v>423</v>
      </c>
      <c r="L145" s="84" t="s">
        <v>81</v>
      </c>
      <c r="M145" s="83" t="s">
        <v>479</v>
      </c>
      <c r="N145" s="83" t="s">
        <v>91</v>
      </c>
      <c r="O145" s="83" t="s">
        <v>435</v>
      </c>
      <c r="P145" s="83" t="s">
        <v>426</v>
      </c>
      <c r="Q145" s="83" t="s">
        <v>436</v>
      </c>
      <c r="R145" s="83" t="s">
        <v>58</v>
      </c>
      <c r="S145" s="83" t="s">
        <v>58</v>
      </c>
    </row>
    <row r="146" spans="2:19" ht="23" customHeight="1" x14ac:dyDescent="0.35">
      <c r="B146" s="80" t="s">
        <v>800</v>
      </c>
      <c r="C146" s="81" t="s">
        <v>801</v>
      </c>
      <c r="D146" s="81" t="s">
        <v>539</v>
      </c>
      <c r="E146" s="81" t="s">
        <v>445</v>
      </c>
      <c r="F146" s="81" t="s">
        <v>445</v>
      </c>
      <c r="G146" s="82">
        <v>630981.17572825693</v>
      </c>
      <c r="H146" s="82">
        <v>630981.17572825693</v>
      </c>
      <c r="I146" s="83" t="s">
        <v>432</v>
      </c>
      <c r="J146" s="83" t="s">
        <v>422</v>
      </c>
      <c r="K146" s="83" t="s">
        <v>423</v>
      </c>
      <c r="L146" s="84" t="s">
        <v>1177</v>
      </c>
      <c r="M146" s="83" t="s">
        <v>441</v>
      </c>
      <c r="N146" s="83" t="s">
        <v>204</v>
      </c>
      <c r="O146" s="83" t="s">
        <v>435</v>
      </c>
      <c r="P146" s="83" t="s">
        <v>426</v>
      </c>
      <c r="Q146" s="83" t="s">
        <v>436</v>
      </c>
      <c r="R146" s="83" t="s">
        <v>58</v>
      </c>
      <c r="S146" s="83" t="s">
        <v>58</v>
      </c>
    </row>
    <row r="147" spans="2:19" ht="23" customHeight="1" x14ac:dyDescent="0.35">
      <c r="B147" s="80" t="s">
        <v>802</v>
      </c>
      <c r="C147" s="81" t="s">
        <v>803</v>
      </c>
      <c r="D147" s="81" t="s">
        <v>539</v>
      </c>
      <c r="E147" s="81" t="s">
        <v>567</v>
      </c>
      <c r="F147" s="81" t="s">
        <v>625</v>
      </c>
      <c r="G147" s="82">
        <v>48051.31980229239</v>
      </c>
      <c r="H147" s="82">
        <v>48051.31980229239</v>
      </c>
      <c r="I147" s="83" t="s">
        <v>432</v>
      </c>
      <c r="J147" s="83" t="s">
        <v>422</v>
      </c>
      <c r="K147" s="83" t="s">
        <v>423</v>
      </c>
      <c r="L147" s="84" t="s">
        <v>1177</v>
      </c>
      <c r="M147" s="83" t="s">
        <v>618</v>
      </c>
      <c r="N147" s="83" t="s">
        <v>168</v>
      </c>
      <c r="O147" s="83" t="s">
        <v>435</v>
      </c>
      <c r="P147" s="83" t="s">
        <v>426</v>
      </c>
      <c r="Q147" s="83" t="s">
        <v>436</v>
      </c>
      <c r="R147" s="83" t="s">
        <v>58</v>
      </c>
      <c r="S147" s="83" t="s">
        <v>58</v>
      </c>
    </row>
    <row r="148" spans="2:19" ht="23" customHeight="1" x14ac:dyDescent="0.35">
      <c r="B148" s="80" t="s">
        <v>804</v>
      </c>
      <c r="C148" s="81" t="s">
        <v>805</v>
      </c>
      <c r="D148" s="81" t="s">
        <v>539</v>
      </c>
      <c r="E148" s="81" t="s">
        <v>806</v>
      </c>
      <c r="F148" s="81" t="s">
        <v>807</v>
      </c>
      <c r="G148" s="82">
        <v>253272.25778367004</v>
      </c>
      <c r="H148" s="82">
        <v>253272.25778367004</v>
      </c>
      <c r="I148" s="83" t="s">
        <v>432</v>
      </c>
      <c r="J148" s="83" t="s">
        <v>422</v>
      </c>
      <c r="K148" s="83" t="s">
        <v>423</v>
      </c>
      <c r="L148" s="84" t="s">
        <v>81</v>
      </c>
      <c r="M148" s="83" t="s">
        <v>479</v>
      </c>
      <c r="N148" s="83" t="s">
        <v>91</v>
      </c>
      <c r="O148" s="83" t="s">
        <v>435</v>
      </c>
      <c r="P148" s="83" t="s">
        <v>426</v>
      </c>
      <c r="Q148" s="83" t="s">
        <v>436</v>
      </c>
      <c r="R148" s="83" t="s">
        <v>58</v>
      </c>
      <c r="S148" s="83" t="s">
        <v>58</v>
      </c>
    </row>
    <row r="149" spans="2:19" ht="23" customHeight="1" x14ac:dyDescent="0.35">
      <c r="B149" s="80" t="s">
        <v>808</v>
      </c>
      <c r="C149" s="81" t="s">
        <v>809</v>
      </c>
      <c r="D149" s="81" t="s">
        <v>539</v>
      </c>
      <c r="E149" s="81" t="s">
        <v>540</v>
      </c>
      <c r="F149" s="81" t="s">
        <v>807</v>
      </c>
      <c r="G149" s="82">
        <v>85083.649099201619</v>
      </c>
      <c r="H149" s="82">
        <v>85083.649099201619</v>
      </c>
      <c r="I149" s="83" t="s">
        <v>432</v>
      </c>
      <c r="J149" s="83" t="s">
        <v>422</v>
      </c>
      <c r="K149" s="83" t="s">
        <v>423</v>
      </c>
      <c r="L149" s="84" t="s">
        <v>81</v>
      </c>
      <c r="M149" s="83" t="s">
        <v>479</v>
      </c>
      <c r="N149" s="83" t="s">
        <v>91</v>
      </c>
      <c r="O149" s="83" t="s">
        <v>435</v>
      </c>
      <c r="P149" s="83" t="s">
        <v>426</v>
      </c>
      <c r="Q149" s="83" t="s">
        <v>436</v>
      </c>
      <c r="R149" s="83" t="s">
        <v>58</v>
      </c>
      <c r="S149" s="83" t="s">
        <v>58</v>
      </c>
    </row>
    <row r="150" spans="2:19" ht="23" customHeight="1" x14ac:dyDescent="0.35">
      <c r="B150" s="80" t="s">
        <v>810</v>
      </c>
      <c r="C150" s="81" t="s">
        <v>811</v>
      </c>
      <c r="D150" s="81" t="s">
        <v>539</v>
      </c>
      <c r="E150" s="81" t="s">
        <v>540</v>
      </c>
      <c r="F150" s="81" t="s">
        <v>560</v>
      </c>
      <c r="G150" s="82">
        <v>657.38625814926365</v>
      </c>
      <c r="H150" s="82">
        <v>657.38625814926365</v>
      </c>
      <c r="I150" s="83" t="s">
        <v>432</v>
      </c>
      <c r="J150" s="83" t="s">
        <v>422</v>
      </c>
      <c r="K150" s="83" t="s">
        <v>423</v>
      </c>
      <c r="L150" s="84" t="s">
        <v>1177</v>
      </c>
      <c r="M150" s="83" t="s">
        <v>441</v>
      </c>
      <c r="N150" s="83" t="s">
        <v>204</v>
      </c>
      <c r="O150" s="83" t="s">
        <v>426</v>
      </c>
      <c r="P150" s="83" t="s">
        <v>426</v>
      </c>
      <c r="Q150" s="83" t="s">
        <v>526</v>
      </c>
      <c r="R150" s="83" t="s">
        <v>58</v>
      </c>
      <c r="S150" s="83" t="s">
        <v>58</v>
      </c>
    </row>
    <row r="151" spans="2:19" ht="23" customHeight="1" x14ac:dyDescent="0.35">
      <c r="B151" s="80" t="s">
        <v>812</v>
      </c>
      <c r="C151" s="81" t="s">
        <v>813</v>
      </c>
      <c r="D151" s="81" t="s">
        <v>539</v>
      </c>
      <c r="E151" s="81" t="s">
        <v>439</v>
      </c>
      <c r="F151" s="81" t="s">
        <v>439</v>
      </c>
      <c r="G151" s="82">
        <v>161000</v>
      </c>
      <c r="H151" s="82">
        <v>161000</v>
      </c>
      <c r="I151" s="83" t="s">
        <v>814</v>
      </c>
      <c r="J151" s="83" t="s">
        <v>422</v>
      </c>
      <c r="K151" s="83" t="s">
        <v>423</v>
      </c>
      <c r="L151" s="84" t="s">
        <v>61</v>
      </c>
      <c r="M151" s="83" t="s">
        <v>441</v>
      </c>
      <c r="N151" s="83" t="s">
        <v>204</v>
      </c>
      <c r="O151" s="83" t="s">
        <v>435</v>
      </c>
      <c r="P151" s="83" t="s">
        <v>435</v>
      </c>
      <c r="Q151" s="83" t="s">
        <v>436</v>
      </c>
      <c r="R151" s="83" t="s">
        <v>58</v>
      </c>
      <c r="S151" s="83" t="s">
        <v>58</v>
      </c>
    </row>
    <row r="152" spans="2:19" ht="23" customHeight="1" x14ac:dyDescent="0.35">
      <c r="B152" s="80" t="s">
        <v>815</v>
      </c>
      <c r="C152" s="81" t="s">
        <v>816</v>
      </c>
      <c r="D152" s="81" t="s">
        <v>539</v>
      </c>
      <c r="E152" s="81" t="s">
        <v>529</v>
      </c>
      <c r="F152" s="81" t="s">
        <v>817</v>
      </c>
      <c r="G152" s="82">
        <v>791500</v>
      </c>
      <c r="H152" s="82">
        <v>791500</v>
      </c>
      <c r="I152" s="83" t="s">
        <v>432</v>
      </c>
      <c r="J152" s="83" t="s">
        <v>422</v>
      </c>
      <c r="K152" s="83" t="s">
        <v>423</v>
      </c>
      <c r="L152" s="84" t="s">
        <v>61</v>
      </c>
      <c r="M152" s="83" t="s">
        <v>433</v>
      </c>
      <c r="N152" s="83" t="s">
        <v>520</v>
      </c>
      <c r="O152" s="83" t="s">
        <v>426</v>
      </c>
      <c r="P152" s="83" t="s">
        <v>435</v>
      </c>
      <c r="Q152" s="83" t="s">
        <v>436</v>
      </c>
      <c r="R152" s="83" t="s">
        <v>58</v>
      </c>
      <c r="S152" s="83" t="s">
        <v>58</v>
      </c>
    </row>
    <row r="153" spans="2:19" ht="23" customHeight="1" x14ac:dyDescent="0.35">
      <c r="B153" s="80" t="s">
        <v>818</v>
      </c>
      <c r="C153" s="81" t="s">
        <v>819</v>
      </c>
      <c r="D153" s="81" t="s">
        <v>418</v>
      </c>
      <c r="E153" s="81" t="s">
        <v>473</v>
      </c>
      <c r="F153" s="81" t="s">
        <v>473</v>
      </c>
      <c r="G153" s="82">
        <v>77000000</v>
      </c>
      <c r="H153" s="82">
        <v>77000000</v>
      </c>
      <c r="I153" s="83" t="s">
        <v>820</v>
      </c>
      <c r="J153" s="83" t="s">
        <v>475</v>
      </c>
      <c r="K153" s="83" t="s">
        <v>423</v>
      </c>
      <c r="L153" s="84" t="s">
        <v>1176</v>
      </c>
      <c r="M153" s="83" t="s">
        <v>462</v>
      </c>
      <c r="N153" s="83" t="s">
        <v>318</v>
      </c>
      <c r="O153" s="83" t="s">
        <v>426</v>
      </c>
      <c r="P153" s="83" t="s">
        <v>426</v>
      </c>
      <c r="Q153" s="83" t="s">
        <v>526</v>
      </c>
      <c r="R153" s="83" t="s">
        <v>58</v>
      </c>
      <c r="S153" s="83" t="s">
        <v>58</v>
      </c>
    </row>
    <row r="154" spans="2:19" ht="23" customHeight="1" x14ac:dyDescent="0.35">
      <c r="B154" s="80" t="s">
        <v>821</v>
      </c>
      <c r="C154" s="81" t="s">
        <v>822</v>
      </c>
      <c r="D154" s="81" t="s">
        <v>539</v>
      </c>
      <c r="E154" s="81" t="s">
        <v>420</v>
      </c>
      <c r="F154" s="81" t="s">
        <v>420</v>
      </c>
      <c r="G154" s="82">
        <v>1094647.1738422152</v>
      </c>
      <c r="H154" s="82">
        <v>1094647.1738422152</v>
      </c>
      <c r="I154" s="83" t="s">
        <v>440</v>
      </c>
      <c r="J154" s="83" t="s">
        <v>422</v>
      </c>
      <c r="K154" s="83" t="s">
        <v>423</v>
      </c>
      <c r="L154" s="84" t="s">
        <v>1176</v>
      </c>
      <c r="M154" s="83" t="s">
        <v>462</v>
      </c>
      <c r="N154" s="83" t="s">
        <v>303</v>
      </c>
      <c r="O154" s="83" t="s">
        <v>435</v>
      </c>
      <c r="P154" s="83" t="s">
        <v>435</v>
      </c>
      <c r="Q154" s="83" t="s">
        <v>436</v>
      </c>
      <c r="R154" s="83" t="s">
        <v>58</v>
      </c>
      <c r="S154" s="83" t="s">
        <v>58</v>
      </c>
    </row>
    <row r="155" spans="2:19" ht="23" customHeight="1" x14ac:dyDescent="0.35">
      <c r="B155" s="80" t="s">
        <v>823</v>
      </c>
      <c r="C155" s="81" t="s">
        <v>824</v>
      </c>
      <c r="D155" s="81" t="s">
        <v>418</v>
      </c>
      <c r="E155" s="81" t="s">
        <v>825</v>
      </c>
      <c r="F155" s="81" t="s">
        <v>825</v>
      </c>
      <c r="G155" s="82">
        <v>140396.49648614161</v>
      </c>
      <c r="H155" s="82">
        <v>140396.49648614161</v>
      </c>
      <c r="I155" s="83" t="s">
        <v>483</v>
      </c>
      <c r="J155" s="83" t="s">
        <v>422</v>
      </c>
      <c r="K155" s="83" t="s">
        <v>423</v>
      </c>
      <c r="L155" s="84" t="s">
        <v>1176</v>
      </c>
      <c r="M155" s="83" t="s">
        <v>462</v>
      </c>
      <c r="N155" s="83" t="s">
        <v>303</v>
      </c>
      <c r="O155" s="83" t="s">
        <v>435</v>
      </c>
      <c r="P155" s="83" t="s">
        <v>435</v>
      </c>
      <c r="Q155" s="83" t="s">
        <v>436</v>
      </c>
      <c r="R155" s="83" t="s">
        <v>826</v>
      </c>
      <c r="S155" s="83" t="s">
        <v>58</v>
      </c>
    </row>
    <row r="156" spans="2:19" ht="23" customHeight="1" x14ac:dyDescent="0.35">
      <c r="B156" s="80" t="s">
        <v>827</v>
      </c>
      <c r="C156" s="81" t="s">
        <v>828</v>
      </c>
      <c r="D156" s="81" t="s">
        <v>539</v>
      </c>
      <c r="E156" s="81" t="s">
        <v>829</v>
      </c>
      <c r="F156" s="81" t="s">
        <v>830</v>
      </c>
      <c r="G156" s="82">
        <v>47342.2174717444</v>
      </c>
      <c r="H156" s="82">
        <v>47342.2174717444</v>
      </c>
      <c r="I156" s="83" t="s">
        <v>483</v>
      </c>
      <c r="J156" s="83" t="s">
        <v>422</v>
      </c>
      <c r="K156" s="83" t="s">
        <v>423</v>
      </c>
      <c r="L156" s="84" t="s">
        <v>1176</v>
      </c>
      <c r="M156" s="83" t="s">
        <v>462</v>
      </c>
      <c r="N156" s="83" t="s">
        <v>303</v>
      </c>
      <c r="O156" s="83" t="s">
        <v>435</v>
      </c>
      <c r="P156" s="83" t="s">
        <v>426</v>
      </c>
      <c r="Q156" s="83" t="s">
        <v>436</v>
      </c>
      <c r="R156" s="83" t="s">
        <v>58</v>
      </c>
      <c r="S156" s="83" t="s">
        <v>58</v>
      </c>
    </row>
    <row r="157" spans="2:19" ht="23" customHeight="1" x14ac:dyDescent="0.35">
      <c r="B157" s="80" t="s">
        <v>831</v>
      </c>
      <c r="C157" s="81" t="s">
        <v>832</v>
      </c>
      <c r="D157" s="81" t="s">
        <v>539</v>
      </c>
      <c r="E157" s="81" t="s">
        <v>833</v>
      </c>
      <c r="F157" s="81" t="s">
        <v>833</v>
      </c>
      <c r="G157" s="82">
        <v>1000000</v>
      </c>
      <c r="H157" s="82">
        <v>1000000</v>
      </c>
      <c r="I157" s="83" t="s">
        <v>440</v>
      </c>
      <c r="J157" s="83" t="s">
        <v>422</v>
      </c>
      <c r="K157" s="83" t="s">
        <v>423</v>
      </c>
      <c r="L157" s="84" t="s">
        <v>61</v>
      </c>
      <c r="M157" s="83" t="s">
        <v>462</v>
      </c>
      <c r="N157" s="83" t="s">
        <v>303</v>
      </c>
      <c r="O157" s="83" t="s">
        <v>435</v>
      </c>
      <c r="P157" s="83" t="s">
        <v>426</v>
      </c>
      <c r="Q157" s="83" t="s">
        <v>436</v>
      </c>
      <c r="R157" s="83" t="s">
        <v>834</v>
      </c>
      <c r="S157" s="83" t="s">
        <v>58</v>
      </c>
    </row>
    <row r="158" spans="2:19" ht="23" customHeight="1" x14ac:dyDescent="0.35">
      <c r="B158" s="80" t="s">
        <v>835</v>
      </c>
      <c r="C158" s="81" t="s">
        <v>836</v>
      </c>
      <c r="D158" s="81" t="s">
        <v>418</v>
      </c>
      <c r="E158" s="81" t="s">
        <v>420</v>
      </c>
      <c r="F158" s="81" t="s">
        <v>420</v>
      </c>
      <c r="G158" s="82">
        <v>3000000</v>
      </c>
      <c r="H158" s="82">
        <v>3000000</v>
      </c>
      <c r="I158" s="83" t="s">
        <v>440</v>
      </c>
      <c r="J158" s="83" t="s">
        <v>422</v>
      </c>
      <c r="K158" s="83" t="s">
        <v>423</v>
      </c>
      <c r="L158" s="84" t="s">
        <v>81</v>
      </c>
      <c r="M158" s="83" t="s">
        <v>462</v>
      </c>
      <c r="N158" s="83" t="s">
        <v>303</v>
      </c>
      <c r="O158" s="83" t="s">
        <v>435</v>
      </c>
      <c r="P158" s="83" t="s">
        <v>426</v>
      </c>
      <c r="Q158" s="83" t="s">
        <v>526</v>
      </c>
      <c r="R158" s="83" t="s">
        <v>837</v>
      </c>
      <c r="S158" s="83" t="s">
        <v>58</v>
      </c>
    </row>
    <row r="159" spans="2:19" ht="23" customHeight="1" x14ac:dyDescent="0.35">
      <c r="B159" s="80" t="s">
        <v>838</v>
      </c>
      <c r="C159" s="81" t="s">
        <v>839</v>
      </c>
      <c r="D159" s="81" t="s">
        <v>539</v>
      </c>
      <c r="E159" s="81" t="s">
        <v>825</v>
      </c>
      <c r="F159" s="81" t="s">
        <v>825</v>
      </c>
      <c r="G159" s="82">
        <v>3514116.1279043825</v>
      </c>
      <c r="H159" s="82">
        <v>3514116.1279043825</v>
      </c>
      <c r="I159" s="83" t="s">
        <v>576</v>
      </c>
      <c r="J159" s="83" t="s">
        <v>422</v>
      </c>
      <c r="K159" s="83" t="s">
        <v>423</v>
      </c>
      <c r="L159" s="84" t="s">
        <v>81</v>
      </c>
      <c r="M159" s="83" t="s">
        <v>441</v>
      </c>
      <c r="N159" s="83" t="s">
        <v>204</v>
      </c>
      <c r="O159" s="83" t="s">
        <v>435</v>
      </c>
      <c r="P159" s="83" t="s">
        <v>426</v>
      </c>
      <c r="Q159" s="83" t="s">
        <v>436</v>
      </c>
      <c r="R159" s="83" t="s">
        <v>840</v>
      </c>
      <c r="S159" s="83" t="s">
        <v>58</v>
      </c>
    </row>
    <row r="160" spans="2:19" ht="23" customHeight="1" x14ac:dyDescent="0.35">
      <c r="B160" s="80" t="s">
        <v>841</v>
      </c>
      <c r="C160" s="81" t="s">
        <v>842</v>
      </c>
      <c r="D160" s="81" t="s">
        <v>539</v>
      </c>
      <c r="E160" s="81" t="s">
        <v>843</v>
      </c>
      <c r="F160" s="81" t="s">
        <v>843</v>
      </c>
      <c r="G160" s="82">
        <v>4794675.7950527035</v>
      </c>
      <c r="H160" s="82">
        <v>4794675.7950527035</v>
      </c>
      <c r="I160" s="83" t="s">
        <v>844</v>
      </c>
      <c r="J160" s="83" t="s">
        <v>422</v>
      </c>
      <c r="K160" s="83" t="s">
        <v>423</v>
      </c>
      <c r="L160" s="84" t="s">
        <v>81</v>
      </c>
      <c r="M160" s="83" t="s">
        <v>441</v>
      </c>
      <c r="N160" s="83" t="s">
        <v>204</v>
      </c>
      <c r="O160" s="83" t="s">
        <v>435</v>
      </c>
      <c r="P160" s="83" t="s">
        <v>426</v>
      </c>
      <c r="Q160" s="83" t="s">
        <v>436</v>
      </c>
      <c r="R160" s="83" t="s">
        <v>845</v>
      </c>
      <c r="S160" s="83" t="s">
        <v>58</v>
      </c>
    </row>
    <row r="161" spans="2:19" ht="23" customHeight="1" x14ac:dyDescent="0.35">
      <c r="B161" s="80" t="s">
        <v>846</v>
      </c>
      <c r="C161" s="81" t="s">
        <v>847</v>
      </c>
      <c r="D161" s="81" t="s">
        <v>418</v>
      </c>
      <c r="E161" s="81" t="s">
        <v>848</v>
      </c>
      <c r="F161" s="81" t="s">
        <v>848</v>
      </c>
      <c r="G161" s="82">
        <v>122083.90998794921</v>
      </c>
      <c r="H161" s="82">
        <v>122083.90998794921</v>
      </c>
      <c r="I161" s="83" t="s">
        <v>483</v>
      </c>
      <c r="J161" s="83" t="s">
        <v>422</v>
      </c>
      <c r="K161" s="83" t="s">
        <v>423</v>
      </c>
      <c r="L161" s="84" t="s">
        <v>81</v>
      </c>
      <c r="M161" s="83" t="s">
        <v>479</v>
      </c>
      <c r="N161" s="83" t="s">
        <v>592</v>
      </c>
      <c r="O161" s="83" t="s">
        <v>435</v>
      </c>
      <c r="P161" s="83" t="s">
        <v>426</v>
      </c>
      <c r="Q161" s="83" t="s">
        <v>436</v>
      </c>
      <c r="R161" s="83" t="s">
        <v>849</v>
      </c>
      <c r="S161" s="83" t="s">
        <v>58</v>
      </c>
    </row>
    <row r="162" spans="2:19" ht="23" customHeight="1" x14ac:dyDescent="0.35">
      <c r="B162" s="80" t="s">
        <v>850</v>
      </c>
      <c r="C162" s="81" t="s">
        <v>851</v>
      </c>
      <c r="D162" s="81" t="s">
        <v>539</v>
      </c>
      <c r="E162" s="81" t="s">
        <v>852</v>
      </c>
      <c r="F162" s="81" t="s">
        <v>852</v>
      </c>
      <c r="G162" s="82">
        <v>3709286.1262823613</v>
      </c>
      <c r="H162" s="82">
        <v>3709286.1262823613</v>
      </c>
      <c r="I162" s="83" t="s">
        <v>844</v>
      </c>
      <c r="J162" s="83" t="s">
        <v>422</v>
      </c>
      <c r="K162" s="83" t="s">
        <v>423</v>
      </c>
      <c r="L162" s="84" t="s">
        <v>81</v>
      </c>
      <c r="M162" s="83" t="s">
        <v>441</v>
      </c>
      <c r="N162" s="83" t="s">
        <v>204</v>
      </c>
      <c r="O162" s="83" t="s">
        <v>435</v>
      </c>
      <c r="P162" s="83" t="s">
        <v>426</v>
      </c>
      <c r="Q162" s="83" t="s">
        <v>436</v>
      </c>
      <c r="R162" s="83" t="s">
        <v>58</v>
      </c>
      <c r="S162" s="83" t="s">
        <v>58</v>
      </c>
    </row>
    <row r="163" spans="2:19" ht="23" customHeight="1" x14ac:dyDescent="0.35">
      <c r="B163" s="80" t="s">
        <v>853</v>
      </c>
      <c r="C163" s="81" t="s">
        <v>854</v>
      </c>
      <c r="D163" s="81" t="s">
        <v>418</v>
      </c>
      <c r="E163" s="81" t="s">
        <v>825</v>
      </c>
      <c r="F163" s="81" t="s">
        <v>825</v>
      </c>
      <c r="G163" s="82">
        <v>416788.97492290917</v>
      </c>
      <c r="H163" s="82">
        <v>416788.97492290917</v>
      </c>
      <c r="I163" s="83" t="s">
        <v>855</v>
      </c>
      <c r="J163" s="83" t="s">
        <v>422</v>
      </c>
      <c r="K163" s="83" t="s">
        <v>423</v>
      </c>
      <c r="L163" s="84" t="s">
        <v>81</v>
      </c>
      <c r="M163" s="83" t="s">
        <v>462</v>
      </c>
      <c r="N163" s="83" t="s">
        <v>303</v>
      </c>
      <c r="O163" s="83" t="s">
        <v>435</v>
      </c>
      <c r="P163" s="83" t="s">
        <v>435</v>
      </c>
      <c r="Q163" s="83" t="s">
        <v>436</v>
      </c>
      <c r="R163" s="83" t="s">
        <v>856</v>
      </c>
      <c r="S163" s="83" t="s">
        <v>58</v>
      </c>
    </row>
    <row r="164" spans="2:19" ht="23" customHeight="1" x14ac:dyDescent="0.35">
      <c r="B164" s="80" t="s">
        <v>857</v>
      </c>
      <c r="C164" s="81" t="s">
        <v>858</v>
      </c>
      <c r="D164" s="81" t="s">
        <v>418</v>
      </c>
      <c r="E164" s="81" t="s">
        <v>859</v>
      </c>
      <c r="F164" s="81" t="s">
        <v>859</v>
      </c>
      <c r="G164" s="82">
        <v>184173.95534917037</v>
      </c>
      <c r="H164" s="82">
        <v>184173.95534917037</v>
      </c>
      <c r="I164" s="83" t="s">
        <v>483</v>
      </c>
      <c r="J164" s="83" t="s">
        <v>422</v>
      </c>
      <c r="K164" s="83" t="s">
        <v>423</v>
      </c>
      <c r="L164" s="84" t="s">
        <v>1176</v>
      </c>
      <c r="M164" s="83" t="s">
        <v>462</v>
      </c>
      <c r="N164" s="83" t="s">
        <v>318</v>
      </c>
      <c r="O164" s="83" t="s">
        <v>435</v>
      </c>
      <c r="P164" s="83" t="s">
        <v>426</v>
      </c>
      <c r="Q164" s="83" t="s">
        <v>436</v>
      </c>
      <c r="R164" s="83" t="s">
        <v>860</v>
      </c>
      <c r="S164" s="83" t="s">
        <v>58</v>
      </c>
    </row>
    <row r="165" spans="2:19" ht="23" customHeight="1" x14ac:dyDescent="0.35">
      <c r="B165" s="80" t="s">
        <v>861</v>
      </c>
      <c r="C165" s="81" t="s">
        <v>862</v>
      </c>
      <c r="D165" s="81" t="s">
        <v>539</v>
      </c>
      <c r="E165" s="81" t="s">
        <v>863</v>
      </c>
      <c r="F165" s="81" t="s">
        <v>863</v>
      </c>
      <c r="G165" s="82">
        <v>886886.51695797686</v>
      </c>
      <c r="H165" s="82">
        <v>886886.51695797686</v>
      </c>
      <c r="I165" s="83" t="s">
        <v>432</v>
      </c>
      <c r="J165" s="83" t="s">
        <v>422</v>
      </c>
      <c r="K165" s="83" t="s">
        <v>423</v>
      </c>
      <c r="L165" s="84" t="s">
        <v>81</v>
      </c>
      <c r="M165" s="83" t="s">
        <v>488</v>
      </c>
      <c r="N165" s="83" t="s">
        <v>489</v>
      </c>
      <c r="O165" s="83" t="s">
        <v>435</v>
      </c>
      <c r="P165" s="83" t="s">
        <v>426</v>
      </c>
      <c r="Q165" s="83" t="s">
        <v>436</v>
      </c>
      <c r="R165" s="83" t="s">
        <v>864</v>
      </c>
      <c r="S165" s="83" t="s">
        <v>58</v>
      </c>
    </row>
    <row r="166" spans="2:19" ht="23" customHeight="1" x14ac:dyDescent="0.35">
      <c r="B166" s="80" t="s">
        <v>865</v>
      </c>
      <c r="C166" s="81" t="s">
        <v>866</v>
      </c>
      <c r="D166" s="81" t="s">
        <v>418</v>
      </c>
      <c r="E166" s="81" t="s">
        <v>867</v>
      </c>
      <c r="F166" s="81" t="s">
        <v>867</v>
      </c>
      <c r="G166" s="82">
        <v>304711.67261712224</v>
      </c>
      <c r="H166" s="82">
        <v>304711.67261712224</v>
      </c>
      <c r="I166" s="83" t="s">
        <v>483</v>
      </c>
      <c r="J166" s="83" t="s">
        <v>422</v>
      </c>
      <c r="K166" s="83" t="s">
        <v>423</v>
      </c>
      <c r="L166" s="84" t="s">
        <v>1176</v>
      </c>
      <c r="M166" s="83" t="s">
        <v>462</v>
      </c>
      <c r="N166" s="83" t="s">
        <v>303</v>
      </c>
      <c r="O166" s="83" t="s">
        <v>435</v>
      </c>
      <c r="P166" s="83" t="s">
        <v>426</v>
      </c>
      <c r="Q166" s="83" t="s">
        <v>436</v>
      </c>
      <c r="R166" s="83" t="s">
        <v>868</v>
      </c>
      <c r="S166" s="83" t="s">
        <v>58</v>
      </c>
    </row>
    <row r="167" spans="2:19" ht="23" customHeight="1" x14ac:dyDescent="0.35">
      <c r="B167" s="80" t="s">
        <v>869</v>
      </c>
      <c r="C167" s="81" t="s">
        <v>870</v>
      </c>
      <c r="D167" s="81" t="s">
        <v>539</v>
      </c>
      <c r="E167" s="81" t="s">
        <v>871</v>
      </c>
      <c r="F167" s="81" t="s">
        <v>632</v>
      </c>
      <c r="G167" s="82">
        <v>252957.86149503078</v>
      </c>
      <c r="H167" s="82">
        <v>252957.86149503078</v>
      </c>
      <c r="I167" s="83" t="s">
        <v>855</v>
      </c>
      <c r="J167" s="83" t="s">
        <v>422</v>
      </c>
      <c r="K167" s="83" t="s">
        <v>423</v>
      </c>
      <c r="L167" s="84" t="s">
        <v>1176</v>
      </c>
      <c r="M167" s="83" t="s">
        <v>462</v>
      </c>
      <c r="N167" s="83" t="s">
        <v>872</v>
      </c>
      <c r="O167" s="83" t="s">
        <v>435</v>
      </c>
      <c r="P167" s="83" t="s">
        <v>435</v>
      </c>
      <c r="Q167" s="83" t="s">
        <v>436</v>
      </c>
      <c r="R167" s="83" t="s">
        <v>873</v>
      </c>
      <c r="S167" s="83" t="s">
        <v>58</v>
      </c>
    </row>
    <row r="168" spans="2:19" ht="23" customHeight="1" x14ac:dyDescent="0.35">
      <c r="B168" s="80" t="s">
        <v>874</v>
      </c>
      <c r="C168" s="81" t="s">
        <v>875</v>
      </c>
      <c r="D168" s="81" t="s">
        <v>418</v>
      </c>
      <c r="E168" s="81" t="s">
        <v>445</v>
      </c>
      <c r="F168" s="81" t="s">
        <v>445</v>
      </c>
      <c r="G168" s="82">
        <v>165576.79736099156</v>
      </c>
      <c r="H168" s="82">
        <v>165576.79736099156</v>
      </c>
      <c r="I168" s="83" t="s">
        <v>483</v>
      </c>
      <c r="J168" s="83" t="s">
        <v>422</v>
      </c>
      <c r="K168" s="83" t="s">
        <v>423</v>
      </c>
      <c r="L168" s="84" t="s">
        <v>1177</v>
      </c>
      <c r="M168" s="83" t="s">
        <v>462</v>
      </c>
      <c r="N168" s="83" t="s">
        <v>303</v>
      </c>
      <c r="O168" s="83" t="s">
        <v>426</v>
      </c>
      <c r="P168" s="83" t="s">
        <v>426</v>
      </c>
      <c r="Q168" s="83" t="s">
        <v>436</v>
      </c>
      <c r="R168" s="83" t="s">
        <v>876</v>
      </c>
      <c r="S168" s="83" t="s">
        <v>58</v>
      </c>
    </row>
    <row r="169" spans="2:19" ht="23" customHeight="1" x14ac:dyDescent="0.35">
      <c r="B169" s="80" t="s">
        <v>877</v>
      </c>
      <c r="C169" s="81" t="s">
        <v>878</v>
      </c>
      <c r="D169" s="81" t="s">
        <v>418</v>
      </c>
      <c r="E169" s="81" t="s">
        <v>419</v>
      </c>
      <c r="F169" s="81" t="s">
        <v>419</v>
      </c>
      <c r="G169" s="82">
        <v>526939.79312908626</v>
      </c>
      <c r="H169" s="82">
        <v>526939.79312908626</v>
      </c>
      <c r="I169" s="83" t="s">
        <v>461</v>
      </c>
      <c r="J169" s="83" t="s">
        <v>422</v>
      </c>
      <c r="K169" s="83" t="s">
        <v>446</v>
      </c>
      <c r="L169" s="84" t="s">
        <v>81</v>
      </c>
      <c r="M169" s="83" t="s">
        <v>488</v>
      </c>
      <c r="N169" s="83" t="s">
        <v>425</v>
      </c>
      <c r="O169" s="83" t="s">
        <v>426</v>
      </c>
      <c r="P169" s="83" t="s">
        <v>426</v>
      </c>
      <c r="Q169" s="83" t="s">
        <v>427</v>
      </c>
      <c r="R169" s="83" t="s">
        <v>879</v>
      </c>
      <c r="S169" s="83" t="s">
        <v>58</v>
      </c>
    </row>
    <row r="170" spans="2:19" ht="23" customHeight="1" x14ac:dyDescent="0.35">
      <c r="B170" s="80" t="s">
        <v>880</v>
      </c>
      <c r="C170" s="81" t="s">
        <v>881</v>
      </c>
      <c r="D170" s="81" t="s">
        <v>418</v>
      </c>
      <c r="E170" s="81" t="s">
        <v>560</v>
      </c>
      <c r="F170" s="81" t="s">
        <v>560</v>
      </c>
      <c r="G170" s="82">
        <v>7418572.2525647245</v>
      </c>
      <c r="H170" s="82">
        <v>7418572.2525647245</v>
      </c>
      <c r="I170" s="83" t="s">
        <v>882</v>
      </c>
      <c r="J170" s="83" t="s">
        <v>475</v>
      </c>
      <c r="K170" s="83" t="s">
        <v>423</v>
      </c>
      <c r="L170" s="84" t="s">
        <v>81</v>
      </c>
      <c r="M170" s="83" t="s">
        <v>479</v>
      </c>
      <c r="N170" s="83" t="s">
        <v>91</v>
      </c>
      <c r="O170" s="83" t="s">
        <v>435</v>
      </c>
      <c r="P170" s="83" t="s">
        <v>435</v>
      </c>
      <c r="Q170" s="83" t="s">
        <v>427</v>
      </c>
      <c r="R170" s="83" t="s">
        <v>883</v>
      </c>
      <c r="S170" s="83" t="s">
        <v>58</v>
      </c>
    </row>
    <row r="171" spans="2:19" ht="23" customHeight="1" x14ac:dyDescent="0.35">
      <c r="B171" s="80" t="s">
        <v>884</v>
      </c>
      <c r="C171" s="81" t="s">
        <v>885</v>
      </c>
      <c r="D171" s="81" t="s">
        <v>418</v>
      </c>
      <c r="E171" s="81" t="s">
        <v>455</v>
      </c>
      <c r="F171" s="81" t="s">
        <v>420</v>
      </c>
      <c r="G171" s="82">
        <v>2007959.2386184963</v>
      </c>
      <c r="H171" s="82">
        <v>2007959.2386184963</v>
      </c>
      <c r="I171" s="83" t="s">
        <v>886</v>
      </c>
      <c r="J171" s="83" t="s">
        <v>451</v>
      </c>
      <c r="K171" s="83" t="s">
        <v>446</v>
      </c>
      <c r="L171" s="84" t="s">
        <v>1176</v>
      </c>
      <c r="M171" s="83" t="s">
        <v>462</v>
      </c>
      <c r="N171" s="83" t="s">
        <v>318</v>
      </c>
      <c r="O171" s="83" t="s">
        <v>435</v>
      </c>
      <c r="P171" s="83" t="s">
        <v>426</v>
      </c>
      <c r="Q171" s="83" t="s">
        <v>427</v>
      </c>
      <c r="R171" s="83" t="s">
        <v>887</v>
      </c>
      <c r="S171" s="83" t="s">
        <v>58</v>
      </c>
    </row>
    <row r="172" spans="2:19" ht="23" customHeight="1" x14ac:dyDescent="0.35">
      <c r="B172" s="80" t="s">
        <v>888</v>
      </c>
      <c r="C172" s="81" t="s">
        <v>889</v>
      </c>
      <c r="D172" s="81" t="s">
        <v>539</v>
      </c>
      <c r="E172" s="81" t="s">
        <v>890</v>
      </c>
      <c r="F172" s="81" t="s">
        <v>890</v>
      </c>
      <c r="G172" s="82">
        <v>43991.515243354428</v>
      </c>
      <c r="H172" s="82">
        <v>43991.515243354428</v>
      </c>
      <c r="I172" s="83" t="s">
        <v>814</v>
      </c>
      <c r="J172" s="83" t="s">
        <v>422</v>
      </c>
      <c r="K172" s="83" t="s">
        <v>423</v>
      </c>
      <c r="L172" s="84" t="s">
        <v>81</v>
      </c>
      <c r="M172" s="83" t="s">
        <v>585</v>
      </c>
      <c r="N172" s="83" t="s">
        <v>170</v>
      </c>
      <c r="O172" s="83" t="s">
        <v>426</v>
      </c>
      <c r="P172" s="83" t="s">
        <v>435</v>
      </c>
      <c r="Q172" s="83" t="s">
        <v>436</v>
      </c>
      <c r="R172" s="83" t="s">
        <v>58</v>
      </c>
      <c r="S172" s="83" t="s">
        <v>58</v>
      </c>
    </row>
    <row r="173" spans="2:19" ht="23" customHeight="1" x14ac:dyDescent="0.35">
      <c r="B173" s="80" t="s">
        <v>891</v>
      </c>
      <c r="C173" s="81" t="s">
        <v>892</v>
      </c>
      <c r="D173" s="81" t="s">
        <v>539</v>
      </c>
      <c r="E173" s="81" t="s">
        <v>893</v>
      </c>
      <c r="F173" s="81" t="s">
        <v>893</v>
      </c>
      <c r="G173" s="82">
        <v>68971.084446448614</v>
      </c>
      <c r="H173" s="82">
        <v>68971.084446448614</v>
      </c>
      <c r="I173" s="83" t="s">
        <v>894</v>
      </c>
      <c r="J173" s="83" t="s">
        <v>422</v>
      </c>
      <c r="K173" s="83" t="s">
        <v>423</v>
      </c>
      <c r="L173" s="84" t="s">
        <v>61</v>
      </c>
      <c r="M173" s="83" t="s">
        <v>468</v>
      </c>
      <c r="N173" s="83" t="s">
        <v>469</v>
      </c>
      <c r="O173" s="83" t="s">
        <v>435</v>
      </c>
      <c r="P173" s="83" t="s">
        <v>435</v>
      </c>
      <c r="Q173" s="83" t="s">
        <v>526</v>
      </c>
      <c r="R173" s="83" t="s">
        <v>895</v>
      </c>
      <c r="S173" s="83" t="s">
        <v>58</v>
      </c>
    </row>
    <row r="174" spans="2:19" ht="23" customHeight="1" x14ac:dyDescent="0.35">
      <c r="B174" s="80" t="s">
        <v>896</v>
      </c>
      <c r="C174" s="81" t="s">
        <v>897</v>
      </c>
      <c r="D174" s="81" t="s">
        <v>539</v>
      </c>
      <c r="E174" s="81" t="s">
        <v>420</v>
      </c>
      <c r="F174" s="81" t="s">
        <v>898</v>
      </c>
      <c r="G174" s="82">
        <v>485550.25235945446</v>
      </c>
      <c r="H174" s="82">
        <v>485550.25235945446</v>
      </c>
      <c r="I174" s="83" t="s">
        <v>820</v>
      </c>
      <c r="J174" s="83" t="s">
        <v>422</v>
      </c>
      <c r="K174" s="83" t="s">
        <v>423</v>
      </c>
      <c r="L174" s="84" t="s">
        <v>61</v>
      </c>
      <c r="M174" s="83" t="s">
        <v>514</v>
      </c>
      <c r="N174" s="83" t="s">
        <v>515</v>
      </c>
      <c r="O174" s="83" t="s">
        <v>435</v>
      </c>
      <c r="P174" s="83" t="s">
        <v>435</v>
      </c>
      <c r="Q174" s="83" t="s">
        <v>436</v>
      </c>
      <c r="R174" s="83" t="s">
        <v>58</v>
      </c>
      <c r="S174" s="83" t="s">
        <v>58</v>
      </c>
    </row>
    <row r="175" spans="2:19" ht="23" customHeight="1" x14ac:dyDescent="0.35">
      <c r="B175" s="80" t="s">
        <v>899</v>
      </c>
      <c r="C175" s="81" t="s">
        <v>900</v>
      </c>
      <c r="D175" s="81" t="s">
        <v>539</v>
      </c>
      <c r="E175" s="81" t="s">
        <v>901</v>
      </c>
      <c r="F175" s="81" t="s">
        <v>902</v>
      </c>
      <c r="G175" s="82">
        <v>432575.79569549253</v>
      </c>
      <c r="H175" s="82">
        <v>432575.79569549253</v>
      </c>
      <c r="I175" s="83" t="s">
        <v>903</v>
      </c>
      <c r="J175" s="83" t="s">
        <v>422</v>
      </c>
      <c r="K175" s="83" t="s">
        <v>423</v>
      </c>
      <c r="L175" s="84" t="s">
        <v>81</v>
      </c>
      <c r="M175" s="83" t="s">
        <v>441</v>
      </c>
      <c r="N175" s="83" t="s">
        <v>204</v>
      </c>
      <c r="O175" s="83" t="s">
        <v>435</v>
      </c>
      <c r="P175" s="83" t="s">
        <v>435</v>
      </c>
      <c r="Q175" s="83" t="s">
        <v>436</v>
      </c>
      <c r="R175" s="83" t="s">
        <v>904</v>
      </c>
      <c r="S175" s="83" t="s">
        <v>58</v>
      </c>
    </row>
    <row r="176" spans="2:19" ht="23" customHeight="1" x14ac:dyDescent="0.35">
      <c r="B176" s="80" t="s">
        <v>905</v>
      </c>
      <c r="C176" s="81" t="s">
        <v>906</v>
      </c>
      <c r="D176" s="81" t="s">
        <v>539</v>
      </c>
      <c r="E176" s="81" t="s">
        <v>445</v>
      </c>
      <c r="F176" s="81" t="s">
        <v>445</v>
      </c>
      <c r="G176" s="82">
        <v>19789.679898068942</v>
      </c>
      <c r="H176" s="82">
        <v>19789.679898068942</v>
      </c>
      <c r="I176" s="83" t="s">
        <v>907</v>
      </c>
      <c r="J176" s="83" t="s">
        <v>475</v>
      </c>
      <c r="K176" s="83" t="s">
        <v>423</v>
      </c>
      <c r="L176" s="84" t="s">
        <v>1176</v>
      </c>
      <c r="M176" s="83" t="s">
        <v>462</v>
      </c>
      <c r="N176" s="83" t="s">
        <v>318</v>
      </c>
      <c r="O176" s="83" t="s">
        <v>435</v>
      </c>
      <c r="P176" s="83" t="s">
        <v>426</v>
      </c>
      <c r="Q176" s="83" t="s">
        <v>526</v>
      </c>
      <c r="R176" s="83" t="s">
        <v>908</v>
      </c>
      <c r="S176" s="83" t="s">
        <v>58</v>
      </c>
    </row>
    <row r="177" spans="2:19" ht="23" customHeight="1" x14ac:dyDescent="0.35">
      <c r="B177" s="80" t="s">
        <v>909</v>
      </c>
      <c r="C177" s="81" t="s">
        <v>910</v>
      </c>
      <c r="D177" s="81" t="s">
        <v>539</v>
      </c>
      <c r="E177" s="81" t="s">
        <v>911</v>
      </c>
      <c r="F177" s="81" t="s">
        <v>420</v>
      </c>
      <c r="G177" s="82">
        <v>2137689.263888991</v>
      </c>
      <c r="H177" s="82">
        <v>2137689.263888991</v>
      </c>
      <c r="I177" s="83" t="s">
        <v>461</v>
      </c>
      <c r="J177" s="83" t="s">
        <v>422</v>
      </c>
      <c r="K177" s="83" t="s">
        <v>423</v>
      </c>
      <c r="L177" s="84" t="s">
        <v>81</v>
      </c>
      <c r="M177" s="83" t="s">
        <v>479</v>
      </c>
      <c r="N177" s="83" t="s">
        <v>85</v>
      </c>
      <c r="O177" s="83" t="s">
        <v>435</v>
      </c>
      <c r="P177" s="83" t="s">
        <v>435</v>
      </c>
      <c r="Q177" s="83" t="s">
        <v>436</v>
      </c>
      <c r="R177" s="83" t="s">
        <v>912</v>
      </c>
      <c r="S177" s="83" t="s">
        <v>58</v>
      </c>
    </row>
    <row r="178" spans="2:19" ht="23" customHeight="1" x14ac:dyDescent="0.35">
      <c r="B178" s="80" t="s">
        <v>913</v>
      </c>
      <c r="C178" s="81" t="s">
        <v>914</v>
      </c>
      <c r="D178" s="81" t="s">
        <v>539</v>
      </c>
      <c r="E178" s="81" t="s">
        <v>863</v>
      </c>
      <c r="F178" s="81" t="s">
        <v>863</v>
      </c>
      <c r="G178" s="82">
        <v>123642.87087607873</v>
      </c>
      <c r="H178" s="82">
        <v>123642.87087607873</v>
      </c>
      <c r="I178" s="83" t="s">
        <v>894</v>
      </c>
      <c r="J178" s="83" t="s">
        <v>422</v>
      </c>
      <c r="K178" s="83" t="s">
        <v>423</v>
      </c>
      <c r="L178" s="84" t="s">
        <v>81</v>
      </c>
      <c r="M178" s="83" t="s">
        <v>618</v>
      </c>
      <c r="N178" s="83" t="s">
        <v>168</v>
      </c>
      <c r="O178" s="83" t="s">
        <v>435</v>
      </c>
      <c r="P178" s="83" t="s">
        <v>426</v>
      </c>
      <c r="Q178" s="83" t="s">
        <v>436</v>
      </c>
      <c r="R178" s="83" t="s">
        <v>915</v>
      </c>
      <c r="S178" s="83" t="s">
        <v>58</v>
      </c>
    </row>
    <row r="179" spans="2:19" ht="23" customHeight="1" x14ac:dyDescent="0.35">
      <c r="B179" s="80" t="s">
        <v>916</v>
      </c>
      <c r="C179" s="81" t="s">
        <v>917</v>
      </c>
      <c r="D179" s="81" t="s">
        <v>418</v>
      </c>
      <c r="E179" s="81" t="s">
        <v>450</v>
      </c>
      <c r="F179" s="81" t="s">
        <v>450</v>
      </c>
      <c r="G179" s="82">
        <v>185464.30631411809</v>
      </c>
      <c r="H179" s="82">
        <v>185464.30631411809</v>
      </c>
      <c r="I179" s="83" t="s">
        <v>903</v>
      </c>
      <c r="J179" s="83" t="s">
        <v>475</v>
      </c>
      <c r="K179" s="83" t="s">
        <v>423</v>
      </c>
      <c r="L179" s="84" t="s">
        <v>61</v>
      </c>
      <c r="M179" s="83" t="s">
        <v>433</v>
      </c>
      <c r="N179" s="83" t="s">
        <v>434</v>
      </c>
      <c r="O179" s="83" t="s">
        <v>426</v>
      </c>
      <c r="P179" s="83" t="s">
        <v>426</v>
      </c>
      <c r="Q179" s="83" t="s">
        <v>436</v>
      </c>
      <c r="R179" s="83" t="s">
        <v>918</v>
      </c>
      <c r="S179" s="83" t="s">
        <v>58</v>
      </c>
    </row>
    <row r="180" spans="2:19" ht="23" customHeight="1" x14ac:dyDescent="0.35">
      <c r="B180" s="80" t="s">
        <v>919</v>
      </c>
      <c r="C180" s="81" t="s">
        <v>920</v>
      </c>
      <c r="D180" s="81" t="s">
        <v>539</v>
      </c>
      <c r="E180" s="81" t="s">
        <v>921</v>
      </c>
      <c r="F180" s="81" t="s">
        <v>921</v>
      </c>
      <c r="G180" s="82">
        <v>174032.28647291585</v>
      </c>
      <c r="H180" s="82">
        <v>174032.28647291585</v>
      </c>
      <c r="I180" s="83" t="s">
        <v>894</v>
      </c>
      <c r="J180" s="83" t="s">
        <v>422</v>
      </c>
      <c r="K180" s="83" t="s">
        <v>423</v>
      </c>
      <c r="L180" s="84" t="s">
        <v>61</v>
      </c>
      <c r="M180" s="83" t="s">
        <v>433</v>
      </c>
      <c r="N180" s="83" t="s">
        <v>520</v>
      </c>
      <c r="O180" s="83" t="s">
        <v>426</v>
      </c>
      <c r="P180" s="83" t="s">
        <v>435</v>
      </c>
      <c r="Q180" s="83" t="s">
        <v>436</v>
      </c>
      <c r="R180" s="83" t="s">
        <v>922</v>
      </c>
      <c r="S180" s="83" t="s">
        <v>58</v>
      </c>
    </row>
    <row r="181" spans="2:19" ht="23" customHeight="1" x14ac:dyDescent="0.35">
      <c r="B181" s="80" t="s">
        <v>923</v>
      </c>
      <c r="C181" s="81" t="s">
        <v>924</v>
      </c>
      <c r="D181" s="81" t="s">
        <v>539</v>
      </c>
      <c r="E181" s="81" t="s">
        <v>420</v>
      </c>
      <c r="F181" s="81" t="s">
        <v>898</v>
      </c>
      <c r="G181" s="82">
        <v>4516001.4558855901</v>
      </c>
      <c r="H181" s="82">
        <v>4516001.4558855901</v>
      </c>
      <c r="I181" s="83" t="s">
        <v>820</v>
      </c>
      <c r="J181" s="83" t="s">
        <v>422</v>
      </c>
      <c r="K181" s="83" t="s">
        <v>423</v>
      </c>
      <c r="L181" s="84" t="s">
        <v>81</v>
      </c>
      <c r="M181" s="83" t="s">
        <v>441</v>
      </c>
      <c r="N181" s="83" t="s">
        <v>204</v>
      </c>
      <c r="O181" s="83" t="s">
        <v>435</v>
      </c>
      <c r="P181" s="83" t="s">
        <v>435</v>
      </c>
      <c r="Q181" s="83" t="s">
        <v>526</v>
      </c>
      <c r="R181" s="83" t="s">
        <v>925</v>
      </c>
      <c r="S181" s="83" t="s">
        <v>58</v>
      </c>
    </row>
    <row r="182" spans="2:19" ht="23" customHeight="1" x14ac:dyDescent="0.35">
      <c r="B182" s="80" t="s">
        <v>926</v>
      </c>
      <c r="C182" s="81" t="s">
        <v>927</v>
      </c>
      <c r="D182" s="81" t="s">
        <v>539</v>
      </c>
      <c r="E182" s="81" t="s">
        <v>928</v>
      </c>
      <c r="F182" s="81" t="s">
        <v>928</v>
      </c>
      <c r="G182" s="82">
        <v>401221.11599287548</v>
      </c>
      <c r="H182" s="82">
        <v>401221.11599287548</v>
      </c>
      <c r="I182" s="83" t="s">
        <v>844</v>
      </c>
      <c r="J182" s="83" t="s">
        <v>422</v>
      </c>
      <c r="K182" s="83" t="s">
        <v>423</v>
      </c>
      <c r="L182" s="84" t="s">
        <v>81</v>
      </c>
      <c r="M182" s="83" t="s">
        <v>488</v>
      </c>
      <c r="N182" s="83" t="s">
        <v>294</v>
      </c>
      <c r="O182" s="83" t="s">
        <v>435</v>
      </c>
      <c r="P182" s="83" t="s">
        <v>426</v>
      </c>
      <c r="Q182" s="83" t="s">
        <v>436</v>
      </c>
      <c r="R182" s="83" t="s">
        <v>929</v>
      </c>
      <c r="S182" s="83" t="s">
        <v>58</v>
      </c>
    </row>
    <row r="183" spans="2:19" ht="23" customHeight="1" x14ac:dyDescent="0.35">
      <c r="B183" s="80" t="s">
        <v>930</v>
      </c>
      <c r="C183" s="81" t="s">
        <v>931</v>
      </c>
      <c r="D183" s="81" t="s">
        <v>418</v>
      </c>
      <c r="E183" s="81" t="s">
        <v>932</v>
      </c>
      <c r="F183" s="81" t="s">
        <v>933</v>
      </c>
      <c r="G183" s="82">
        <v>464582.42116510711</v>
      </c>
      <c r="H183" s="82">
        <v>464582.42116510711</v>
      </c>
      <c r="I183" s="83" t="s">
        <v>576</v>
      </c>
      <c r="J183" s="83" t="s">
        <v>422</v>
      </c>
      <c r="K183" s="83" t="s">
        <v>423</v>
      </c>
      <c r="L183" s="84" t="s">
        <v>1176</v>
      </c>
      <c r="M183" s="83" t="s">
        <v>618</v>
      </c>
      <c r="N183" s="83" t="s">
        <v>168</v>
      </c>
      <c r="O183" s="83" t="s">
        <v>435</v>
      </c>
      <c r="P183" s="83" t="s">
        <v>426</v>
      </c>
      <c r="Q183" s="83" t="s">
        <v>436</v>
      </c>
      <c r="R183" s="83" t="s">
        <v>934</v>
      </c>
      <c r="S183" s="83" t="s">
        <v>58</v>
      </c>
    </row>
    <row r="184" spans="2:19" ht="23" customHeight="1" x14ac:dyDescent="0.35">
      <c r="B184" s="80" t="s">
        <v>935</v>
      </c>
      <c r="C184" s="81" t="s">
        <v>936</v>
      </c>
      <c r="D184" s="81" t="s">
        <v>418</v>
      </c>
      <c r="E184" s="81" t="s">
        <v>937</v>
      </c>
      <c r="F184" s="81" t="s">
        <v>937</v>
      </c>
      <c r="G184" s="82">
        <v>7325.0345992769526</v>
      </c>
      <c r="H184" s="82">
        <v>7325.0345992769526</v>
      </c>
      <c r="I184" s="83" t="s">
        <v>855</v>
      </c>
      <c r="J184" s="83" t="s">
        <v>422</v>
      </c>
      <c r="K184" s="83" t="s">
        <v>423</v>
      </c>
      <c r="L184" s="84" t="s">
        <v>61</v>
      </c>
      <c r="M184" s="83" t="s">
        <v>433</v>
      </c>
      <c r="N184" s="83" t="s">
        <v>434</v>
      </c>
      <c r="O184" s="83" t="s">
        <v>426</v>
      </c>
      <c r="P184" s="83" t="s">
        <v>435</v>
      </c>
      <c r="Q184" s="83" t="s">
        <v>436</v>
      </c>
      <c r="R184" s="83" t="s">
        <v>938</v>
      </c>
      <c r="S184" s="83" t="s">
        <v>58</v>
      </c>
    </row>
    <row r="185" spans="2:19" ht="23" customHeight="1" x14ac:dyDescent="0.35">
      <c r="B185" s="80" t="s">
        <v>939</v>
      </c>
      <c r="C185" s="81" t="s">
        <v>940</v>
      </c>
      <c r="D185" s="81" t="s">
        <v>418</v>
      </c>
      <c r="E185" s="81" t="s">
        <v>450</v>
      </c>
      <c r="F185" s="81" t="s">
        <v>450</v>
      </c>
      <c r="G185" s="82">
        <v>732503.45992769522</v>
      </c>
      <c r="H185" s="82">
        <v>732503.45992769522</v>
      </c>
      <c r="I185" s="83" t="s">
        <v>941</v>
      </c>
      <c r="J185" s="83" t="s">
        <v>475</v>
      </c>
      <c r="K185" s="83" t="s">
        <v>423</v>
      </c>
      <c r="L185" s="84" t="s">
        <v>1176</v>
      </c>
      <c r="M185" s="83" t="s">
        <v>462</v>
      </c>
      <c r="N185" s="83" t="s">
        <v>303</v>
      </c>
      <c r="O185" s="83" t="s">
        <v>435</v>
      </c>
      <c r="P185" s="83" t="s">
        <v>435</v>
      </c>
      <c r="Q185" s="83" t="s">
        <v>436</v>
      </c>
      <c r="R185" s="83" t="s">
        <v>942</v>
      </c>
      <c r="S185" s="83" t="s">
        <v>58</v>
      </c>
    </row>
    <row r="186" spans="2:19" ht="23" customHeight="1" x14ac:dyDescent="0.35">
      <c r="B186" s="80" t="s">
        <v>943</v>
      </c>
      <c r="C186" s="81" t="s">
        <v>944</v>
      </c>
      <c r="D186" s="81" t="s">
        <v>418</v>
      </c>
      <c r="E186" s="81" t="s">
        <v>928</v>
      </c>
      <c r="F186" s="81" t="s">
        <v>928</v>
      </c>
      <c r="G186" s="82">
        <v>233588.09513955665</v>
      </c>
      <c r="H186" s="82">
        <v>233588.09513955665</v>
      </c>
      <c r="I186" s="83" t="s">
        <v>907</v>
      </c>
      <c r="J186" s="83" t="s">
        <v>422</v>
      </c>
      <c r="K186" s="83" t="s">
        <v>423</v>
      </c>
      <c r="L186" s="84" t="s">
        <v>61</v>
      </c>
      <c r="M186" s="83" t="s">
        <v>514</v>
      </c>
      <c r="N186" s="83" t="s">
        <v>515</v>
      </c>
      <c r="O186" s="83" t="s">
        <v>435</v>
      </c>
      <c r="P186" s="83" t="s">
        <v>435</v>
      </c>
      <c r="Q186" s="83" t="s">
        <v>526</v>
      </c>
      <c r="R186" s="83" t="s">
        <v>945</v>
      </c>
      <c r="S186" s="83" t="s">
        <v>58</v>
      </c>
    </row>
    <row r="187" spans="2:19" ht="23" customHeight="1" x14ac:dyDescent="0.35">
      <c r="B187" s="80" t="s">
        <v>946</v>
      </c>
      <c r="C187" s="81" t="s">
        <v>947</v>
      </c>
      <c r="D187" s="81" t="s">
        <v>418</v>
      </c>
      <c r="E187" s="81" t="s">
        <v>948</v>
      </c>
      <c r="F187" s="81" t="s">
        <v>949</v>
      </c>
      <c r="G187" s="82">
        <v>155002.9067878621</v>
      </c>
      <c r="H187" s="82">
        <v>155002.9067878621</v>
      </c>
      <c r="I187" s="83" t="s">
        <v>903</v>
      </c>
      <c r="J187" s="83" t="s">
        <v>422</v>
      </c>
      <c r="K187" s="83" t="s">
        <v>423</v>
      </c>
      <c r="L187" s="84" t="s">
        <v>61</v>
      </c>
      <c r="M187" s="83" t="s">
        <v>433</v>
      </c>
      <c r="N187" s="83" t="s">
        <v>520</v>
      </c>
      <c r="O187" s="83" t="s">
        <v>426</v>
      </c>
      <c r="P187" s="83" t="s">
        <v>435</v>
      </c>
      <c r="Q187" s="83" t="s">
        <v>436</v>
      </c>
      <c r="R187" s="83" t="s">
        <v>945</v>
      </c>
      <c r="S187" s="83" t="s">
        <v>58</v>
      </c>
    </row>
    <row r="188" spans="2:19" ht="23" customHeight="1" x14ac:dyDescent="0.35">
      <c r="B188" s="80" t="s">
        <v>950</v>
      </c>
      <c r="C188" s="81" t="s">
        <v>951</v>
      </c>
      <c r="D188" s="81" t="s">
        <v>418</v>
      </c>
      <c r="E188" s="81" t="s">
        <v>952</v>
      </c>
      <c r="F188" s="81" t="s">
        <v>952</v>
      </c>
      <c r="G188" s="82">
        <v>36625.172996384761</v>
      </c>
      <c r="H188" s="82">
        <v>36625.172996384761</v>
      </c>
      <c r="I188" s="83" t="s">
        <v>886</v>
      </c>
      <c r="J188" s="83" t="s">
        <v>422</v>
      </c>
      <c r="K188" s="83" t="s">
        <v>423</v>
      </c>
      <c r="L188" s="84" t="s">
        <v>61</v>
      </c>
      <c r="M188" s="83" t="s">
        <v>468</v>
      </c>
      <c r="N188" s="83" t="s">
        <v>469</v>
      </c>
      <c r="O188" s="83" t="s">
        <v>435</v>
      </c>
      <c r="P188" s="83" t="s">
        <v>426</v>
      </c>
      <c r="Q188" s="83" t="s">
        <v>436</v>
      </c>
      <c r="R188" s="83" t="s">
        <v>945</v>
      </c>
      <c r="S188" s="83" t="s">
        <v>58</v>
      </c>
    </row>
    <row r="189" spans="2:19" ht="23" customHeight="1" x14ac:dyDescent="0.35">
      <c r="B189" s="80" t="s">
        <v>953</v>
      </c>
      <c r="C189" s="81" t="s">
        <v>954</v>
      </c>
      <c r="D189" s="81" t="s">
        <v>539</v>
      </c>
      <c r="E189" s="81" t="s">
        <v>955</v>
      </c>
      <c r="F189" s="81" t="s">
        <v>956</v>
      </c>
      <c r="G189" s="82">
        <v>58531.793215510414</v>
      </c>
      <c r="H189" s="82">
        <v>58531.793215510414</v>
      </c>
      <c r="I189" s="83" t="s">
        <v>894</v>
      </c>
      <c r="J189" s="83" t="s">
        <v>422</v>
      </c>
      <c r="K189" s="83" t="s">
        <v>423</v>
      </c>
      <c r="L189" s="84" t="s">
        <v>81</v>
      </c>
      <c r="M189" s="83" t="s">
        <v>479</v>
      </c>
      <c r="N189" s="83" t="s">
        <v>592</v>
      </c>
      <c r="O189" s="83" t="s">
        <v>435</v>
      </c>
      <c r="P189" s="83" t="s">
        <v>435</v>
      </c>
      <c r="Q189" s="83" t="s">
        <v>526</v>
      </c>
      <c r="R189" s="83" t="s">
        <v>957</v>
      </c>
      <c r="S189" s="83" t="s">
        <v>58</v>
      </c>
    </row>
    <row r="190" spans="2:19" ht="23" customHeight="1" x14ac:dyDescent="0.35">
      <c r="B190" s="80" t="s">
        <v>958</v>
      </c>
      <c r="C190" s="81" t="s">
        <v>959</v>
      </c>
      <c r="D190" s="81" t="s">
        <v>539</v>
      </c>
      <c r="E190" s="81" t="s">
        <v>420</v>
      </c>
      <c r="F190" s="81" t="s">
        <v>960</v>
      </c>
      <c r="G190" s="82">
        <v>1296833.1968985868</v>
      </c>
      <c r="H190" s="82">
        <v>1296833.1968985868</v>
      </c>
      <c r="I190" s="83" t="s">
        <v>820</v>
      </c>
      <c r="J190" s="83" t="s">
        <v>422</v>
      </c>
      <c r="K190" s="83" t="s">
        <v>423</v>
      </c>
      <c r="L190" s="84" t="s">
        <v>61</v>
      </c>
      <c r="M190" s="83" t="s">
        <v>433</v>
      </c>
      <c r="N190" s="83" t="s">
        <v>434</v>
      </c>
      <c r="O190" s="83" t="s">
        <v>435</v>
      </c>
      <c r="P190" s="83" t="s">
        <v>435</v>
      </c>
      <c r="Q190" s="83" t="s">
        <v>526</v>
      </c>
      <c r="R190" s="83" t="s">
        <v>945</v>
      </c>
      <c r="S190" s="83" t="s">
        <v>58</v>
      </c>
    </row>
    <row r="191" spans="2:19" ht="23" customHeight="1" x14ac:dyDescent="0.35">
      <c r="B191" s="80" t="s">
        <v>961</v>
      </c>
      <c r="C191" s="81" t="s">
        <v>962</v>
      </c>
      <c r="D191" s="81" t="s">
        <v>539</v>
      </c>
      <c r="E191" s="81" t="s">
        <v>963</v>
      </c>
      <c r="F191" s="81" t="s">
        <v>964</v>
      </c>
      <c r="G191" s="82">
        <v>7333.5059574019824</v>
      </c>
      <c r="H191" s="82">
        <v>7333.5059574019824</v>
      </c>
      <c r="I191" s="83" t="s">
        <v>820</v>
      </c>
      <c r="J191" s="83" t="s">
        <v>422</v>
      </c>
      <c r="K191" s="83" t="s">
        <v>423</v>
      </c>
      <c r="L191" s="84" t="s">
        <v>81</v>
      </c>
      <c r="M191" s="83" t="s">
        <v>479</v>
      </c>
      <c r="N191" s="83" t="s">
        <v>78</v>
      </c>
      <c r="O191" s="83" t="s">
        <v>435</v>
      </c>
      <c r="P191" s="83" t="s">
        <v>426</v>
      </c>
      <c r="Q191" s="83" t="s">
        <v>436</v>
      </c>
      <c r="R191" s="83" t="s">
        <v>945</v>
      </c>
      <c r="S191" s="83" t="s">
        <v>58</v>
      </c>
    </row>
    <row r="192" spans="2:19" ht="23" customHeight="1" x14ac:dyDescent="0.35">
      <c r="B192" s="80" t="s">
        <v>965</v>
      </c>
      <c r="C192" s="81" t="s">
        <v>966</v>
      </c>
      <c r="D192" s="81" t="s">
        <v>539</v>
      </c>
      <c r="E192" s="81" t="s">
        <v>967</v>
      </c>
      <c r="F192" s="81" t="s">
        <v>967</v>
      </c>
      <c r="G192" s="82">
        <v>186768.44700368284</v>
      </c>
      <c r="H192" s="82">
        <v>186768.44700368284</v>
      </c>
      <c r="I192" s="83" t="s">
        <v>576</v>
      </c>
      <c r="J192" s="83" t="s">
        <v>422</v>
      </c>
      <c r="K192" s="83" t="s">
        <v>423</v>
      </c>
      <c r="L192" s="84" t="s">
        <v>81</v>
      </c>
      <c r="M192" s="83" t="s">
        <v>441</v>
      </c>
      <c r="N192" s="83" t="s">
        <v>204</v>
      </c>
      <c r="O192" s="83" t="s">
        <v>435</v>
      </c>
      <c r="P192" s="83" t="s">
        <v>435</v>
      </c>
      <c r="Q192" s="83" t="s">
        <v>436</v>
      </c>
      <c r="R192" s="83" t="s">
        <v>945</v>
      </c>
      <c r="S192" s="83" t="s">
        <v>58</v>
      </c>
    </row>
    <row r="193" spans="2:19" ht="23" customHeight="1" x14ac:dyDescent="0.35">
      <c r="B193" s="80" t="s">
        <v>968</v>
      </c>
      <c r="C193" s="81" t="s">
        <v>969</v>
      </c>
      <c r="D193" s="81" t="s">
        <v>539</v>
      </c>
      <c r="E193" s="81" t="s">
        <v>970</v>
      </c>
      <c r="F193" s="81" t="s">
        <v>970</v>
      </c>
      <c r="G193" s="82">
        <v>8025054.216602874</v>
      </c>
      <c r="H193" s="82">
        <v>8025054.216602874</v>
      </c>
      <c r="I193" s="83" t="s">
        <v>886</v>
      </c>
      <c r="J193" s="83" t="s">
        <v>422</v>
      </c>
      <c r="K193" s="83" t="s">
        <v>423</v>
      </c>
      <c r="L193" s="84" t="s">
        <v>61</v>
      </c>
      <c r="M193" s="83" t="s">
        <v>433</v>
      </c>
      <c r="N193" s="83" t="s">
        <v>434</v>
      </c>
      <c r="O193" s="83" t="s">
        <v>426</v>
      </c>
      <c r="P193" s="83" t="s">
        <v>435</v>
      </c>
      <c r="Q193" s="83" t="s">
        <v>436</v>
      </c>
      <c r="R193" s="83" t="s">
        <v>945</v>
      </c>
      <c r="S193" s="83" t="s">
        <v>58</v>
      </c>
    </row>
    <row r="194" spans="2:19" ht="23" customHeight="1" x14ac:dyDescent="0.35">
      <c r="B194" s="80" t="s">
        <v>971</v>
      </c>
      <c r="C194" s="81" t="s">
        <v>972</v>
      </c>
      <c r="D194" s="81" t="s">
        <v>418</v>
      </c>
      <c r="E194" s="81" t="s">
        <v>973</v>
      </c>
      <c r="F194" s="81" t="s">
        <v>973</v>
      </c>
      <c r="G194" s="82">
        <v>57315.846627301609</v>
      </c>
      <c r="H194" s="82">
        <v>57315.846627301609</v>
      </c>
      <c r="I194" s="83" t="s">
        <v>855</v>
      </c>
      <c r="J194" s="83" t="s">
        <v>422</v>
      </c>
      <c r="K194" s="83" t="s">
        <v>423</v>
      </c>
      <c r="L194" s="84" t="s">
        <v>81</v>
      </c>
      <c r="M194" s="83" t="s">
        <v>618</v>
      </c>
      <c r="N194" s="83" t="s">
        <v>168</v>
      </c>
      <c r="O194" s="83" t="s">
        <v>435</v>
      </c>
      <c r="P194" s="83" t="s">
        <v>426</v>
      </c>
      <c r="Q194" s="83" t="s">
        <v>526</v>
      </c>
      <c r="R194" s="83" t="s">
        <v>974</v>
      </c>
      <c r="S194" s="83" t="s">
        <v>58</v>
      </c>
    </row>
    <row r="195" spans="2:19" ht="23" customHeight="1" x14ac:dyDescent="0.35">
      <c r="B195" s="80" t="s">
        <v>975</v>
      </c>
      <c r="C195" s="81" t="s">
        <v>976</v>
      </c>
      <c r="D195" s="81" t="s">
        <v>418</v>
      </c>
      <c r="E195" s="81" t="s">
        <v>977</v>
      </c>
      <c r="F195" s="81" t="s">
        <v>977</v>
      </c>
      <c r="G195" s="82">
        <v>32658.666760876291</v>
      </c>
      <c r="H195" s="82">
        <v>32658.666760876291</v>
      </c>
      <c r="I195" s="83" t="s">
        <v>855</v>
      </c>
      <c r="J195" s="83" t="s">
        <v>422</v>
      </c>
      <c r="K195" s="83" t="s">
        <v>423</v>
      </c>
      <c r="L195" s="84" t="s">
        <v>81</v>
      </c>
      <c r="M195" s="83" t="s">
        <v>488</v>
      </c>
      <c r="N195" s="83" t="s">
        <v>425</v>
      </c>
      <c r="O195" s="83" t="s">
        <v>426</v>
      </c>
      <c r="P195" s="83" t="s">
        <v>435</v>
      </c>
      <c r="Q195" s="83" t="s">
        <v>436</v>
      </c>
      <c r="R195" s="83" t="s">
        <v>978</v>
      </c>
      <c r="S195" s="83" t="s">
        <v>58</v>
      </c>
    </row>
    <row r="196" spans="2:19" ht="23" customHeight="1" x14ac:dyDescent="0.35">
      <c r="B196" s="80" t="s">
        <v>979</v>
      </c>
      <c r="C196" s="81" t="s">
        <v>980</v>
      </c>
      <c r="D196" s="81" t="s">
        <v>418</v>
      </c>
      <c r="E196" s="81" t="s">
        <v>981</v>
      </c>
      <c r="F196" s="81" t="s">
        <v>982</v>
      </c>
      <c r="G196" s="82">
        <v>309242.21925558563</v>
      </c>
      <c r="H196" s="82">
        <v>309242.21925558563</v>
      </c>
      <c r="I196" s="83" t="s">
        <v>576</v>
      </c>
      <c r="J196" s="83" t="s">
        <v>422</v>
      </c>
      <c r="K196" s="83" t="s">
        <v>423</v>
      </c>
      <c r="L196" s="84" t="s">
        <v>1177</v>
      </c>
      <c r="M196" s="83" t="s">
        <v>514</v>
      </c>
      <c r="N196" s="83" t="s">
        <v>515</v>
      </c>
      <c r="O196" s="83" t="s">
        <v>435</v>
      </c>
      <c r="P196" s="83" t="s">
        <v>435</v>
      </c>
      <c r="Q196" s="83" t="s">
        <v>436</v>
      </c>
      <c r="R196" s="83" t="s">
        <v>945</v>
      </c>
      <c r="S196" s="83" t="s">
        <v>58</v>
      </c>
    </row>
    <row r="197" spans="2:19" ht="23" customHeight="1" x14ac:dyDescent="0.35">
      <c r="B197" s="80" t="s">
        <v>983</v>
      </c>
      <c r="C197" s="81" t="s">
        <v>984</v>
      </c>
      <c r="D197" s="81" t="s">
        <v>539</v>
      </c>
      <c r="E197" s="81" t="s">
        <v>952</v>
      </c>
      <c r="F197" s="81" t="s">
        <v>952</v>
      </c>
      <c r="G197" s="82">
        <v>56999.36347387229</v>
      </c>
      <c r="H197" s="82">
        <v>56999.36347387229</v>
      </c>
      <c r="I197" s="83" t="s">
        <v>894</v>
      </c>
      <c r="J197" s="83" t="s">
        <v>422</v>
      </c>
      <c r="K197" s="83" t="s">
        <v>423</v>
      </c>
      <c r="L197" s="84" t="s">
        <v>61</v>
      </c>
      <c r="M197" s="83" t="s">
        <v>433</v>
      </c>
      <c r="N197" s="83" t="s">
        <v>434</v>
      </c>
      <c r="O197" s="83" t="s">
        <v>435</v>
      </c>
      <c r="P197" s="83" t="s">
        <v>435</v>
      </c>
      <c r="Q197" s="83" t="s">
        <v>436</v>
      </c>
      <c r="R197" s="83" t="s">
        <v>985</v>
      </c>
      <c r="S197" s="83" t="s">
        <v>58</v>
      </c>
    </row>
    <row r="198" spans="2:19" ht="23" customHeight="1" x14ac:dyDescent="0.35">
      <c r="B198" s="80" t="s">
        <v>986</v>
      </c>
      <c r="C198" s="81" t="s">
        <v>987</v>
      </c>
      <c r="D198" s="81" t="s">
        <v>539</v>
      </c>
      <c r="E198" s="81" t="s">
        <v>988</v>
      </c>
      <c r="F198" s="81" t="s">
        <v>988</v>
      </c>
      <c r="G198" s="82">
        <v>59668.194841732453</v>
      </c>
      <c r="H198" s="82">
        <v>59668.194841732453</v>
      </c>
      <c r="I198" s="83" t="s">
        <v>820</v>
      </c>
      <c r="J198" s="83" t="s">
        <v>422</v>
      </c>
      <c r="K198" s="83" t="s">
        <v>423</v>
      </c>
      <c r="L198" s="84" t="s">
        <v>61</v>
      </c>
      <c r="M198" s="83" t="s">
        <v>424</v>
      </c>
      <c r="N198" s="83" t="s">
        <v>425</v>
      </c>
      <c r="O198" s="83" t="s">
        <v>426</v>
      </c>
      <c r="P198" s="83" t="s">
        <v>435</v>
      </c>
      <c r="Q198" s="83" t="s">
        <v>526</v>
      </c>
      <c r="R198" s="83" t="s">
        <v>989</v>
      </c>
      <c r="S198" s="83" t="s">
        <v>58</v>
      </c>
    </row>
    <row r="199" spans="2:19" ht="23" customHeight="1" x14ac:dyDescent="0.35">
      <c r="B199" s="80" t="s">
        <v>990</v>
      </c>
      <c r="C199" s="81" t="s">
        <v>991</v>
      </c>
      <c r="D199" s="81" t="s">
        <v>539</v>
      </c>
      <c r="E199" s="81" t="s">
        <v>843</v>
      </c>
      <c r="F199" s="81" t="s">
        <v>843</v>
      </c>
      <c r="G199" s="82">
        <v>697871.27394230734</v>
      </c>
      <c r="H199" s="82">
        <v>697871.27394230734</v>
      </c>
      <c r="I199" s="83" t="s">
        <v>894</v>
      </c>
      <c r="J199" s="83" t="s">
        <v>422</v>
      </c>
      <c r="K199" s="83" t="s">
        <v>423</v>
      </c>
      <c r="L199" s="84" t="s">
        <v>1177</v>
      </c>
      <c r="M199" s="83" t="s">
        <v>488</v>
      </c>
      <c r="N199" s="83" t="s">
        <v>425</v>
      </c>
      <c r="O199" s="83" t="s">
        <v>435</v>
      </c>
      <c r="P199" s="83" t="s">
        <v>426</v>
      </c>
      <c r="Q199" s="83" t="s">
        <v>436</v>
      </c>
      <c r="R199" s="83" t="s">
        <v>992</v>
      </c>
      <c r="S199" s="83" t="s">
        <v>58</v>
      </c>
    </row>
    <row r="200" spans="2:19" ht="23" customHeight="1" x14ac:dyDescent="0.35">
      <c r="B200" s="80" t="s">
        <v>993</v>
      </c>
      <c r="C200" s="81" t="s">
        <v>994</v>
      </c>
      <c r="D200" s="81" t="s">
        <v>539</v>
      </c>
      <c r="E200" s="81" t="s">
        <v>995</v>
      </c>
      <c r="F200" s="81" t="s">
        <v>898</v>
      </c>
      <c r="G200" s="82">
        <v>865.50009613255122</v>
      </c>
      <c r="H200" s="82">
        <v>865.50009613255122</v>
      </c>
      <c r="I200" s="83" t="s">
        <v>820</v>
      </c>
      <c r="J200" s="83" t="s">
        <v>422</v>
      </c>
      <c r="K200" s="83" t="s">
        <v>423</v>
      </c>
      <c r="L200" s="84" t="s">
        <v>81</v>
      </c>
      <c r="M200" s="83" t="s">
        <v>488</v>
      </c>
      <c r="N200" s="83" t="s">
        <v>294</v>
      </c>
      <c r="O200" s="83" t="s">
        <v>435</v>
      </c>
      <c r="P200" s="83" t="s">
        <v>426</v>
      </c>
      <c r="Q200" s="83" t="s">
        <v>436</v>
      </c>
      <c r="R200" s="83" t="s">
        <v>996</v>
      </c>
      <c r="S200" s="83" t="s">
        <v>58</v>
      </c>
    </row>
    <row r="201" spans="2:19" ht="23" customHeight="1" x14ac:dyDescent="0.35">
      <c r="B201" s="80" t="s">
        <v>997</v>
      </c>
      <c r="C201" s="81" t="s">
        <v>998</v>
      </c>
      <c r="D201" s="81" t="s">
        <v>539</v>
      </c>
      <c r="E201" s="81" t="s">
        <v>420</v>
      </c>
      <c r="F201" s="81" t="s">
        <v>999</v>
      </c>
      <c r="G201" s="82">
        <v>3956.5718680345194</v>
      </c>
      <c r="H201" s="82">
        <v>3956.5718680345194</v>
      </c>
      <c r="I201" s="83" t="s">
        <v>820</v>
      </c>
      <c r="J201" s="83" t="s">
        <v>422</v>
      </c>
      <c r="K201" s="83" t="s">
        <v>423</v>
      </c>
      <c r="L201" s="84" t="s">
        <v>81</v>
      </c>
      <c r="M201" s="83" t="s">
        <v>479</v>
      </c>
      <c r="N201" s="83" t="s">
        <v>85</v>
      </c>
      <c r="O201" s="83" t="s">
        <v>435</v>
      </c>
      <c r="P201" s="83" t="s">
        <v>435</v>
      </c>
      <c r="Q201" s="83" t="s">
        <v>526</v>
      </c>
      <c r="R201" s="83" t="s">
        <v>1000</v>
      </c>
      <c r="S201" s="83" t="s">
        <v>58</v>
      </c>
    </row>
    <row r="202" spans="2:19" ht="23" customHeight="1" x14ac:dyDescent="0.35">
      <c r="B202" s="80" t="s">
        <v>1001</v>
      </c>
      <c r="C202" s="81" t="s">
        <v>1002</v>
      </c>
      <c r="D202" s="81" t="s">
        <v>539</v>
      </c>
      <c r="E202" s="81" t="s">
        <v>1003</v>
      </c>
      <c r="F202" s="81" t="s">
        <v>1003</v>
      </c>
      <c r="G202" s="82">
        <v>20632.180787963418</v>
      </c>
      <c r="H202" s="82">
        <v>20632.180787963418</v>
      </c>
      <c r="I202" s="83" t="s">
        <v>886</v>
      </c>
      <c r="J202" s="83" t="s">
        <v>422</v>
      </c>
      <c r="K202" s="83" t="s">
        <v>423</v>
      </c>
      <c r="L202" s="84" t="s">
        <v>61</v>
      </c>
      <c r="M202" s="83" t="s">
        <v>433</v>
      </c>
      <c r="N202" s="83" t="s">
        <v>520</v>
      </c>
      <c r="O202" s="83" t="s">
        <v>435</v>
      </c>
      <c r="P202" s="83" t="s">
        <v>426</v>
      </c>
      <c r="Q202" s="83" t="s">
        <v>436</v>
      </c>
      <c r="R202" s="83" t="s">
        <v>1004</v>
      </c>
      <c r="S202" s="83" t="s">
        <v>58</v>
      </c>
    </row>
    <row r="203" spans="2:19" ht="23" customHeight="1" x14ac:dyDescent="0.35">
      <c r="B203" s="80" t="s">
        <v>1005</v>
      </c>
      <c r="C203" s="81" t="s">
        <v>1006</v>
      </c>
      <c r="D203" s="81" t="s">
        <v>539</v>
      </c>
      <c r="E203" s="81" t="s">
        <v>1007</v>
      </c>
      <c r="F203" s="81" t="s">
        <v>1007</v>
      </c>
      <c r="G203" s="82">
        <v>432524.13028546824</v>
      </c>
      <c r="H203" s="82">
        <v>432524.13028546824</v>
      </c>
      <c r="I203" s="83" t="s">
        <v>903</v>
      </c>
      <c r="J203" s="83" t="s">
        <v>422</v>
      </c>
      <c r="K203" s="83" t="s">
        <v>423</v>
      </c>
      <c r="L203" s="84" t="s">
        <v>1177</v>
      </c>
      <c r="M203" s="83" t="s">
        <v>441</v>
      </c>
      <c r="N203" s="83" t="s">
        <v>204</v>
      </c>
      <c r="O203" s="83" t="s">
        <v>435</v>
      </c>
      <c r="P203" s="83" t="s">
        <v>435</v>
      </c>
      <c r="Q203" s="83" t="s">
        <v>436</v>
      </c>
      <c r="R203" s="83" t="s">
        <v>945</v>
      </c>
      <c r="S203" s="83" t="s">
        <v>58</v>
      </c>
    </row>
    <row r="204" spans="2:19" ht="23" customHeight="1" x14ac:dyDescent="0.35">
      <c r="B204" s="80" t="s">
        <v>1008</v>
      </c>
      <c r="C204" s="81" t="s">
        <v>1009</v>
      </c>
      <c r="D204" s="81" t="s">
        <v>539</v>
      </c>
      <c r="E204" s="81" t="s">
        <v>1010</v>
      </c>
      <c r="F204" s="81" t="s">
        <v>1011</v>
      </c>
      <c r="G204" s="82">
        <v>24866.294954165474</v>
      </c>
      <c r="H204" s="82">
        <v>24866.294954165474</v>
      </c>
      <c r="I204" s="83" t="s">
        <v>461</v>
      </c>
      <c r="J204" s="83" t="s">
        <v>422</v>
      </c>
      <c r="K204" s="83" t="s">
        <v>423</v>
      </c>
      <c r="L204" s="84" t="s">
        <v>81</v>
      </c>
      <c r="M204" s="83" t="s">
        <v>585</v>
      </c>
      <c r="N204" s="83" t="s">
        <v>170</v>
      </c>
      <c r="O204" s="83" t="s">
        <v>435</v>
      </c>
      <c r="P204" s="83" t="s">
        <v>435</v>
      </c>
      <c r="Q204" s="83" t="s">
        <v>436</v>
      </c>
      <c r="R204" s="83" t="s">
        <v>1012</v>
      </c>
      <c r="S204" s="83" t="s">
        <v>58</v>
      </c>
    </row>
    <row r="205" spans="2:19" ht="23" customHeight="1" x14ac:dyDescent="0.35">
      <c r="B205" s="80" t="s">
        <v>1013</v>
      </c>
      <c r="C205" s="81" t="s">
        <v>1014</v>
      </c>
      <c r="D205" s="81" t="s">
        <v>418</v>
      </c>
      <c r="E205" s="81" t="s">
        <v>948</v>
      </c>
      <c r="F205" s="81" t="s">
        <v>948</v>
      </c>
      <c r="G205" s="82">
        <v>4883.3563995179684</v>
      </c>
      <c r="H205" s="82">
        <v>4883.3563995179684</v>
      </c>
      <c r="I205" s="83" t="s">
        <v>474</v>
      </c>
      <c r="J205" s="83" t="s">
        <v>422</v>
      </c>
      <c r="K205" s="83" t="s">
        <v>423</v>
      </c>
      <c r="L205" s="84" t="s">
        <v>61</v>
      </c>
      <c r="M205" s="83" t="s">
        <v>433</v>
      </c>
      <c r="N205" s="83" t="s">
        <v>520</v>
      </c>
      <c r="O205" s="83" t="s">
        <v>426</v>
      </c>
      <c r="P205" s="83" t="s">
        <v>435</v>
      </c>
      <c r="Q205" s="83" t="s">
        <v>436</v>
      </c>
      <c r="R205" s="83" t="s">
        <v>945</v>
      </c>
      <c r="S205" s="83" t="s">
        <v>58</v>
      </c>
    </row>
    <row r="206" spans="2:19" ht="23" customHeight="1" x14ac:dyDescent="0.35">
      <c r="B206" s="80" t="s">
        <v>1015</v>
      </c>
      <c r="C206" s="81" t="s">
        <v>1016</v>
      </c>
      <c r="D206" s="81" t="s">
        <v>539</v>
      </c>
      <c r="E206" s="81" t="s">
        <v>1017</v>
      </c>
      <c r="F206" s="81" t="s">
        <v>1018</v>
      </c>
      <c r="G206" s="82">
        <v>9658.546454786614</v>
      </c>
      <c r="H206" s="82">
        <v>9658.546454786614</v>
      </c>
      <c r="I206" s="83" t="s">
        <v>474</v>
      </c>
      <c r="J206" s="83" t="s">
        <v>422</v>
      </c>
      <c r="K206" s="83" t="s">
        <v>423</v>
      </c>
      <c r="L206" s="84" t="s">
        <v>1177</v>
      </c>
      <c r="M206" s="83" t="s">
        <v>441</v>
      </c>
      <c r="N206" s="83" t="s">
        <v>204</v>
      </c>
      <c r="O206" s="83" t="s">
        <v>435</v>
      </c>
      <c r="P206" s="83" t="s">
        <v>426</v>
      </c>
      <c r="Q206" s="83" t="s">
        <v>526</v>
      </c>
      <c r="R206" s="83" t="s">
        <v>945</v>
      </c>
      <c r="S206" s="83" t="s">
        <v>58</v>
      </c>
    </row>
    <row r="207" spans="2:19" ht="23" customHeight="1" x14ac:dyDescent="0.35">
      <c r="B207" s="80" t="s">
        <v>896</v>
      </c>
      <c r="C207" s="81" t="s">
        <v>897</v>
      </c>
      <c r="D207" s="81" t="s">
        <v>539</v>
      </c>
      <c r="E207" s="81" t="s">
        <v>420</v>
      </c>
      <c r="F207" s="81" t="s">
        <v>898</v>
      </c>
      <c r="G207" s="82">
        <v>1204025.3743045514</v>
      </c>
      <c r="H207" s="82">
        <v>1204025.3743045514</v>
      </c>
      <c r="I207" s="83" t="s">
        <v>844</v>
      </c>
      <c r="J207" s="83" t="s">
        <v>422</v>
      </c>
      <c r="K207" s="83" t="s">
        <v>423</v>
      </c>
      <c r="L207" s="84" t="s">
        <v>1177</v>
      </c>
      <c r="M207" s="83" t="s">
        <v>514</v>
      </c>
      <c r="N207" s="83" t="s">
        <v>515</v>
      </c>
      <c r="O207" s="83" t="s">
        <v>435</v>
      </c>
      <c r="P207" s="83" t="s">
        <v>435</v>
      </c>
      <c r="Q207" s="83" t="s">
        <v>436</v>
      </c>
      <c r="R207" s="83" t="s">
        <v>945</v>
      </c>
      <c r="S207" s="83" t="s">
        <v>58</v>
      </c>
    </row>
    <row r="208" spans="2:19" ht="23" customHeight="1" x14ac:dyDescent="0.35">
      <c r="B208" s="80" t="s">
        <v>1019</v>
      </c>
      <c r="C208" s="81" t="s">
        <v>1020</v>
      </c>
      <c r="D208" s="81" t="s">
        <v>539</v>
      </c>
      <c r="E208" s="81" t="s">
        <v>420</v>
      </c>
      <c r="F208" s="81" t="s">
        <v>898</v>
      </c>
      <c r="G208" s="82">
        <v>166911.69353916249</v>
      </c>
      <c r="H208" s="82">
        <v>166911.69353916249</v>
      </c>
      <c r="I208" s="83" t="s">
        <v>820</v>
      </c>
      <c r="J208" s="83" t="s">
        <v>422</v>
      </c>
      <c r="K208" s="83" t="s">
        <v>423</v>
      </c>
      <c r="L208" s="84" t="s">
        <v>1177</v>
      </c>
      <c r="M208" s="83" t="s">
        <v>462</v>
      </c>
      <c r="N208" s="83" t="s">
        <v>318</v>
      </c>
      <c r="O208" s="83" t="s">
        <v>435</v>
      </c>
      <c r="P208" s="83" t="s">
        <v>426</v>
      </c>
      <c r="Q208" s="83" t="s">
        <v>526</v>
      </c>
      <c r="R208" s="83" t="s">
        <v>945</v>
      </c>
      <c r="S208" s="83" t="s">
        <v>58</v>
      </c>
    </row>
    <row r="209" spans="2:19" ht="23" customHeight="1" x14ac:dyDescent="0.35">
      <c r="B209" s="80" t="s">
        <v>1021</v>
      </c>
      <c r="C209" s="81" t="s">
        <v>1022</v>
      </c>
      <c r="D209" s="81" t="s">
        <v>539</v>
      </c>
      <c r="E209" s="81" t="s">
        <v>1023</v>
      </c>
      <c r="F209" s="81" t="s">
        <v>1024</v>
      </c>
      <c r="G209" s="82">
        <v>12364.287087607872</v>
      </c>
      <c r="H209" s="82">
        <v>12364.287087607872</v>
      </c>
      <c r="I209" s="83" t="s">
        <v>820</v>
      </c>
      <c r="J209" s="83" t="s">
        <v>422</v>
      </c>
      <c r="K209" s="83" t="s">
        <v>423</v>
      </c>
      <c r="L209" s="84" t="s">
        <v>1177</v>
      </c>
      <c r="M209" s="83" t="s">
        <v>585</v>
      </c>
      <c r="N209" s="83" t="s">
        <v>170</v>
      </c>
      <c r="O209" s="83" t="s">
        <v>435</v>
      </c>
      <c r="P209" s="83" t="s">
        <v>426</v>
      </c>
      <c r="Q209" s="83" t="s">
        <v>526</v>
      </c>
      <c r="R209" s="83" t="s">
        <v>1025</v>
      </c>
      <c r="S209" s="83" t="s">
        <v>58</v>
      </c>
    </row>
    <row r="210" spans="2:19" ht="23" customHeight="1" x14ac:dyDescent="0.35">
      <c r="B210" s="80" t="s">
        <v>1026</v>
      </c>
      <c r="C210" s="81" t="s">
        <v>1027</v>
      </c>
      <c r="D210" s="81" t="s">
        <v>539</v>
      </c>
      <c r="E210" s="81" t="s">
        <v>1017</v>
      </c>
      <c r="F210" s="81" t="s">
        <v>1028</v>
      </c>
      <c r="G210" s="82">
        <v>93718.32392179915</v>
      </c>
      <c r="H210" s="82">
        <v>93718.32392179915</v>
      </c>
      <c r="I210" s="83" t="s">
        <v>474</v>
      </c>
      <c r="J210" s="83" t="s">
        <v>422</v>
      </c>
      <c r="K210" s="83" t="s">
        <v>423</v>
      </c>
      <c r="L210" s="84" t="s">
        <v>1176</v>
      </c>
      <c r="M210" s="83" t="s">
        <v>618</v>
      </c>
      <c r="N210" s="83" t="s">
        <v>168</v>
      </c>
      <c r="O210" s="83" t="s">
        <v>435</v>
      </c>
      <c r="P210" s="83" t="s">
        <v>426</v>
      </c>
      <c r="Q210" s="83" t="s">
        <v>436</v>
      </c>
      <c r="R210" s="83" t="s">
        <v>1029</v>
      </c>
      <c r="S210" s="83" t="s">
        <v>58</v>
      </c>
    </row>
    <row r="211" spans="2:19" ht="23" customHeight="1" x14ac:dyDescent="0.35">
      <c r="B211" s="80" t="s">
        <v>1030</v>
      </c>
      <c r="C211" s="81" t="s">
        <v>1031</v>
      </c>
      <c r="D211" s="81" t="s">
        <v>539</v>
      </c>
      <c r="E211" s="81" t="s">
        <v>1032</v>
      </c>
      <c r="F211" s="81" t="s">
        <v>1033</v>
      </c>
      <c r="G211" s="82">
        <v>48520.578332119367</v>
      </c>
      <c r="H211" s="82">
        <v>48520.578332119367</v>
      </c>
      <c r="I211" s="83" t="s">
        <v>820</v>
      </c>
      <c r="J211" s="83" t="s">
        <v>422</v>
      </c>
      <c r="K211" s="83" t="s">
        <v>423</v>
      </c>
      <c r="L211" s="84" t="s">
        <v>1177</v>
      </c>
      <c r="M211" s="83" t="s">
        <v>488</v>
      </c>
      <c r="N211" s="83" t="s">
        <v>425</v>
      </c>
      <c r="O211" s="83" t="s">
        <v>426</v>
      </c>
      <c r="P211" s="83" t="s">
        <v>435</v>
      </c>
      <c r="Q211" s="83" t="s">
        <v>436</v>
      </c>
      <c r="R211" s="83" t="s">
        <v>945</v>
      </c>
      <c r="S211" s="83" t="s">
        <v>58</v>
      </c>
    </row>
    <row r="212" spans="2:19" ht="23" customHeight="1" x14ac:dyDescent="0.35">
      <c r="B212" s="80" t="s">
        <v>1034</v>
      </c>
      <c r="C212" s="81" t="s">
        <v>1035</v>
      </c>
      <c r="D212" s="81" t="s">
        <v>418</v>
      </c>
      <c r="E212" s="81" t="s">
        <v>863</v>
      </c>
      <c r="F212" s="81" t="s">
        <v>863</v>
      </c>
      <c r="G212" s="82">
        <v>272014.31592737325</v>
      </c>
      <c r="H212" s="82">
        <v>272014.31592737325</v>
      </c>
      <c r="I212" s="83" t="s">
        <v>894</v>
      </c>
      <c r="J212" s="83" t="s">
        <v>422</v>
      </c>
      <c r="K212" s="83" t="s">
        <v>423</v>
      </c>
      <c r="L212" s="84" t="s">
        <v>1177</v>
      </c>
      <c r="M212" s="83" t="s">
        <v>514</v>
      </c>
      <c r="N212" s="83" t="s">
        <v>515</v>
      </c>
      <c r="O212" s="83" t="s">
        <v>426</v>
      </c>
      <c r="P212" s="83" t="s">
        <v>435</v>
      </c>
      <c r="Q212" s="83" t="s">
        <v>436</v>
      </c>
      <c r="R212" s="83" t="s">
        <v>1036</v>
      </c>
      <c r="S212" s="83" t="s">
        <v>58</v>
      </c>
    </row>
    <row r="213" spans="2:19" ht="23" customHeight="1" x14ac:dyDescent="0.35">
      <c r="B213" s="80" t="s">
        <v>1037</v>
      </c>
      <c r="C213" s="81" t="s">
        <v>1038</v>
      </c>
      <c r="D213" s="81" t="s">
        <v>418</v>
      </c>
      <c r="E213" s="81" t="s">
        <v>1039</v>
      </c>
      <c r="F213" s="81" t="s">
        <v>1040</v>
      </c>
      <c r="G213" s="82">
        <v>484207.98295510432</v>
      </c>
      <c r="H213" s="82">
        <v>484207.98295510432</v>
      </c>
      <c r="I213" s="83" t="s">
        <v>474</v>
      </c>
      <c r="J213" s="83" t="s">
        <v>422</v>
      </c>
      <c r="K213" s="83" t="s">
        <v>423</v>
      </c>
      <c r="L213" s="84" t="s">
        <v>81</v>
      </c>
      <c r="M213" s="83" t="s">
        <v>488</v>
      </c>
      <c r="N213" s="83" t="s">
        <v>489</v>
      </c>
      <c r="O213" s="83" t="s">
        <v>435</v>
      </c>
      <c r="P213" s="83" t="s">
        <v>426</v>
      </c>
      <c r="Q213" s="83" t="s">
        <v>436</v>
      </c>
      <c r="R213" s="83" t="s">
        <v>1036</v>
      </c>
      <c r="S213" s="83" t="s">
        <v>58</v>
      </c>
    </row>
    <row r="214" spans="2:19" ht="23" customHeight="1" x14ac:dyDescent="0.35">
      <c r="B214" s="80" t="s">
        <v>1041</v>
      </c>
      <c r="C214" s="81" t="s">
        <v>1042</v>
      </c>
      <c r="D214" s="81" t="s">
        <v>418</v>
      </c>
      <c r="E214" s="81" t="s">
        <v>901</v>
      </c>
      <c r="F214" s="81" t="s">
        <v>1043</v>
      </c>
      <c r="G214" s="82">
        <v>1081875.1201656889</v>
      </c>
      <c r="H214" s="82">
        <v>1081875.1201656889</v>
      </c>
      <c r="I214" s="83" t="s">
        <v>903</v>
      </c>
      <c r="J214" s="83" t="s">
        <v>422</v>
      </c>
      <c r="K214" s="83" t="s">
        <v>423</v>
      </c>
      <c r="L214" s="84" t="s">
        <v>61</v>
      </c>
      <c r="M214" s="83" t="s">
        <v>441</v>
      </c>
      <c r="N214" s="83" t="s">
        <v>204</v>
      </c>
      <c r="O214" s="83" t="s">
        <v>435</v>
      </c>
      <c r="P214" s="83" t="s">
        <v>435</v>
      </c>
      <c r="Q214" s="83" t="s">
        <v>436</v>
      </c>
      <c r="R214" s="83" t="s">
        <v>1044</v>
      </c>
      <c r="S214" s="83" t="s">
        <v>58</v>
      </c>
    </row>
    <row r="215" spans="2:19" ht="23" customHeight="1" x14ac:dyDescent="0.35">
      <c r="B215" s="80" t="s">
        <v>1045</v>
      </c>
      <c r="C215" s="81" t="s">
        <v>1046</v>
      </c>
      <c r="D215" s="81" t="s">
        <v>418</v>
      </c>
      <c r="E215" s="81" t="s">
        <v>1047</v>
      </c>
      <c r="F215" s="81" t="s">
        <v>1048</v>
      </c>
      <c r="G215" s="82">
        <v>13446.162207773563</v>
      </c>
      <c r="H215" s="82">
        <v>13446.162207773563</v>
      </c>
      <c r="I215" s="83" t="s">
        <v>820</v>
      </c>
      <c r="J215" s="83" t="s">
        <v>422</v>
      </c>
      <c r="K215" s="83" t="s">
        <v>423</v>
      </c>
      <c r="L215" s="84" t="s">
        <v>81</v>
      </c>
      <c r="M215" s="83" t="s">
        <v>479</v>
      </c>
      <c r="N215" s="83" t="s">
        <v>294</v>
      </c>
      <c r="O215" s="83" t="s">
        <v>435</v>
      </c>
      <c r="P215" s="83" t="s">
        <v>426</v>
      </c>
      <c r="Q215" s="83" t="s">
        <v>526</v>
      </c>
      <c r="R215" s="83" t="s">
        <v>1049</v>
      </c>
      <c r="S215" s="83" t="s">
        <v>58</v>
      </c>
    </row>
    <row r="216" spans="2:19" ht="23" customHeight="1" x14ac:dyDescent="0.35">
      <c r="B216" s="80" t="s">
        <v>1050</v>
      </c>
      <c r="C216" s="81" t="s">
        <v>1051</v>
      </c>
      <c r="D216" s="81" t="s">
        <v>418</v>
      </c>
      <c r="E216" s="81" t="s">
        <v>1052</v>
      </c>
      <c r="F216" s="81" t="s">
        <v>1052</v>
      </c>
      <c r="G216" s="82">
        <v>234695.6794668475</v>
      </c>
      <c r="H216" s="82">
        <v>234695.6794668475</v>
      </c>
      <c r="I216" s="83" t="s">
        <v>576</v>
      </c>
      <c r="J216" s="83" t="s">
        <v>422</v>
      </c>
      <c r="K216" s="83" t="s">
        <v>423</v>
      </c>
      <c r="L216" s="84" t="s">
        <v>1177</v>
      </c>
      <c r="M216" s="83" t="s">
        <v>618</v>
      </c>
      <c r="N216" s="83" t="s">
        <v>168</v>
      </c>
      <c r="O216" s="83" t="s">
        <v>435</v>
      </c>
      <c r="P216" s="83" t="s">
        <v>426</v>
      </c>
      <c r="Q216" s="83" t="s">
        <v>526</v>
      </c>
      <c r="R216" s="83" t="s">
        <v>1020</v>
      </c>
      <c r="S216" s="83" t="s">
        <v>58</v>
      </c>
    </row>
    <row r="217" spans="2:19" ht="23" customHeight="1" x14ac:dyDescent="0.35">
      <c r="B217" s="80" t="s">
        <v>1053</v>
      </c>
      <c r="C217" s="81" t="s">
        <v>1054</v>
      </c>
      <c r="D217" s="81" t="s">
        <v>418</v>
      </c>
      <c r="E217" s="81" t="s">
        <v>450</v>
      </c>
      <c r="F217" s="81" t="s">
        <v>1055</v>
      </c>
      <c r="G217" s="82">
        <v>37092.861262823622</v>
      </c>
      <c r="H217" s="82">
        <v>37092.861262823622</v>
      </c>
      <c r="I217" s="83" t="s">
        <v>894</v>
      </c>
      <c r="J217" s="83" t="s">
        <v>475</v>
      </c>
      <c r="K217" s="83" t="s">
        <v>423</v>
      </c>
      <c r="L217" s="84" t="s">
        <v>1177</v>
      </c>
      <c r="M217" s="83" t="s">
        <v>585</v>
      </c>
      <c r="N217" s="83" t="s">
        <v>170</v>
      </c>
      <c r="O217" s="83" t="s">
        <v>435</v>
      </c>
      <c r="P217" s="83" t="s">
        <v>435</v>
      </c>
      <c r="Q217" s="83" t="s">
        <v>436</v>
      </c>
      <c r="R217" s="83" t="s">
        <v>1022</v>
      </c>
      <c r="S217" s="83" t="s">
        <v>58</v>
      </c>
    </row>
    <row r="218" spans="2:19" ht="23" customHeight="1" x14ac:dyDescent="0.35">
      <c r="B218" s="80" t="s">
        <v>1056</v>
      </c>
      <c r="C218" s="81" t="s">
        <v>1057</v>
      </c>
      <c r="D218" s="81" t="s">
        <v>418</v>
      </c>
      <c r="E218" s="81" t="s">
        <v>445</v>
      </c>
      <c r="F218" s="81" t="s">
        <v>445</v>
      </c>
      <c r="G218" s="82">
        <v>8590.0616459884914</v>
      </c>
      <c r="H218" s="82">
        <v>8590.0616459884914</v>
      </c>
      <c r="I218" s="83" t="s">
        <v>907</v>
      </c>
      <c r="J218" s="83" t="s">
        <v>475</v>
      </c>
      <c r="K218" s="83" t="s">
        <v>423</v>
      </c>
      <c r="L218" s="84" t="s">
        <v>81</v>
      </c>
      <c r="M218" s="83" t="s">
        <v>462</v>
      </c>
      <c r="N218" s="83" t="s">
        <v>303</v>
      </c>
      <c r="O218" s="83" t="s">
        <v>435</v>
      </c>
      <c r="P218" s="83" t="s">
        <v>435</v>
      </c>
      <c r="Q218" s="83" t="s">
        <v>526</v>
      </c>
      <c r="R218" s="83" t="s">
        <v>1058</v>
      </c>
      <c r="S218" s="83" t="s">
        <v>58</v>
      </c>
    </row>
    <row r="219" spans="2:19" ht="23" customHeight="1" x14ac:dyDescent="0.35">
      <c r="B219" s="80" t="s">
        <v>1059</v>
      </c>
      <c r="C219" s="81" t="s">
        <v>1060</v>
      </c>
      <c r="D219" s="81" t="s">
        <v>418</v>
      </c>
      <c r="E219" s="81" t="s">
        <v>1052</v>
      </c>
      <c r="F219" s="81" t="s">
        <v>1052</v>
      </c>
      <c r="G219" s="82">
        <v>370928.61262823618</v>
      </c>
      <c r="H219" s="82">
        <v>370928.61262823618</v>
      </c>
      <c r="I219" s="83" t="s">
        <v>903</v>
      </c>
      <c r="J219" s="83" t="s">
        <v>422</v>
      </c>
      <c r="K219" s="83" t="s">
        <v>423</v>
      </c>
      <c r="L219" s="84" t="s">
        <v>1177</v>
      </c>
      <c r="M219" s="83" t="s">
        <v>441</v>
      </c>
      <c r="N219" s="83" t="s">
        <v>204</v>
      </c>
      <c r="O219" s="83" t="s">
        <v>435</v>
      </c>
      <c r="P219" s="83" t="s">
        <v>435</v>
      </c>
      <c r="Q219" s="83" t="s">
        <v>436</v>
      </c>
      <c r="R219" s="83" t="s">
        <v>945</v>
      </c>
      <c r="S219" s="83" t="s">
        <v>58</v>
      </c>
    </row>
    <row r="220" spans="2:19" ht="23" customHeight="1" x14ac:dyDescent="0.35">
      <c r="B220" s="80" t="s">
        <v>1061</v>
      </c>
      <c r="C220" s="81" t="s">
        <v>1062</v>
      </c>
      <c r="D220" s="81" t="s">
        <v>418</v>
      </c>
      <c r="E220" s="81" t="s">
        <v>1063</v>
      </c>
      <c r="F220" s="81" t="s">
        <v>1064</v>
      </c>
      <c r="G220" s="82">
        <v>10999.215390272779</v>
      </c>
      <c r="H220" s="82">
        <v>10999.215390272779</v>
      </c>
      <c r="I220" s="83" t="s">
        <v>820</v>
      </c>
      <c r="J220" s="83" t="s">
        <v>422</v>
      </c>
      <c r="K220" s="83" t="s">
        <v>423</v>
      </c>
      <c r="L220" s="84" t="s">
        <v>1177</v>
      </c>
      <c r="M220" s="83" t="s">
        <v>462</v>
      </c>
      <c r="N220" s="83" t="s">
        <v>303</v>
      </c>
      <c r="O220" s="83" t="s">
        <v>435</v>
      </c>
      <c r="P220" s="83" t="s">
        <v>435</v>
      </c>
      <c r="Q220" s="83" t="s">
        <v>526</v>
      </c>
      <c r="R220" s="83" t="s">
        <v>945</v>
      </c>
      <c r="S220" s="83" t="s">
        <v>58</v>
      </c>
    </row>
    <row r="221" spans="2:19" ht="23" customHeight="1" x14ac:dyDescent="0.35">
      <c r="B221" s="80" t="s">
        <v>1065</v>
      </c>
      <c r="C221" s="81" t="s">
        <v>1066</v>
      </c>
      <c r="D221" s="81" t="s">
        <v>418</v>
      </c>
      <c r="E221" s="81" t="s">
        <v>863</v>
      </c>
      <c r="F221" s="81" t="s">
        <v>863</v>
      </c>
      <c r="G221" s="82">
        <v>123642.87087607873</v>
      </c>
      <c r="H221" s="82">
        <v>123642.87087607873</v>
      </c>
      <c r="I221" s="83" t="s">
        <v>894</v>
      </c>
      <c r="J221" s="83" t="s">
        <v>422</v>
      </c>
      <c r="K221" s="83" t="s">
        <v>423</v>
      </c>
      <c r="L221" s="84" t="s">
        <v>1177</v>
      </c>
      <c r="M221" s="83" t="s">
        <v>441</v>
      </c>
      <c r="N221" s="83" t="s">
        <v>204</v>
      </c>
      <c r="O221" s="83" t="s">
        <v>435</v>
      </c>
      <c r="P221" s="83" t="s">
        <v>435</v>
      </c>
      <c r="Q221" s="83" t="s">
        <v>436</v>
      </c>
      <c r="R221" s="83" t="s">
        <v>1067</v>
      </c>
      <c r="S221" s="83" t="s">
        <v>58</v>
      </c>
    </row>
    <row r="222" spans="2:19" ht="23" customHeight="1" x14ac:dyDescent="0.35">
      <c r="B222" s="80" t="s">
        <v>1068</v>
      </c>
      <c r="C222" s="81" t="s">
        <v>1069</v>
      </c>
      <c r="D222" s="81" t="s">
        <v>418</v>
      </c>
      <c r="E222" s="81" t="s">
        <v>420</v>
      </c>
      <c r="F222" s="81" t="s">
        <v>898</v>
      </c>
      <c r="G222" s="82">
        <v>1999041.615465485</v>
      </c>
      <c r="H222" s="82">
        <v>1999041.615465485</v>
      </c>
      <c r="I222" s="83" t="s">
        <v>844</v>
      </c>
      <c r="J222" s="83" t="s">
        <v>422</v>
      </c>
      <c r="K222" s="83" t="s">
        <v>423</v>
      </c>
      <c r="L222" s="84" t="s">
        <v>61</v>
      </c>
      <c r="M222" s="83" t="s">
        <v>514</v>
      </c>
      <c r="N222" s="83" t="s">
        <v>515</v>
      </c>
      <c r="O222" s="83" t="s">
        <v>435</v>
      </c>
      <c r="P222" s="83" t="s">
        <v>435</v>
      </c>
      <c r="Q222" s="83" t="s">
        <v>436</v>
      </c>
      <c r="R222" s="83" t="s">
        <v>1070</v>
      </c>
      <c r="S222" s="83" t="s">
        <v>58</v>
      </c>
    </row>
    <row r="223" spans="2:19" ht="23" customHeight="1" x14ac:dyDescent="0.35">
      <c r="B223" s="80" t="s">
        <v>1071</v>
      </c>
      <c r="C223" s="81" t="s">
        <v>1072</v>
      </c>
      <c r="D223" s="81" t="s">
        <v>418</v>
      </c>
      <c r="E223" s="81" t="s">
        <v>1073</v>
      </c>
      <c r="F223" s="81" t="s">
        <v>1073</v>
      </c>
      <c r="G223" s="82">
        <v>28530.592454655165</v>
      </c>
      <c r="H223" s="82">
        <v>28530.592454655165</v>
      </c>
      <c r="I223" s="83" t="s">
        <v>820</v>
      </c>
      <c r="J223" s="83" t="s">
        <v>422</v>
      </c>
      <c r="K223" s="83" t="s">
        <v>423</v>
      </c>
      <c r="L223" s="84" t="s">
        <v>81</v>
      </c>
      <c r="M223" s="83" t="s">
        <v>488</v>
      </c>
      <c r="N223" s="83" t="s">
        <v>489</v>
      </c>
      <c r="O223" s="83" t="s">
        <v>435</v>
      </c>
      <c r="P223" s="83" t="s">
        <v>426</v>
      </c>
      <c r="Q223" s="83" t="s">
        <v>526</v>
      </c>
      <c r="R223" s="83" t="s">
        <v>945</v>
      </c>
      <c r="S223" s="83" t="s">
        <v>58</v>
      </c>
    </row>
    <row r="224" spans="2:19" ht="23" customHeight="1" x14ac:dyDescent="0.35">
      <c r="B224" s="80" t="s">
        <v>1074</v>
      </c>
      <c r="C224" s="81" t="s">
        <v>1075</v>
      </c>
      <c r="D224" s="81" t="s">
        <v>418</v>
      </c>
      <c r="E224" s="81" t="s">
        <v>1076</v>
      </c>
      <c r="F224" s="81" t="s">
        <v>1076</v>
      </c>
      <c r="G224" s="82">
        <v>16905.071520531867</v>
      </c>
      <c r="H224" s="82">
        <v>16905.071520531867</v>
      </c>
      <c r="I224" s="83" t="s">
        <v>820</v>
      </c>
      <c r="J224" s="83" t="s">
        <v>422</v>
      </c>
      <c r="K224" s="83" t="s">
        <v>423</v>
      </c>
      <c r="L224" s="84" t="s">
        <v>81</v>
      </c>
      <c r="M224" s="83" t="s">
        <v>488</v>
      </c>
      <c r="N224" s="83" t="s">
        <v>489</v>
      </c>
      <c r="O224" s="83" t="s">
        <v>435</v>
      </c>
      <c r="P224" s="83" t="s">
        <v>426</v>
      </c>
      <c r="Q224" s="83" t="s">
        <v>526</v>
      </c>
      <c r="R224" s="83" t="s">
        <v>945</v>
      </c>
      <c r="S224" s="83" t="s">
        <v>58</v>
      </c>
    </row>
    <row r="225" spans="2:19" ht="23" customHeight="1" x14ac:dyDescent="0.35">
      <c r="B225" s="80" t="s">
        <v>1077</v>
      </c>
      <c r="C225" s="81" t="s">
        <v>1078</v>
      </c>
      <c r="D225" s="81" t="s">
        <v>418</v>
      </c>
      <c r="E225" s="81" t="s">
        <v>1079</v>
      </c>
      <c r="F225" s="81" t="s">
        <v>1080</v>
      </c>
      <c r="G225" s="82">
        <v>165772.76019472739</v>
      </c>
      <c r="H225" s="82">
        <v>165772.76019472739</v>
      </c>
      <c r="I225" s="83" t="s">
        <v>907</v>
      </c>
      <c r="J225" s="83" t="s">
        <v>422</v>
      </c>
      <c r="K225" s="83" t="s">
        <v>423</v>
      </c>
      <c r="L225" s="84" t="s">
        <v>61</v>
      </c>
      <c r="M225" s="83" t="s">
        <v>433</v>
      </c>
      <c r="N225" s="83" t="s">
        <v>434</v>
      </c>
      <c r="O225" s="83" t="s">
        <v>426</v>
      </c>
      <c r="P225" s="83" t="s">
        <v>435</v>
      </c>
      <c r="Q225" s="83" t="s">
        <v>526</v>
      </c>
      <c r="R225" s="83" t="s">
        <v>945</v>
      </c>
      <c r="S225" s="83" t="s">
        <v>58</v>
      </c>
    </row>
    <row r="226" spans="2:19" ht="23" customHeight="1" x14ac:dyDescent="0.35">
      <c r="B226" s="80" t="s">
        <v>1081</v>
      </c>
      <c r="C226" s="81" t="s">
        <v>1082</v>
      </c>
      <c r="D226" s="81" t="s">
        <v>539</v>
      </c>
      <c r="E226" s="81" t="s">
        <v>1083</v>
      </c>
      <c r="F226" s="81" t="s">
        <v>1033</v>
      </c>
      <c r="G226" s="82">
        <v>131563.43318440035</v>
      </c>
      <c r="H226" s="82">
        <v>131563.43318440035</v>
      </c>
      <c r="I226" s="83" t="s">
        <v>820</v>
      </c>
      <c r="J226" s="83" t="s">
        <v>422</v>
      </c>
      <c r="K226" s="83" t="s">
        <v>423</v>
      </c>
      <c r="L226" s="84" t="s">
        <v>1177</v>
      </c>
      <c r="M226" s="83" t="s">
        <v>488</v>
      </c>
      <c r="N226" s="83" t="s">
        <v>425</v>
      </c>
      <c r="O226" s="83" t="s">
        <v>435</v>
      </c>
      <c r="P226" s="83" t="s">
        <v>426</v>
      </c>
      <c r="Q226" s="83" t="s">
        <v>436</v>
      </c>
      <c r="R226" s="83" t="s">
        <v>1084</v>
      </c>
      <c r="S226" s="83" t="s">
        <v>58</v>
      </c>
    </row>
    <row r="227" spans="2:19" ht="23" customHeight="1" x14ac:dyDescent="0.35">
      <c r="B227" s="80" t="s">
        <v>1085</v>
      </c>
      <c r="C227" s="81" t="s">
        <v>1086</v>
      </c>
      <c r="D227" s="81" t="s">
        <v>539</v>
      </c>
      <c r="E227" s="81" t="s">
        <v>1087</v>
      </c>
      <c r="F227" s="81" t="s">
        <v>1088</v>
      </c>
      <c r="G227" s="82">
        <v>1031262.9310907547</v>
      </c>
      <c r="H227" s="82">
        <v>1031262.9310907547</v>
      </c>
      <c r="I227" s="83" t="s">
        <v>576</v>
      </c>
      <c r="J227" s="83" t="s">
        <v>422</v>
      </c>
      <c r="K227" s="83" t="s">
        <v>423</v>
      </c>
      <c r="L227" s="84" t="s">
        <v>1177</v>
      </c>
      <c r="M227" s="83" t="s">
        <v>433</v>
      </c>
      <c r="N227" s="83" t="s">
        <v>520</v>
      </c>
      <c r="O227" s="83" t="s">
        <v>426</v>
      </c>
      <c r="P227" s="83" t="s">
        <v>435</v>
      </c>
      <c r="Q227" s="83" t="s">
        <v>436</v>
      </c>
      <c r="R227" s="83" t="s">
        <v>945</v>
      </c>
      <c r="S227" s="83" t="s">
        <v>58</v>
      </c>
    </row>
    <row r="228" spans="2:19" ht="23" customHeight="1" x14ac:dyDescent="0.35">
      <c r="B228" s="80" t="s">
        <v>1089</v>
      </c>
      <c r="C228" s="81" t="s">
        <v>1090</v>
      </c>
      <c r="D228" s="81" t="s">
        <v>539</v>
      </c>
      <c r="E228" s="81" t="s">
        <v>1091</v>
      </c>
      <c r="F228" s="81" t="s">
        <v>1091</v>
      </c>
      <c r="G228" s="82">
        <v>1996203.2131382318</v>
      </c>
      <c r="H228" s="82">
        <v>1996203.2131382318</v>
      </c>
      <c r="I228" s="83" t="s">
        <v>576</v>
      </c>
      <c r="J228" s="83" t="s">
        <v>422</v>
      </c>
      <c r="K228" s="83" t="s">
        <v>423</v>
      </c>
      <c r="L228" s="84" t="s">
        <v>61</v>
      </c>
      <c r="M228" s="83" t="s">
        <v>433</v>
      </c>
      <c r="N228" s="83" t="s">
        <v>650</v>
      </c>
      <c r="O228" s="83" t="s">
        <v>435</v>
      </c>
      <c r="P228" s="83" t="s">
        <v>435</v>
      </c>
      <c r="Q228" s="83" t="s">
        <v>436</v>
      </c>
      <c r="R228" s="83" t="s">
        <v>945</v>
      </c>
      <c r="S228" s="83" t="s">
        <v>58</v>
      </c>
    </row>
    <row r="229" spans="2:19" ht="23" customHeight="1" x14ac:dyDescent="0.35">
      <c r="B229" s="80" t="s">
        <v>1092</v>
      </c>
      <c r="C229" s="81" t="s">
        <v>1093</v>
      </c>
      <c r="D229" s="81" t="s">
        <v>539</v>
      </c>
      <c r="E229" s="81" t="s">
        <v>1052</v>
      </c>
      <c r="F229" s="81" t="s">
        <v>1052</v>
      </c>
      <c r="G229" s="82">
        <v>1409380.3565422462</v>
      </c>
      <c r="H229" s="82">
        <v>1409380.3565422462</v>
      </c>
      <c r="I229" s="83" t="s">
        <v>844</v>
      </c>
      <c r="J229" s="83" t="s">
        <v>422</v>
      </c>
      <c r="K229" s="83" t="s">
        <v>423</v>
      </c>
      <c r="L229" s="84" t="s">
        <v>61</v>
      </c>
      <c r="M229" s="83" t="s">
        <v>514</v>
      </c>
      <c r="N229" s="83" t="s">
        <v>515</v>
      </c>
      <c r="O229" s="83" t="s">
        <v>435</v>
      </c>
      <c r="P229" s="83" t="s">
        <v>435</v>
      </c>
      <c r="Q229" s="83" t="s">
        <v>436</v>
      </c>
      <c r="R229" s="83" t="s">
        <v>945</v>
      </c>
      <c r="S229" s="83" t="s">
        <v>58</v>
      </c>
    </row>
    <row r="230" spans="2:19" ht="23" customHeight="1" x14ac:dyDescent="0.35">
      <c r="B230" s="80" t="s">
        <v>1094</v>
      </c>
      <c r="C230" s="81" t="s">
        <v>1095</v>
      </c>
      <c r="D230" s="81" t="s">
        <v>539</v>
      </c>
      <c r="E230" s="81" t="s">
        <v>1052</v>
      </c>
      <c r="F230" s="81" t="s">
        <v>1052</v>
      </c>
      <c r="G230" s="82">
        <v>195956.27350210733</v>
      </c>
      <c r="H230" s="82">
        <v>195956.27350210733</v>
      </c>
      <c r="I230" s="83" t="s">
        <v>941</v>
      </c>
      <c r="J230" s="83" t="s">
        <v>422</v>
      </c>
      <c r="K230" s="83" t="s">
        <v>423</v>
      </c>
      <c r="L230" s="84" t="s">
        <v>1177</v>
      </c>
      <c r="M230" s="83" t="s">
        <v>441</v>
      </c>
      <c r="N230" s="83" t="s">
        <v>204</v>
      </c>
      <c r="O230" s="83" t="s">
        <v>435</v>
      </c>
      <c r="P230" s="83" t="s">
        <v>435</v>
      </c>
      <c r="Q230" s="83" t="s">
        <v>436</v>
      </c>
      <c r="R230" s="83" t="s">
        <v>1096</v>
      </c>
      <c r="S230" s="83" t="s">
        <v>58</v>
      </c>
    </row>
    <row r="231" spans="2:19" ht="23" customHeight="1" x14ac:dyDescent="0.35">
      <c r="B231" s="80" t="s">
        <v>1097</v>
      </c>
      <c r="C231" s="81" t="s">
        <v>1098</v>
      </c>
      <c r="D231" s="81" t="s">
        <v>539</v>
      </c>
      <c r="E231" s="81" t="s">
        <v>1099</v>
      </c>
      <c r="F231" s="81" t="s">
        <v>1099</v>
      </c>
      <c r="G231" s="82">
        <v>4350.9926261292112</v>
      </c>
      <c r="H231" s="82">
        <v>4350.9926261292112</v>
      </c>
      <c r="I231" s="83" t="s">
        <v>820</v>
      </c>
      <c r="J231" s="83" t="s">
        <v>422</v>
      </c>
      <c r="K231" s="83" t="s">
        <v>423</v>
      </c>
      <c r="L231" s="84" t="s">
        <v>81</v>
      </c>
      <c r="M231" s="83" t="s">
        <v>441</v>
      </c>
      <c r="N231" s="83" t="s">
        <v>204</v>
      </c>
      <c r="O231" s="83" t="s">
        <v>435</v>
      </c>
      <c r="P231" s="83" t="s">
        <v>435</v>
      </c>
      <c r="Q231" s="83" t="s">
        <v>526</v>
      </c>
      <c r="R231" s="83" t="s">
        <v>945</v>
      </c>
      <c r="S231" s="83" t="s">
        <v>58</v>
      </c>
    </row>
    <row r="232" spans="2:19" ht="23" customHeight="1" x14ac:dyDescent="0.35">
      <c r="B232" s="80" t="s">
        <v>1100</v>
      </c>
      <c r="C232" s="81" t="s">
        <v>1101</v>
      </c>
      <c r="D232" s="81" t="s">
        <v>539</v>
      </c>
      <c r="E232" s="81" t="s">
        <v>973</v>
      </c>
      <c r="F232" s="81" t="s">
        <v>973</v>
      </c>
      <c r="G232" s="82">
        <v>5960.9821725192869</v>
      </c>
      <c r="H232" s="82">
        <v>5960.9821725192869</v>
      </c>
      <c r="I232" s="83" t="s">
        <v>1102</v>
      </c>
      <c r="J232" s="83" t="s">
        <v>422</v>
      </c>
      <c r="K232" s="83" t="s">
        <v>423</v>
      </c>
      <c r="L232" s="84" t="s">
        <v>81</v>
      </c>
      <c r="M232" s="83" t="s">
        <v>479</v>
      </c>
      <c r="N232" s="83" t="s">
        <v>91</v>
      </c>
      <c r="O232" s="83" t="s">
        <v>435</v>
      </c>
      <c r="P232" s="83" t="s">
        <v>435</v>
      </c>
      <c r="Q232" s="83" t="s">
        <v>526</v>
      </c>
      <c r="R232" s="83" t="s">
        <v>945</v>
      </c>
      <c r="S232" s="83" t="s">
        <v>58</v>
      </c>
    </row>
    <row r="233" spans="2:19" ht="23" customHeight="1" x14ac:dyDescent="0.35">
      <c r="B233" s="80" t="s">
        <v>1103</v>
      </c>
      <c r="C233" s="81" t="s">
        <v>1104</v>
      </c>
      <c r="D233" s="81" t="s">
        <v>539</v>
      </c>
      <c r="E233" s="81" t="s">
        <v>1105</v>
      </c>
      <c r="F233" s="81" t="s">
        <v>1105</v>
      </c>
      <c r="G233" s="82">
        <v>2472.8574175215745</v>
      </c>
      <c r="H233" s="82">
        <v>2472.8574175215745</v>
      </c>
      <c r="I233" s="83" t="s">
        <v>1106</v>
      </c>
      <c r="J233" s="83" t="s">
        <v>422</v>
      </c>
      <c r="K233" s="83" t="s">
        <v>423</v>
      </c>
      <c r="L233" s="84" t="s">
        <v>1177</v>
      </c>
      <c r="M233" s="83" t="s">
        <v>468</v>
      </c>
      <c r="N233" s="83" t="s">
        <v>469</v>
      </c>
      <c r="O233" s="83" t="s">
        <v>435</v>
      </c>
      <c r="P233" s="83" t="s">
        <v>426</v>
      </c>
      <c r="Q233" s="83" t="s">
        <v>526</v>
      </c>
      <c r="R233" s="83" t="s">
        <v>1107</v>
      </c>
      <c r="S233" s="83" t="s">
        <v>58</v>
      </c>
    </row>
    <row r="234" spans="2:19" ht="23" customHeight="1" x14ac:dyDescent="0.35">
      <c r="B234" s="80" t="s">
        <v>1108</v>
      </c>
      <c r="C234" s="81" t="s">
        <v>1109</v>
      </c>
      <c r="D234" s="81" t="s">
        <v>539</v>
      </c>
      <c r="E234" s="81" t="s">
        <v>1110</v>
      </c>
      <c r="F234" s="81" t="s">
        <v>1111</v>
      </c>
      <c r="G234" s="82">
        <v>17181.742388444804</v>
      </c>
      <c r="H234" s="82">
        <v>17181.742388444804</v>
      </c>
      <c r="I234" s="83" t="s">
        <v>1102</v>
      </c>
      <c r="J234" s="83" t="s">
        <v>422</v>
      </c>
      <c r="K234" s="83" t="s">
        <v>423</v>
      </c>
      <c r="L234" s="84" t="s">
        <v>81</v>
      </c>
      <c r="M234" s="83" t="s">
        <v>488</v>
      </c>
      <c r="N234" s="83" t="s">
        <v>489</v>
      </c>
      <c r="O234" s="83" t="s">
        <v>435</v>
      </c>
      <c r="P234" s="83" t="s">
        <v>435</v>
      </c>
      <c r="Q234" s="83" t="s">
        <v>526</v>
      </c>
      <c r="R234" s="83" t="s">
        <v>1112</v>
      </c>
      <c r="S234" s="83" t="s">
        <v>58</v>
      </c>
    </row>
    <row r="235" spans="2:19" ht="23" customHeight="1" x14ac:dyDescent="0.35">
      <c r="B235" s="80" t="s">
        <v>1113</v>
      </c>
      <c r="C235" s="81" t="s">
        <v>1114</v>
      </c>
      <c r="D235" s="81" t="s">
        <v>539</v>
      </c>
      <c r="E235" s="81" t="s">
        <v>1110</v>
      </c>
      <c r="F235" s="81" t="s">
        <v>1115</v>
      </c>
      <c r="G235" s="82">
        <v>18087.400396928319</v>
      </c>
      <c r="H235" s="82">
        <v>18087.400396928319</v>
      </c>
      <c r="I235" s="83" t="s">
        <v>1102</v>
      </c>
      <c r="J235" s="83" t="s">
        <v>422</v>
      </c>
      <c r="K235" s="83" t="s">
        <v>423</v>
      </c>
      <c r="L235" s="84" t="s">
        <v>1177</v>
      </c>
      <c r="M235" s="83" t="s">
        <v>488</v>
      </c>
      <c r="N235" s="83" t="s">
        <v>489</v>
      </c>
      <c r="O235" s="83" t="s">
        <v>435</v>
      </c>
      <c r="P235" s="83" t="s">
        <v>435</v>
      </c>
      <c r="Q235" s="83" t="s">
        <v>526</v>
      </c>
      <c r="R235" s="83" t="s">
        <v>945</v>
      </c>
      <c r="S235" s="83" t="s">
        <v>58</v>
      </c>
    </row>
    <row r="236" spans="2:19" ht="23" customHeight="1" x14ac:dyDescent="0.35">
      <c r="B236" s="80" t="s">
        <v>1116</v>
      </c>
      <c r="C236" s="81" t="s">
        <v>1117</v>
      </c>
      <c r="D236" s="81" t="s">
        <v>539</v>
      </c>
      <c r="E236" s="81" t="s">
        <v>1118</v>
      </c>
      <c r="F236" s="81" t="s">
        <v>1118</v>
      </c>
      <c r="G236" s="82">
        <v>900.85798615769863</v>
      </c>
      <c r="H236" s="82">
        <v>900.85798615769863</v>
      </c>
      <c r="I236" s="83" t="s">
        <v>1119</v>
      </c>
      <c r="J236" s="83" t="s">
        <v>422</v>
      </c>
      <c r="K236" s="83" t="s">
        <v>423</v>
      </c>
      <c r="L236" s="84" t="s">
        <v>81</v>
      </c>
      <c r="M236" s="83" t="s">
        <v>479</v>
      </c>
      <c r="N236" s="83" t="s">
        <v>791</v>
      </c>
      <c r="O236" s="83" t="s">
        <v>435</v>
      </c>
      <c r="P236" s="83" t="s">
        <v>435</v>
      </c>
      <c r="Q236" s="83" t="s">
        <v>526</v>
      </c>
      <c r="R236" s="83" t="s">
        <v>945</v>
      </c>
      <c r="S236" s="83" t="s">
        <v>58</v>
      </c>
    </row>
    <row r="237" spans="2:19" ht="23" customHeight="1" x14ac:dyDescent="0.35">
      <c r="B237" s="80" t="s">
        <v>1120</v>
      </c>
      <c r="C237" s="81" t="s">
        <v>1121</v>
      </c>
      <c r="D237" s="81" t="s">
        <v>539</v>
      </c>
      <c r="E237" s="81" t="s">
        <v>1110</v>
      </c>
      <c r="F237" s="81" t="s">
        <v>1122</v>
      </c>
      <c r="G237" s="82">
        <v>15686.821769340375</v>
      </c>
      <c r="H237" s="82">
        <v>15686.821769340375</v>
      </c>
      <c r="I237" s="83" t="s">
        <v>1102</v>
      </c>
      <c r="J237" s="83" t="s">
        <v>422</v>
      </c>
      <c r="K237" s="83" t="s">
        <v>423</v>
      </c>
      <c r="L237" s="84" t="s">
        <v>81</v>
      </c>
      <c r="M237" s="83" t="s">
        <v>488</v>
      </c>
      <c r="N237" s="83" t="s">
        <v>489</v>
      </c>
      <c r="O237" s="83" t="s">
        <v>435</v>
      </c>
      <c r="P237" s="83" t="s">
        <v>435</v>
      </c>
      <c r="Q237" s="83" t="s">
        <v>526</v>
      </c>
      <c r="R237" s="83" t="s">
        <v>945</v>
      </c>
      <c r="S237" s="83" t="s">
        <v>58</v>
      </c>
    </row>
    <row r="238" spans="2:19" ht="23" customHeight="1" x14ac:dyDescent="0.35">
      <c r="B238" s="80" t="s">
        <v>1123</v>
      </c>
      <c r="C238" s="81" t="s">
        <v>1124</v>
      </c>
      <c r="D238" s="81" t="s">
        <v>418</v>
      </c>
      <c r="E238" s="81" t="s">
        <v>1125</v>
      </c>
      <c r="F238" s="81" t="s">
        <v>1126</v>
      </c>
      <c r="G238" s="82">
        <v>18221.342885430131</v>
      </c>
      <c r="H238" s="82">
        <v>18221.342885430131</v>
      </c>
      <c r="I238" s="83" t="s">
        <v>1119</v>
      </c>
      <c r="J238" s="83" t="s">
        <v>422</v>
      </c>
      <c r="K238" s="83" t="s">
        <v>423</v>
      </c>
      <c r="L238" s="84" t="s">
        <v>1177</v>
      </c>
      <c r="M238" s="83" t="s">
        <v>462</v>
      </c>
      <c r="N238" s="83" t="s">
        <v>303</v>
      </c>
      <c r="O238" s="83" t="s">
        <v>435</v>
      </c>
      <c r="P238" s="83" t="s">
        <v>435</v>
      </c>
      <c r="Q238" s="83" t="s">
        <v>526</v>
      </c>
      <c r="R238" s="83" t="s">
        <v>945</v>
      </c>
      <c r="S238" s="83" t="s">
        <v>58</v>
      </c>
    </row>
    <row r="239" spans="2:19" ht="23" customHeight="1" x14ac:dyDescent="0.35">
      <c r="B239" s="80" t="s">
        <v>1127</v>
      </c>
      <c r="C239" s="81" t="s">
        <v>1128</v>
      </c>
      <c r="D239" s="81" t="s">
        <v>539</v>
      </c>
      <c r="E239" s="81" t="s">
        <v>1129</v>
      </c>
      <c r="F239" s="81" t="s">
        <v>1130</v>
      </c>
      <c r="G239" s="82">
        <v>44381.376057478366</v>
      </c>
      <c r="H239" s="82">
        <v>44381.376057478366</v>
      </c>
      <c r="I239" s="83" t="s">
        <v>1102</v>
      </c>
      <c r="J239" s="83" t="s">
        <v>422</v>
      </c>
      <c r="K239" s="83" t="s">
        <v>423</v>
      </c>
      <c r="L239" s="84" t="s">
        <v>61</v>
      </c>
      <c r="M239" s="83" t="s">
        <v>433</v>
      </c>
      <c r="N239" s="83" t="s">
        <v>520</v>
      </c>
      <c r="O239" s="83" t="s">
        <v>426</v>
      </c>
      <c r="P239" s="83" t="s">
        <v>435</v>
      </c>
      <c r="Q239" s="83" t="s">
        <v>526</v>
      </c>
      <c r="R239" s="83" t="s">
        <v>58</v>
      </c>
      <c r="S239" s="83" t="s">
        <v>58</v>
      </c>
    </row>
    <row r="240" spans="2:19" ht="23" customHeight="1" x14ac:dyDescent="0.35">
      <c r="B240" s="80" t="s">
        <v>1131</v>
      </c>
      <c r="C240" s="81" t="s">
        <v>1132</v>
      </c>
      <c r="D240" s="81" t="s">
        <v>539</v>
      </c>
      <c r="E240" s="81" t="s">
        <v>1133</v>
      </c>
      <c r="F240" s="81" t="s">
        <v>1134</v>
      </c>
      <c r="G240" s="82">
        <v>923.50190926632081</v>
      </c>
      <c r="H240" s="82">
        <v>923.50190926632081</v>
      </c>
      <c r="I240" s="83" t="s">
        <v>1102</v>
      </c>
      <c r="J240" s="83" t="s">
        <v>422</v>
      </c>
      <c r="K240" s="83" t="s">
        <v>423</v>
      </c>
      <c r="L240" s="84" t="s">
        <v>1177</v>
      </c>
      <c r="M240" s="83" t="s">
        <v>462</v>
      </c>
      <c r="N240" s="83" t="s">
        <v>318</v>
      </c>
      <c r="O240" s="83" t="s">
        <v>435</v>
      </c>
      <c r="P240" s="83" t="s">
        <v>426</v>
      </c>
      <c r="Q240" s="83" t="s">
        <v>526</v>
      </c>
      <c r="R240" s="83" t="s">
        <v>58</v>
      </c>
      <c r="S240" s="83" t="s">
        <v>58</v>
      </c>
    </row>
    <row r="241" spans="2:19" ht="23" customHeight="1" x14ac:dyDescent="0.35">
      <c r="B241" s="80" t="s">
        <v>605</v>
      </c>
      <c r="C241" s="81" t="s">
        <v>606</v>
      </c>
      <c r="D241" s="81" t="s">
        <v>539</v>
      </c>
      <c r="E241" s="81" t="s">
        <v>1135</v>
      </c>
      <c r="F241" s="81" t="s">
        <v>1135</v>
      </c>
      <c r="G241" s="82">
        <v>30925.783754948749</v>
      </c>
      <c r="H241" s="82">
        <v>30925.783754948749</v>
      </c>
      <c r="I241" s="83" t="s">
        <v>1102</v>
      </c>
      <c r="J241" s="83" t="s">
        <v>422</v>
      </c>
      <c r="K241" s="83" t="s">
        <v>423</v>
      </c>
      <c r="L241" s="84" t="s">
        <v>1177</v>
      </c>
      <c r="M241" s="83" t="s">
        <v>433</v>
      </c>
      <c r="N241" s="83" t="s">
        <v>520</v>
      </c>
      <c r="O241" s="83" t="s">
        <v>435</v>
      </c>
      <c r="P241" s="83" t="s">
        <v>426</v>
      </c>
      <c r="Q241" s="83" t="s">
        <v>526</v>
      </c>
      <c r="R241" s="83" t="s">
        <v>58</v>
      </c>
      <c r="S241" s="83" t="s">
        <v>58</v>
      </c>
    </row>
    <row r="242" spans="2:19" ht="23" customHeight="1" x14ac:dyDescent="0.35">
      <c r="B242" s="80" t="s">
        <v>1136</v>
      </c>
      <c r="C242" s="81" t="s">
        <v>1137</v>
      </c>
      <c r="D242" s="81" t="s">
        <v>539</v>
      </c>
      <c r="E242" s="81" t="s">
        <v>1105</v>
      </c>
      <c r="F242" s="81" t="s">
        <v>1105</v>
      </c>
      <c r="G242" s="82">
        <v>18309.065636178562</v>
      </c>
      <c r="H242" s="82">
        <v>18309.065636178562</v>
      </c>
      <c r="I242" s="83" t="s">
        <v>1119</v>
      </c>
      <c r="J242" s="83" t="s">
        <v>422</v>
      </c>
      <c r="K242" s="83" t="s">
        <v>423</v>
      </c>
      <c r="L242" s="84" t="s">
        <v>1177</v>
      </c>
      <c r="M242" s="83" t="s">
        <v>441</v>
      </c>
      <c r="N242" s="83" t="s">
        <v>204</v>
      </c>
      <c r="O242" s="83" t="s">
        <v>435</v>
      </c>
      <c r="P242" s="83" t="s">
        <v>435</v>
      </c>
      <c r="Q242" s="83" t="s">
        <v>526</v>
      </c>
      <c r="R242" s="83" t="s">
        <v>58</v>
      </c>
      <c r="S242" s="83" t="s">
        <v>58</v>
      </c>
    </row>
    <row r="243" spans="2:19" ht="23" customHeight="1" x14ac:dyDescent="0.35">
      <c r="B243" s="80" t="s">
        <v>1138</v>
      </c>
      <c r="C243" s="81" t="s">
        <v>1139</v>
      </c>
      <c r="D243" s="81" t="s">
        <v>418</v>
      </c>
      <c r="E243" s="81" t="s">
        <v>981</v>
      </c>
      <c r="F243" s="81" t="s">
        <v>1140</v>
      </c>
      <c r="G243" s="82">
        <v>839213.9011746638</v>
      </c>
      <c r="H243" s="82">
        <v>839213.9011746638</v>
      </c>
      <c r="I243" s="83" t="s">
        <v>576</v>
      </c>
      <c r="J243" s="83" t="s">
        <v>422</v>
      </c>
      <c r="K243" s="83" t="s">
        <v>423</v>
      </c>
      <c r="L243" s="84" t="s">
        <v>61</v>
      </c>
      <c r="M243" s="83" t="s">
        <v>514</v>
      </c>
      <c r="N243" s="83" t="s">
        <v>515</v>
      </c>
      <c r="O243" s="83" t="s">
        <v>435</v>
      </c>
      <c r="P243" s="83" t="s">
        <v>426</v>
      </c>
      <c r="Q243" s="83" t="s">
        <v>436</v>
      </c>
      <c r="R243" s="83" t="s">
        <v>58</v>
      </c>
      <c r="S243" s="83" t="s">
        <v>58</v>
      </c>
    </row>
    <row r="244" spans="2:19" ht="23" customHeight="1" x14ac:dyDescent="0.35">
      <c r="B244" s="80" t="s">
        <v>1141</v>
      </c>
      <c r="C244" s="81" t="s">
        <v>1142</v>
      </c>
      <c r="D244" s="81" t="s">
        <v>539</v>
      </c>
      <c r="E244" s="81" t="s">
        <v>1143</v>
      </c>
      <c r="F244" s="81" t="s">
        <v>1143</v>
      </c>
      <c r="G244" s="82">
        <v>212652.11056056531</v>
      </c>
      <c r="H244" s="82">
        <v>212652.11056056531</v>
      </c>
      <c r="I244" s="83" t="s">
        <v>1102</v>
      </c>
      <c r="J244" s="83" t="s">
        <v>422</v>
      </c>
      <c r="K244" s="83" t="s">
        <v>423</v>
      </c>
      <c r="L244" s="84" t="s">
        <v>1177</v>
      </c>
      <c r="M244" s="83" t="s">
        <v>462</v>
      </c>
      <c r="N244" s="83" t="s">
        <v>318</v>
      </c>
      <c r="O244" s="83" t="s">
        <v>435</v>
      </c>
      <c r="P244" s="83" t="s">
        <v>426</v>
      </c>
      <c r="Q244" s="83" t="s">
        <v>526</v>
      </c>
      <c r="R244" s="83" t="s">
        <v>58</v>
      </c>
      <c r="S244" s="83" t="s">
        <v>58</v>
      </c>
    </row>
    <row r="245" spans="2:19" ht="23" customHeight="1" x14ac:dyDescent="0.35">
      <c r="B245" s="80" t="s">
        <v>1144</v>
      </c>
      <c r="C245" s="81" t="s">
        <v>1145</v>
      </c>
      <c r="D245" s="81" t="s">
        <v>539</v>
      </c>
      <c r="E245" s="81" t="s">
        <v>1135</v>
      </c>
      <c r="F245" s="81" t="s">
        <v>1135</v>
      </c>
      <c r="G245" s="82">
        <v>60867.094384287542</v>
      </c>
      <c r="H245" s="82">
        <v>60867.094384287542</v>
      </c>
      <c r="I245" s="83" t="s">
        <v>1102</v>
      </c>
      <c r="J245" s="83" t="s">
        <v>422</v>
      </c>
      <c r="K245" s="83" t="s">
        <v>423</v>
      </c>
      <c r="L245" s="84" t="s">
        <v>61</v>
      </c>
      <c r="M245" s="83" t="s">
        <v>433</v>
      </c>
      <c r="N245" s="83" t="s">
        <v>520</v>
      </c>
      <c r="O245" s="83" t="s">
        <v>435</v>
      </c>
      <c r="P245" s="83" t="s">
        <v>426</v>
      </c>
      <c r="Q245" s="83" t="s">
        <v>526</v>
      </c>
      <c r="R245" s="83" t="s">
        <v>58</v>
      </c>
      <c r="S245" s="83" t="s">
        <v>58</v>
      </c>
    </row>
    <row r="246" spans="2:19" ht="23" customHeight="1" x14ac:dyDescent="0.35">
      <c r="B246" s="80" t="s">
        <v>1146</v>
      </c>
      <c r="C246" s="81" t="s">
        <v>1147</v>
      </c>
      <c r="D246" s="81" t="s">
        <v>539</v>
      </c>
      <c r="E246" s="81" t="s">
        <v>1143</v>
      </c>
      <c r="F246" s="81" t="s">
        <v>1148</v>
      </c>
      <c r="G246" s="82">
        <v>290272.58438645303</v>
      </c>
      <c r="H246" s="82">
        <v>290272.58438645303</v>
      </c>
      <c r="I246" s="83" t="s">
        <v>1102</v>
      </c>
      <c r="J246" s="83" t="s">
        <v>422</v>
      </c>
      <c r="K246" s="83" t="s">
        <v>423</v>
      </c>
      <c r="L246" s="84" t="s">
        <v>1177</v>
      </c>
      <c r="M246" s="83" t="s">
        <v>468</v>
      </c>
      <c r="N246" s="83" t="s">
        <v>469</v>
      </c>
      <c r="O246" s="83" t="s">
        <v>435</v>
      </c>
      <c r="P246" s="83" t="s">
        <v>426</v>
      </c>
      <c r="Q246" s="83" t="s">
        <v>526</v>
      </c>
      <c r="R246" s="83" t="s">
        <v>58</v>
      </c>
      <c r="S246" s="83" t="s">
        <v>58</v>
      </c>
    </row>
    <row r="247" spans="2:19" ht="23" customHeight="1" x14ac:dyDescent="0.35">
      <c r="B247" s="80" t="s">
        <v>1149</v>
      </c>
      <c r="C247" s="81" t="s">
        <v>1150</v>
      </c>
      <c r="D247" s="81" t="s">
        <v>418</v>
      </c>
      <c r="E247" s="81" t="s">
        <v>1064</v>
      </c>
      <c r="F247" s="81" t="s">
        <v>1064</v>
      </c>
      <c r="G247" s="82">
        <v>394526.14509568235</v>
      </c>
      <c r="H247" s="82">
        <v>394526.14509568235</v>
      </c>
      <c r="I247" s="83" t="s">
        <v>903</v>
      </c>
      <c r="J247" s="83" t="s">
        <v>422</v>
      </c>
      <c r="K247" s="83" t="s">
        <v>423</v>
      </c>
      <c r="L247" s="84" t="s">
        <v>1177</v>
      </c>
      <c r="M247" s="83" t="s">
        <v>514</v>
      </c>
      <c r="N247" s="83" t="s">
        <v>515</v>
      </c>
      <c r="O247" s="83" t="s">
        <v>435</v>
      </c>
      <c r="P247" s="83" t="s">
        <v>426</v>
      </c>
      <c r="Q247" s="83" t="s">
        <v>436</v>
      </c>
      <c r="R247" s="83" t="s">
        <v>58</v>
      </c>
      <c r="S247" s="83" t="s">
        <v>58</v>
      </c>
    </row>
    <row r="248" spans="2:19" ht="23" customHeight="1" x14ac:dyDescent="0.35">
      <c r="B248" s="80" t="s">
        <v>1151</v>
      </c>
      <c r="C248" s="81" t="s">
        <v>1152</v>
      </c>
      <c r="D248" s="81" t="s">
        <v>539</v>
      </c>
      <c r="E248" s="81" t="s">
        <v>1153</v>
      </c>
      <c r="F248" s="81" t="s">
        <v>1154</v>
      </c>
      <c r="G248" s="82">
        <v>197104.460467153</v>
      </c>
      <c r="H248" s="82">
        <v>197104.460467153</v>
      </c>
      <c r="I248" s="83" t="s">
        <v>886</v>
      </c>
      <c r="J248" s="83" t="s">
        <v>422</v>
      </c>
      <c r="K248" s="83" t="s">
        <v>423</v>
      </c>
      <c r="L248" s="84" t="s">
        <v>61</v>
      </c>
      <c r="M248" s="83" t="s">
        <v>468</v>
      </c>
      <c r="N248" s="83" t="s">
        <v>469</v>
      </c>
      <c r="O248" s="83" t="s">
        <v>435</v>
      </c>
      <c r="P248" s="83" t="s">
        <v>435</v>
      </c>
      <c r="Q248" s="83" t="s">
        <v>436</v>
      </c>
      <c r="R248" s="83" t="s">
        <v>58</v>
      </c>
      <c r="S248" s="83" t="s">
        <v>58</v>
      </c>
    </row>
    <row r="249" spans="2:19" ht="23" customHeight="1" x14ac:dyDescent="0.35">
      <c r="B249" s="80" t="s">
        <v>1155</v>
      </c>
      <c r="C249" s="81" t="s">
        <v>1156</v>
      </c>
      <c r="D249" s="81" t="s">
        <v>539</v>
      </c>
      <c r="E249" s="81" t="s">
        <v>1157</v>
      </c>
      <c r="F249" s="81" t="s">
        <v>1158</v>
      </c>
      <c r="G249" s="82">
        <v>49969.299661859324</v>
      </c>
      <c r="H249" s="82">
        <v>49969.299661859324</v>
      </c>
      <c r="I249" s="83" t="s">
        <v>1119</v>
      </c>
      <c r="J249" s="83" t="s">
        <v>422</v>
      </c>
      <c r="K249" s="83" t="s">
        <v>423</v>
      </c>
      <c r="L249" s="84" t="s">
        <v>61</v>
      </c>
      <c r="M249" s="83" t="s">
        <v>468</v>
      </c>
      <c r="N249" s="83" t="s">
        <v>469</v>
      </c>
      <c r="O249" s="83" t="s">
        <v>435</v>
      </c>
      <c r="P249" s="83" t="s">
        <v>426</v>
      </c>
      <c r="Q249" s="83" t="s">
        <v>526</v>
      </c>
      <c r="R249" s="83" t="s">
        <v>58</v>
      </c>
      <c r="S249" s="83" t="s">
        <v>58</v>
      </c>
    </row>
    <row r="250" spans="2:19" ht="23" customHeight="1" x14ac:dyDescent="0.35">
      <c r="B250" s="80" t="s">
        <v>1159</v>
      </c>
      <c r="C250" s="81" t="s">
        <v>1160</v>
      </c>
      <c r="D250" s="81" t="s">
        <v>418</v>
      </c>
      <c r="E250" s="81" t="s">
        <v>1161</v>
      </c>
      <c r="F250" s="81" t="s">
        <v>1162</v>
      </c>
      <c r="G250" s="82">
        <v>848253.1520740469</v>
      </c>
      <c r="H250" s="82">
        <v>848253.1520740469</v>
      </c>
      <c r="I250" s="83" t="s">
        <v>1106</v>
      </c>
      <c r="J250" s="83" t="s">
        <v>422</v>
      </c>
      <c r="K250" s="83" t="s">
        <v>423</v>
      </c>
      <c r="L250" s="84" t="s">
        <v>81</v>
      </c>
      <c r="M250" s="83" t="s">
        <v>462</v>
      </c>
      <c r="N250" s="83" t="s">
        <v>303</v>
      </c>
      <c r="O250" s="83" t="s">
        <v>435</v>
      </c>
      <c r="P250" s="83" t="s">
        <v>435</v>
      </c>
      <c r="Q250" s="83" t="s">
        <v>526</v>
      </c>
      <c r="R250" s="83" t="s">
        <v>58</v>
      </c>
      <c r="S250" s="83" t="s">
        <v>58</v>
      </c>
    </row>
    <row r="251" spans="2:19" ht="23" customHeight="1" x14ac:dyDescent="0.35">
      <c r="B251" s="80" t="s">
        <v>1163</v>
      </c>
      <c r="C251" s="81" t="s">
        <v>1164</v>
      </c>
      <c r="D251" s="81" t="s">
        <v>418</v>
      </c>
      <c r="E251" s="81" t="s">
        <v>1165</v>
      </c>
      <c r="F251" s="81" t="s">
        <v>921</v>
      </c>
      <c r="G251" s="82">
        <v>5285.6796823178674</v>
      </c>
      <c r="H251" s="82">
        <v>5285.6796823178674</v>
      </c>
      <c r="I251" s="83" t="s">
        <v>1102</v>
      </c>
      <c r="J251" s="83" t="s">
        <v>422</v>
      </c>
      <c r="K251" s="83" t="s">
        <v>423</v>
      </c>
      <c r="L251" s="84" t="s">
        <v>61</v>
      </c>
      <c r="M251" s="83" t="s">
        <v>796</v>
      </c>
      <c r="N251" s="83" t="s">
        <v>797</v>
      </c>
      <c r="O251" s="83" t="s">
        <v>435</v>
      </c>
      <c r="P251" s="83" t="s">
        <v>435</v>
      </c>
      <c r="Q251" s="83" t="s">
        <v>526</v>
      </c>
      <c r="R251" s="83" t="s">
        <v>58</v>
      </c>
      <c r="S251" s="83" t="s">
        <v>58</v>
      </c>
    </row>
    <row r="252" spans="2:19" ht="23" customHeight="1" x14ac:dyDescent="0.35">
      <c r="B252" s="80" t="s">
        <v>1166</v>
      </c>
      <c r="C252" s="81" t="s">
        <v>1167</v>
      </c>
      <c r="D252" s="81" t="s">
        <v>539</v>
      </c>
      <c r="E252" s="81" t="s">
        <v>1168</v>
      </c>
      <c r="F252" s="81" t="s">
        <v>1168</v>
      </c>
      <c r="G252" s="82">
        <v>257325.05803927389</v>
      </c>
      <c r="H252" s="82">
        <v>257325.05803927389</v>
      </c>
      <c r="I252" s="83" t="s">
        <v>1102</v>
      </c>
      <c r="J252" s="83" t="s">
        <v>422</v>
      </c>
      <c r="K252" s="83" t="s">
        <v>423</v>
      </c>
      <c r="L252" s="84" t="s">
        <v>61</v>
      </c>
      <c r="M252" s="83" t="s">
        <v>433</v>
      </c>
      <c r="N252" s="83" t="s">
        <v>520</v>
      </c>
      <c r="O252" s="83" t="s">
        <v>435</v>
      </c>
      <c r="P252" s="83" t="s">
        <v>435</v>
      </c>
      <c r="Q252" s="83" t="s">
        <v>526</v>
      </c>
      <c r="R252" s="83" t="s">
        <v>58</v>
      </c>
      <c r="S252" s="83" t="s">
        <v>58</v>
      </c>
    </row>
    <row r="253" spans="2:19" ht="23" customHeight="1" x14ac:dyDescent="0.35">
      <c r="B253" s="80" t="s">
        <v>1169</v>
      </c>
      <c r="C253" s="81" t="s">
        <v>1170</v>
      </c>
      <c r="D253" s="81" t="s">
        <v>539</v>
      </c>
      <c r="E253" s="81" t="s">
        <v>1135</v>
      </c>
      <c r="F253" s="81" t="s">
        <v>1135</v>
      </c>
      <c r="G253" s="82">
        <v>4140.8001707139974</v>
      </c>
      <c r="H253" s="82">
        <v>4140.8001707139974</v>
      </c>
      <c r="I253" s="83" t="s">
        <v>1102</v>
      </c>
      <c r="J253" s="83" t="s">
        <v>422</v>
      </c>
      <c r="K253" s="83" t="s">
        <v>423</v>
      </c>
      <c r="L253" s="84" t="s">
        <v>1176</v>
      </c>
      <c r="M253" s="83" t="s">
        <v>462</v>
      </c>
      <c r="N253" s="83" t="s">
        <v>318</v>
      </c>
      <c r="O253" s="83" t="s">
        <v>435</v>
      </c>
      <c r="P253" s="83" t="s">
        <v>426</v>
      </c>
      <c r="Q253" s="83" t="s">
        <v>526</v>
      </c>
      <c r="R253" s="83" t="s">
        <v>58</v>
      </c>
      <c r="S253" s="83" t="s">
        <v>58</v>
      </c>
    </row>
    <row r="254" spans="2:19" ht="23" customHeight="1" x14ac:dyDescent="0.35">
      <c r="B254" s="80" t="s">
        <v>1171</v>
      </c>
      <c r="C254" s="81" t="s">
        <v>1172</v>
      </c>
      <c r="D254" s="81" t="s">
        <v>539</v>
      </c>
      <c r="E254" s="81" t="s">
        <v>1135</v>
      </c>
      <c r="F254" s="81" t="s">
        <v>1135</v>
      </c>
      <c r="G254" s="82">
        <v>1467.4688645230337</v>
      </c>
      <c r="H254" s="82">
        <v>1467.4688645230337</v>
      </c>
      <c r="I254" s="83" t="s">
        <v>1102</v>
      </c>
      <c r="J254" s="83" t="s">
        <v>422</v>
      </c>
      <c r="K254" s="83" t="s">
        <v>423</v>
      </c>
      <c r="L254" s="84" t="s">
        <v>81</v>
      </c>
      <c r="M254" s="83" t="s">
        <v>462</v>
      </c>
      <c r="N254" s="83" t="s">
        <v>318</v>
      </c>
      <c r="O254" s="83" t="s">
        <v>435</v>
      </c>
      <c r="P254" s="83" t="s">
        <v>426</v>
      </c>
      <c r="Q254" s="83" t="s">
        <v>526</v>
      </c>
      <c r="R254" s="83" t="s">
        <v>58</v>
      </c>
      <c r="S254" s="83" t="s">
        <v>58</v>
      </c>
    </row>
    <row r="255" spans="2:19" ht="23" customHeight="1" x14ac:dyDescent="0.35">
      <c r="B255" s="80" t="s">
        <v>1173</v>
      </c>
      <c r="C255" s="81" t="s">
        <v>1174</v>
      </c>
      <c r="D255" s="81" t="s">
        <v>418</v>
      </c>
      <c r="E255" s="81" t="s">
        <v>1161</v>
      </c>
      <c r="F255" s="81" t="s">
        <v>1175</v>
      </c>
      <c r="G255" s="82">
        <v>741632.81344583235</v>
      </c>
      <c r="H255" s="82">
        <v>741632.81344583235</v>
      </c>
      <c r="I255" s="83" t="s">
        <v>1106</v>
      </c>
      <c r="J255" s="83" t="s">
        <v>422</v>
      </c>
      <c r="K255" s="83" t="s">
        <v>423</v>
      </c>
      <c r="L255" s="84" t="s">
        <v>1177</v>
      </c>
      <c r="M255" s="83" t="s">
        <v>433</v>
      </c>
      <c r="N255" s="83" t="s">
        <v>520</v>
      </c>
      <c r="O255" s="83" t="s">
        <v>435</v>
      </c>
      <c r="P255" s="83" t="s">
        <v>435</v>
      </c>
      <c r="Q255" s="83" t="s">
        <v>526</v>
      </c>
      <c r="R255" s="83" t="s">
        <v>58</v>
      </c>
      <c r="S255" s="83" t="s">
        <v>58</v>
      </c>
    </row>
    <row r="256" spans="2:19" ht="23" customHeight="1" x14ac:dyDescent="0.35">
      <c r="B256" s="9"/>
      <c r="C256" s="9"/>
      <c r="D256" s="9"/>
      <c r="E256" s="9"/>
      <c r="F256" s="9"/>
      <c r="G256" s="6"/>
      <c r="H256" s="7"/>
      <c r="I256" s="9"/>
      <c r="J256" s="9"/>
      <c r="K256" s="9"/>
      <c r="L256" s="9"/>
      <c r="M256" s="9"/>
      <c r="N256" s="9"/>
      <c r="O256" s="9"/>
      <c r="P256" s="9"/>
      <c r="Q256" s="9"/>
      <c r="R256" s="9"/>
    </row>
    <row r="257" spans="2:13" x14ac:dyDescent="0.35">
      <c r="B257" s="85"/>
      <c r="C257" s="86"/>
      <c r="D257" s="86"/>
      <c r="E257" s="86"/>
      <c r="F257" s="86"/>
      <c r="G257" s="85"/>
      <c r="H257" s="85"/>
      <c r="M257" s="85"/>
    </row>
    <row r="258" spans="2:13" x14ac:dyDescent="0.35">
      <c r="B258" s="87" t="s">
        <v>19</v>
      </c>
      <c r="C258" s="86"/>
      <c r="D258" s="86"/>
      <c r="E258" s="86"/>
      <c r="F258" s="86"/>
      <c r="G258" s="85"/>
      <c r="H258" s="85"/>
      <c r="M258" s="85"/>
    </row>
    <row r="259" spans="2:13" ht="14" customHeight="1" x14ac:dyDescent="0.35">
      <c r="B259" s="18" t="s">
        <v>29</v>
      </c>
      <c r="C259" s="86"/>
      <c r="D259" s="86"/>
      <c r="E259" s="86"/>
      <c r="F259" s="86"/>
      <c r="G259" s="85"/>
      <c r="H259" s="85"/>
      <c r="M259" s="85"/>
    </row>
    <row r="260" spans="2:13" ht="14" customHeight="1" x14ac:dyDescent="0.35">
      <c r="B260" s="18" t="s">
        <v>30</v>
      </c>
      <c r="C260" s="86"/>
      <c r="D260" s="86"/>
      <c r="E260" s="86"/>
      <c r="F260" s="86"/>
      <c r="G260" s="85"/>
      <c r="H260" s="85"/>
      <c r="M260" s="85"/>
    </row>
    <row r="261" spans="2:13" ht="14" customHeight="1" x14ac:dyDescent="0.35">
      <c r="B261" s="18" t="s">
        <v>22</v>
      </c>
      <c r="C261" s="86"/>
      <c r="D261" s="86"/>
      <c r="E261" s="86"/>
      <c r="F261" s="86"/>
      <c r="G261" s="85"/>
      <c r="H261" s="85"/>
      <c r="M261" s="85"/>
    </row>
    <row r="262" spans="2:13" ht="14" customHeight="1" x14ac:dyDescent="0.35">
      <c r="B262" s="18" t="s">
        <v>23</v>
      </c>
      <c r="C262" s="86"/>
      <c r="D262" s="86"/>
      <c r="E262" s="86"/>
      <c r="F262" s="86"/>
      <c r="G262" s="85"/>
      <c r="H262" s="85"/>
      <c r="M262" s="85"/>
    </row>
    <row r="263" spans="2:13" ht="14" customHeight="1" x14ac:dyDescent="0.35">
      <c r="B263" s="18" t="s">
        <v>24</v>
      </c>
      <c r="C263" s="86"/>
      <c r="D263" s="86"/>
      <c r="E263" s="86"/>
      <c r="F263" s="86"/>
      <c r="G263" s="85"/>
      <c r="H263" s="85"/>
      <c r="M263" s="85"/>
    </row>
    <row r="264" spans="2:13" ht="14" customHeight="1" x14ac:dyDescent="0.35">
      <c r="B264" s="18" t="s">
        <v>31</v>
      </c>
      <c r="C264" s="86"/>
      <c r="D264" s="86"/>
      <c r="E264" s="86"/>
      <c r="F264" s="86"/>
      <c r="G264" s="85"/>
      <c r="H264" s="85"/>
      <c r="M264" s="85"/>
    </row>
    <row r="265" spans="2:13" x14ac:dyDescent="0.35">
      <c r="B265" s="85"/>
      <c r="C265" s="86"/>
      <c r="D265" s="86"/>
      <c r="E265" s="86"/>
      <c r="F265" s="86"/>
      <c r="G265" s="85"/>
      <c r="H265" s="85"/>
      <c r="M265" s="85"/>
    </row>
    <row r="266" spans="2:13" x14ac:dyDescent="0.35">
      <c r="B266" s="78" t="s">
        <v>26</v>
      </c>
      <c r="C266" s="78"/>
      <c r="D266" s="78"/>
      <c r="E266" s="78"/>
      <c r="F266" s="78"/>
      <c r="M266" s="78"/>
    </row>
    <row r="267" spans="2:13" ht="14" customHeight="1" x14ac:dyDescent="0.35">
      <c r="B267" s="18" t="s">
        <v>32</v>
      </c>
    </row>
    <row r="268" spans="2:13" ht="14" customHeight="1" x14ac:dyDescent="0.35"/>
    <row r="269" spans="2:13" x14ac:dyDescent="0.35"/>
    <row r="270" spans="2:13" x14ac:dyDescent="0.35"/>
    <row r="271" spans="2:13" x14ac:dyDescent="0.35"/>
    <row r="272" spans="2:13" ht="14" customHeight="1" x14ac:dyDescent="0.35">
      <c r="B272" s="88"/>
      <c r="C272" s="88"/>
      <c r="D272" s="88"/>
      <c r="E272" s="88"/>
      <c r="F272" s="88"/>
      <c r="M272" s="88"/>
    </row>
    <row r="273" spans="2:13" ht="14" customHeight="1" x14ac:dyDescent="0.35">
      <c r="B273" s="88"/>
      <c r="C273" s="88"/>
      <c r="D273" s="88"/>
      <c r="E273" s="88"/>
      <c r="F273" s="88"/>
      <c r="M273" s="88"/>
    </row>
    <row r="274" spans="2:13" ht="14" customHeight="1" x14ac:dyDescent="0.35">
      <c r="B274" s="88"/>
      <c r="C274" s="88"/>
      <c r="D274" s="88"/>
      <c r="E274" s="88"/>
      <c r="F274" s="88"/>
      <c r="M274" s="88"/>
    </row>
    <row r="275" spans="2:13" ht="14" customHeight="1" x14ac:dyDescent="0.35">
      <c r="B275" s="88"/>
      <c r="C275" s="88"/>
      <c r="D275" s="88"/>
      <c r="E275" s="88"/>
      <c r="F275" s="88"/>
      <c r="M275" s="88"/>
    </row>
    <row r="276" spans="2:13" ht="14" customHeight="1" x14ac:dyDescent="0.35">
      <c r="B276" s="88"/>
      <c r="C276" s="88"/>
      <c r="D276" s="88"/>
      <c r="E276" s="88"/>
      <c r="F276" s="88"/>
      <c r="M276" s="88"/>
    </row>
    <row r="277" spans="2:13" ht="14" customHeight="1" x14ac:dyDescent="0.35">
      <c r="B277" s="88"/>
      <c r="C277" s="88"/>
      <c r="D277" s="88"/>
      <c r="E277" s="88"/>
      <c r="F277" s="88"/>
      <c r="M277" s="88"/>
    </row>
    <row r="278" spans="2:13" ht="14" customHeight="1" x14ac:dyDescent="0.35">
      <c r="B278" s="88"/>
      <c r="C278" s="88"/>
      <c r="D278" s="88"/>
      <c r="E278" s="88"/>
      <c r="F278" s="88"/>
      <c r="M278" s="88"/>
    </row>
    <row r="279" spans="2:13" ht="14" customHeight="1" x14ac:dyDescent="0.35">
      <c r="B279" s="88"/>
      <c r="C279" s="88"/>
      <c r="D279" s="88"/>
      <c r="E279" s="88"/>
      <c r="F279" s="88"/>
      <c r="M279" s="88"/>
    </row>
    <row r="280" spans="2:13" ht="14" customHeight="1" x14ac:dyDescent="0.35">
      <c r="B280" s="88"/>
      <c r="C280" s="88"/>
      <c r="D280" s="88"/>
      <c r="E280" s="88"/>
      <c r="F280" s="88"/>
      <c r="M280" s="88"/>
    </row>
    <row r="281" spans="2:13" ht="14" customHeight="1" x14ac:dyDescent="0.35">
      <c r="B281" s="88"/>
      <c r="C281" s="88"/>
      <c r="D281" s="88"/>
      <c r="E281" s="88"/>
      <c r="F281" s="88"/>
      <c r="M281" s="88"/>
    </row>
    <row r="282" spans="2:13" ht="14" customHeight="1" x14ac:dyDescent="0.35">
      <c r="B282" s="88"/>
      <c r="C282" s="88"/>
      <c r="D282" s="88"/>
      <c r="E282" s="88"/>
      <c r="F282" s="88"/>
      <c r="M282" s="88"/>
    </row>
    <row r="283" spans="2:13" ht="14" customHeight="1" x14ac:dyDescent="0.35">
      <c r="B283" s="88"/>
      <c r="C283" s="88"/>
      <c r="D283" s="88"/>
      <c r="E283" s="88"/>
      <c r="F283" s="88"/>
      <c r="M283" s="88"/>
    </row>
    <row r="284" spans="2:13" ht="14" customHeight="1" x14ac:dyDescent="0.35">
      <c r="B284" s="88"/>
      <c r="C284" s="88"/>
      <c r="D284" s="88"/>
      <c r="E284" s="88"/>
      <c r="F284" s="88"/>
      <c r="M284" s="88"/>
    </row>
    <row r="285" spans="2:13" ht="14" customHeight="1" x14ac:dyDescent="0.35">
      <c r="B285" s="88"/>
      <c r="C285" s="88"/>
      <c r="D285" s="88"/>
      <c r="E285" s="88"/>
      <c r="F285" s="88"/>
      <c r="M285" s="88"/>
    </row>
    <row r="286" spans="2:13" ht="14" customHeight="1" x14ac:dyDescent="0.35">
      <c r="B286" s="88"/>
      <c r="C286" s="88"/>
      <c r="D286" s="88"/>
      <c r="E286" s="88"/>
      <c r="F286" s="88"/>
      <c r="M286" s="88"/>
    </row>
    <row r="287" spans="2:13" ht="14" customHeight="1" x14ac:dyDescent="0.35">
      <c r="B287" s="88"/>
      <c r="C287" s="88"/>
      <c r="D287" s="88"/>
      <c r="E287" s="88"/>
      <c r="F287" s="88"/>
      <c r="M287" s="88"/>
    </row>
    <row r="288" spans="2:13" ht="14" customHeight="1" x14ac:dyDescent="0.35">
      <c r="B288" s="88"/>
      <c r="C288" s="88"/>
      <c r="D288" s="88"/>
      <c r="E288" s="88"/>
      <c r="F288" s="88"/>
      <c r="M288" s="88"/>
    </row>
    <row r="289" spans="2:13" ht="14" customHeight="1" x14ac:dyDescent="0.35">
      <c r="B289" s="88"/>
      <c r="C289" s="88"/>
      <c r="D289" s="88"/>
      <c r="E289" s="88"/>
      <c r="F289" s="88"/>
      <c r="M289" s="88"/>
    </row>
    <row r="290" spans="2:13" ht="14" customHeight="1" x14ac:dyDescent="0.35">
      <c r="B290" s="88"/>
      <c r="C290" s="88"/>
      <c r="D290" s="88"/>
      <c r="E290" s="88"/>
      <c r="F290" s="88"/>
      <c r="M290" s="88"/>
    </row>
    <row r="291" spans="2:13" ht="14" customHeight="1" x14ac:dyDescent="0.35"/>
    <row r="292" spans="2:13" ht="14" customHeight="1" x14ac:dyDescent="0.35"/>
    <row r="293" spans="2:13" ht="14" customHeight="1" x14ac:dyDescent="0.35"/>
    <row r="294" spans="2:13" ht="14" customHeight="1" x14ac:dyDescent="0.35"/>
  </sheetData>
  <hyperlinks>
    <hyperlink ref="B5" location="'Index sheet'!A1" display="Back to index" xr:uid="{00000000-0004-0000-0200-000000000000}"/>
  </hyperlinks>
  <pageMargins left="0.7" right="0.7" top="0.75" bottom="0.75" header="0.3" footer="0.3"/>
  <ignoredErrors>
    <ignoredError sqref="B257:S294 B1:S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99"/>
  <sheetViews>
    <sheetView showGridLines="0" workbookViewId="0">
      <selection activeCell="A6" sqref="A6:XFD6"/>
    </sheetView>
  </sheetViews>
  <sheetFormatPr baseColWidth="10" defaultColWidth="8.54296875" defaultRowHeight="11.5" customHeight="1" x14ac:dyDescent="0.35"/>
  <cols>
    <col min="1" max="1" width="2.453125" style="18" customWidth="1"/>
    <col min="2" max="2" width="23.1796875" style="18" customWidth="1"/>
    <col min="3" max="3" width="16.81640625" style="18" customWidth="1"/>
    <col min="4" max="9" width="13.81640625" style="18" customWidth="1"/>
    <col min="10" max="10" width="20.453125" style="18" customWidth="1"/>
    <col min="11" max="11" width="8.54296875" style="18" customWidth="1"/>
    <col min="12" max="16384" width="8.54296875" style="18"/>
  </cols>
  <sheetData>
    <row r="1" spans="2:10" ht="15.5" customHeight="1" x14ac:dyDescent="0.35">
      <c r="B1" s="89" t="s">
        <v>33</v>
      </c>
      <c r="C1" s="89"/>
      <c r="D1" s="89"/>
      <c r="E1" s="90"/>
      <c r="F1" s="91"/>
      <c r="G1" s="91"/>
      <c r="H1" s="91"/>
      <c r="I1" s="91"/>
      <c r="J1" s="91"/>
    </row>
    <row r="2" spans="2:10" ht="15" customHeight="1" x14ac:dyDescent="0.35">
      <c r="B2" s="89" t="s">
        <v>34</v>
      </c>
      <c r="C2" s="89"/>
      <c r="D2" s="89"/>
      <c r="E2" s="89"/>
      <c r="F2" s="89"/>
      <c r="G2" s="89"/>
      <c r="H2" s="89"/>
      <c r="I2" s="89"/>
      <c r="J2" s="89"/>
    </row>
    <row r="3" spans="2:10" x14ac:dyDescent="0.35">
      <c r="B3" s="92"/>
      <c r="C3" s="92"/>
      <c r="D3" s="92"/>
      <c r="E3" s="92"/>
      <c r="F3" s="92"/>
      <c r="G3" s="92"/>
    </row>
    <row r="4" spans="2:10" x14ac:dyDescent="0.35">
      <c r="B4" s="85" t="s">
        <v>16</v>
      </c>
      <c r="C4" s="85"/>
      <c r="D4" s="77"/>
      <c r="E4" s="85"/>
      <c r="F4" s="85"/>
      <c r="G4" s="85"/>
      <c r="H4" s="85"/>
    </row>
    <row r="6" spans="2:10" s="78" customFormat="1" ht="37" customHeight="1" x14ac:dyDescent="0.35">
      <c r="B6" s="95" t="s">
        <v>1569</v>
      </c>
      <c r="C6" s="95" t="s">
        <v>1570</v>
      </c>
      <c r="D6" s="95" t="s">
        <v>45</v>
      </c>
      <c r="E6" s="95" t="s">
        <v>1591</v>
      </c>
      <c r="F6" s="95" t="s">
        <v>1576</v>
      </c>
      <c r="G6" s="95" t="s">
        <v>1592</v>
      </c>
      <c r="H6" s="95" t="s">
        <v>1574</v>
      </c>
      <c r="I6" s="95" t="s">
        <v>1580</v>
      </c>
      <c r="J6" s="96" t="s">
        <v>1581</v>
      </c>
    </row>
    <row r="7" spans="2:10" ht="13.5" customHeight="1" x14ac:dyDescent="0.35">
      <c r="B7" s="83" t="s">
        <v>269</v>
      </c>
      <c r="C7" s="83" t="s">
        <v>55</v>
      </c>
      <c r="D7" s="83" t="s">
        <v>272</v>
      </c>
      <c r="E7" s="83" t="s">
        <v>273</v>
      </c>
      <c r="F7" s="83" t="s">
        <v>81</v>
      </c>
      <c r="G7" s="93" t="s">
        <v>1178</v>
      </c>
      <c r="H7" s="94" t="s">
        <v>59</v>
      </c>
      <c r="I7" s="83" t="s">
        <v>275</v>
      </c>
      <c r="J7" s="83" t="s">
        <v>1179</v>
      </c>
    </row>
    <row r="8" spans="2:10" ht="13.5" customHeight="1" x14ac:dyDescent="0.35">
      <c r="B8" s="83" t="s">
        <v>217</v>
      </c>
      <c r="C8" s="83" t="s">
        <v>218</v>
      </c>
      <c r="D8" s="83" t="s">
        <v>219</v>
      </c>
      <c r="E8" s="83" t="s">
        <v>220</v>
      </c>
      <c r="F8" s="83" t="s">
        <v>61</v>
      </c>
      <c r="G8" s="93" t="s">
        <v>1180</v>
      </c>
      <c r="H8" s="94" t="s">
        <v>59</v>
      </c>
      <c r="I8" s="83" t="s">
        <v>221</v>
      </c>
      <c r="J8" s="83" t="s">
        <v>1181</v>
      </c>
    </row>
    <row r="9" spans="2:10" ht="13.5" customHeight="1" x14ac:dyDescent="0.35">
      <c r="B9" s="83" t="s">
        <v>55</v>
      </c>
      <c r="C9" s="83" t="s">
        <v>55</v>
      </c>
      <c r="D9" s="83" t="s">
        <v>71</v>
      </c>
      <c r="E9" s="83" t="s">
        <v>72</v>
      </c>
      <c r="F9" s="83" t="s">
        <v>61</v>
      </c>
      <c r="G9" s="93" t="s">
        <v>1182</v>
      </c>
      <c r="H9" s="94" t="s">
        <v>59</v>
      </c>
      <c r="I9" s="83" t="s">
        <v>73</v>
      </c>
      <c r="J9" s="83" t="s">
        <v>1183</v>
      </c>
    </row>
    <row r="10" spans="2:10" ht="13.5" customHeight="1" x14ac:dyDescent="0.35">
      <c r="B10" s="83" t="s">
        <v>347</v>
      </c>
      <c r="C10" s="83" t="s">
        <v>348</v>
      </c>
      <c r="D10" s="83" t="s">
        <v>358</v>
      </c>
      <c r="E10" s="83" t="s">
        <v>359</v>
      </c>
      <c r="F10" s="83" t="s">
        <v>61</v>
      </c>
      <c r="G10" s="93" t="s">
        <v>1184</v>
      </c>
      <c r="H10" s="94" t="s">
        <v>59</v>
      </c>
      <c r="I10" s="83" t="s">
        <v>360</v>
      </c>
      <c r="J10" s="83" t="s">
        <v>1185</v>
      </c>
    </row>
    <row r="11" spans="2:10" ht="13.5" customHeight="1" x14ac:dyDescent="0.35">
      <c r="B11" s="83" t="s">
        <v>114</v>
      </c>
      <c r="C11" s="83" t="s">
        <v>123</v>
      </c>
      <c r="D11" s="83" t="s">
        <v>163</v>
      </c>
      <c r="E11" s="83" t="s">
        <v>164</v>
      </c>
      <c r="F11" s="83" t="s">
        <v>61</v>
      </c>
      <c r="G11" s="93" t="s">
        <v>1186</v>
      </c>
      <c r="H11" s="94" t="s">
        <v>59</v>
      </c>
      <c r="I11" s="83" t="s">
        <v>166</v>
      </c>
      <c r="J11" s="83" t="s">
        <v>1187</v>
      </c>
    </row>
    <row r="12" spans="2:10" ht="13.5" customHeight="1" x14ac:dyDescent="0.35">
      <c r="B12" s="83" t="s">
        <v>269</v>
      </c>
      <c r="C12" s="83" t="s">
        <v>55</v>
      </c>
      <c r="D12" s="83" t="s">
        <v>280</v>
      </c>
      <c r="E12" s="83" t="s">
        <v>281</v>
      </c>
      <c r="F12" s="83" t="s">
        <v>81</v>
      </c>
      <c r="G12" s="93" t="s">
        <v>1188</v>
      </c>
      <c r="H12" s="94" t="s">
        <v>59</v>
      </c>
      <c r="I12" s="83" t="s">
        <v>282</v>
      </c>
      <c r="J12" s="83" t="s">
        <v>1189</v>
      </c>
    </row>
    <row r="13" spans="2:10" ht="13.5" customHeight="1" x14ac:dyDescent="0.35">
      <c r="B13" s="83" t="s">
        <v>223</v>
      </c>
      <c r="C13" s="83" t="s">
        <v>224</v>
      </c>
      <c r="D13" s="83" t="s">
        <v>241</v>
      </c>
      <c r="E13" s="83" t="s">
        <v>242</v>
      </c>
      <c r="F13" s="83" t="s">
        <v>81</v>
      </c>
      <c r="G13" s="93" t="s">
        <v>1190</v>
      </c>
      <c r="H13" s="94" t="s">
        <v>69</v>
      </c>
      <c r="I13" s="83" t="s">
        <v>243</v>
      </c>
      <c r="J13" s="83" t="s">
        <v>1191</v>
      </c>
    </row>
    <row r="14" spans="2:10" ht="13.5" customHeight="1" x14ac:dyDescent="0.35">
      <c r="B14" s="83" t="s">
        <v>114</v>
      </c>
      <c r="C14" s="83" t="s">
        <v>119</v>
      </c>
      <c r="D14" s="83" t="s">
        <v>136</v>
      </c>
      <c r="E14" s="83" t="s">
        <v>137</v>
      </c>
      <c r="F14" s="83" t="s">
        <v>61</v>
      </c>
      <c r="G14" s="93" t="s">
        <v>1192</v>
      </c>
      <c r="H14" s="94" t="s">
        <v>59</v>
      </c>
      <c r="I14" s="83" t="s">
        <v>138</v>
      </c>
      <c r="J14" s="83" t="s">
        <v>1193</v>
      </c>
    </row>
    <row r="15" spans="2:10" ht="13.5" customHeight="1" x14ac:dyDescent="0.35">
      <c r="B15" s="83" t="s">
        <v>114</v>
      </c>
      <c r="C15" s="83" t="s">
        <v>142</v>
      </c>
      <c r="D15" s="83" t="s">
        <v>143</v>
      </c>
      <c r="E15" s="83" t="s">
        <v>144</v>
      </c>
      <c r="F15" s="83" t="s">
        <v>61</v>
      </c>
      <c r="G15" s="93" t="s">
        <v>1194</v>
      </c>
      <c r="H15" s="94" t="s">
        <v>59</v>
      </c>
      <c r="I15" s="83" t="s">
        <v>145</v>
      </c>
      <c r="J15" s="83" t="s">
        <v>1195</v>
      </c>
    </row>
    <row r="16" spans="2:10" ht="13.5" customHeight="1" x14ac:dyDescent="0.35">
      <c r="B16" s="83" t="s">
        <v>114</v>
      </c>
      <c r="C16" s="83" t="s">
        <v>119</v>
      </c>
      <c r="D16" s="83" t="s">
        <v>139</v>
      </c>
      <c r="E16" s="83" t="s">
        <v>140</v>
      </c>
      <c r="F16" s="83" t="s">
        <v>61</v>
      </c>
      <c r="G16" s="93" t="s">
        <v>1196</v>
      </c>
      <c r="H16" s="94" t="s">
        <v>59</v>
      </c>
      <c r="I16" s="83" t="s">
        <v>141</v>
      </c>
      <c r="J16" s="83" t="s">
        <v>1197</v>
      </c>
    </row>
    <row r="17" spans="2:10" ht="13.5" customHeight="1" x14ac:dyDescent="0.35">
      <c r="B17" s="83" t="s">
        <v>269</v>
      </c>
      <c r="C17" s="83" t="s">
        <v>276</v>
      </c>
      <c r="D17" s="83" t="s">
        <v>277</v>
      </c>
      <c r="E17" s="83" t="s">
        <v>278</v>
      </c>
      <c r="F17" s="83" t="s">
        <v>81</v>
      </c>
      <c r="G17" s="93" t="s">
        <v>1198</v>
      </c>
      <c r="H17" s="94" t="s">
        <v>59</v>
      </c>
      <c r="I17" s="83" t="s">
        <v>279</v>
      </c>
      <c r="J17" s="83" t="s">
        <v>1199</v>
      </c>
    </row>
    <row r="18" spans="2:10" ht="13.5" customHeight="1" x14ac:dyDescent="0.35">
      <c r="B18" s="83" t="s">
        <v>114</v>
      </c>
      <c r="C18" s="83" t="s">
        <v>127</v>
      </c>
      <c r="D18" s="83" t="s">
        <v>128</v>
      </c>
      <c r="E18" s="83" t="s">
        <v>129</v>
      </c>
      <c r="F18" s="83" t="s">
        <v>61</v>
      </c>
      <c r="G18" s="93" t="s">
        <v>1200</v>
      </c>
      <c r="H18" s="94" t="s">
        <v>59</v>
      </c>
      <c r="I18" s="83" t="s">
        <v>130</v>
      </c>
      <c r="J18" s="83" t="s">
        <v>1201</v>
      </c>
    </row>
    <row r="19" spans="2:10" ht="13.5" customHeight="1" x14ac:dyDescent="0.35">
      <c r="B19" s="83" t="s">
        <v>170</v>
      </c>
      <c r="C19" s="83" t="s">
        <v>170</v>
      </c>
      <c r="D19" s="83" t="s">
        <v>181</v>
      </c>
      <c r="E19" s="83" t="s">
        <v>182</v>
      </c>
      <c r="F19" s="83" t="s">
        <v>81</v>
      </c>
      <c r="G19" s="93" t="s">
        <v>1202</v>
      </c>
      <c r="H19" s="94" t="s">
        <v>59</v>
      </c>
      <c r="I19" s="83" t="s">
        <v>183</v>
      </c>
      <c r="J19" s="83" t="s">
        <v>1203</v>
      </c>
    </row>
    <row r="20" spans="2:10" ht="13.5" customHeight="1" x14ac:dyDescent="0.35">
      <c r="B20" s="83" t="s">
        <v>170</v>
      </c>
      <c r="C20" s="83" t="s">
        <v>174</v>
      </c>
      <c r="D20" s="83" t="s">
        <v>175</v>
      </c>
      <c r="E20" s="83" t="s">
        <v>175</v>
      </c>
      <c r="F20" s="83" t="s">
        <v>81</v>
      </c>
      <c r="G20" s="93" t="s">
        <v>1204</v>
      </c>
      <c r="H20" s="94" t="s">
        <v>195</v>
      </c>
      <c r="I20" s="83" t="s">
        <v>176</v>
      </c>
      <c r="J20" s="83" t="s">
        <v>1205</v>
      </c>
    </row>
    <row r="21" spans="2:10" ht="13.5" customHeight="1" x14ac:dyDescent="0.35">
      <c r="B21" s="83" t="s">
        <v>223</v>
      </c>
      <c r="C21" s="83" t="s">
        <v>224</v>
      </c>
      <c r="D21" s="83" t="s">
        <v>225</v>
      </c>
      <c r="E21" s="83" t="s">
        <v>226</v>
      </c>
      <c r="F21" s="83" t="s">
        <v>94</v>
      </c>
      <c r="G21" s="93" t="s">
        <v>58</v>
      </c>
      <c r="H21" s="94" t="s">
        <v>58</v>
      </c>
      <c r="I21" s="83" t="s">
        <v>225</v>
      </c>
      <c r="J21" s="83" t="s">
        <v>1206</v>
      </c>
    </row>
    <row r="22" spans="2:10" ht="13.5" customHeight="1" x14ac:dyDescent="0.35">
      <c r="B22" s="83" t="s">
        <v>269</v>
      </c>
      <c r="C22" s="83" t="s">
        <v>270</v>
      </c>
      <c r="D22" s="83" t="s">
        <v>291</v>
      </c>
      <c r="E22" s="83" t="s">
        <v>292</v>
      </c>
      <c r="F22" s="83" t="s">
        <v>81</v>
      </c>
      <c r="G22" s="93" t="s">
        <v>1207</v>
      </c>
      <c r="H22" s="94" t="s">
        <v>59</v>
      </c>
      <c r="I22" s="83" t="s">
        <v>293</v>
      </c>
      <c r="J22" s="83" t="s">
        <v>1208</v>
      </c>
    </row>
    <row r="23" spans="2:10" ht="13.5" customHeight="1" x14ac:dyDescent="0.35">
      <c r="B23" s="83" t="s">
        <v>223</v>
      </c>
      <c r="C23" s="83" t="s">
        <v>224</v>
      </c>
      <c r="D23" s="83" t="s">
        <v>238</v>
      </c>
      <c r="E23" s="83" t="s">
        <v>239</v>
      </c>
      <c r="F23" s="83" t="s">
        <v>61</v>
      </c>
      <c r="G23" s="93" t="s">
        <v>1209</v>
      </c>
      <c r="H23" s="94" t="s">
        <v>59</v>
      </c>
      <c r="I23" s="83" t="s">
        <v>240</v>
      </c>
      <c r="J23" s="83" t="s">
        <v>1210</v>
      </c>
    </row>
    <row r="24" spans="2:10" ht="13.5" customHeight="1" x14ac:dyDescent="0.35">
      <c r="B24" s="83" t="s">
        <v>77</v>
      </c>
      <c r="C24" s="83" t="s">
        <v>78</v>
      </c>
      <c r="D24" s="83" t="s">
        <v>79</v>
      </c>
      <c r="E24" s="83" t="s">
        <v>80</v>
      </c>
      <c r="F24" s="83" t="s">
        <v>81</v>
      </c>
      <c r="G24" s="93" t="s">
        <v>1211</v>
      </c>
      <c r="H24" s="94" t="s">
        <v>69</v>
      </c>
      <c r="I24" s="83" t="s">
        <v>82</v>
      </c>
      <c r="J24" s="83" t="s">
        <v>1212</v>
      </c>
    </row>
    <row r="25" spans="2:10" ht="13.5" customHeight="1" x14ac:dyDescent="0.35">
      <c r="B25" s="83" t="s">
        <v>77</v>
      </c>
      <c r="C25" s="83" t="s">
        <v>78</v>
      </c>
      <c r="D25" s="83" t="s">
        <v>105</v>
      </c>
      <c r="E25" s="83" t="s">
        <v>106</v>
      </c>
      <c r="F25" s="83" t="s">
        <v>81</v>
      </c>
      <c r="G25" s="93" t="s">
        <v>1213</v>
      </c>
      <c r="H25" s="94" t="s">
        <v>59</v>
      </c>
      <c r="I25" s="83" t="s">
        <v>107</v>
      </c>
      <c r="J25" s="83" t="s">
        <v>1214</v>
      </c>
    </row>
    <row r="26" spans="2:10" ht="13.5" customHeight="1" x14ac:dyDescent="0.35">
      <c r="B26" s="83" t="s">
        <v>223</v>
      </c>
      <c r="C26" s="83" t="s">
        <v>224</v>
      </c>
      <c r="D26" s="83" t="s">
        <v>246</v>
      </c>
      <c r="E26" s="83" t="s">
        <v>247</v>
      </c>
      <c r="F26" s="83" t="s">
        <v>61</v>
      </c>
      <c r="G26" s="93" t="s">
        <v>1215</v>
      </c>
      <c r="H26" s="94" t="s">
        <v>195</v>
      </c>
      <c r="I26" s="83" t="s">
        <v>248</v>
      </c>
      <c r="J26" s="83" t="s">
        <v>1216</v>
      </c>
    </row>
    <row r="27" spans="2:10" ht="13.5" customHeight="1" x14ac:dyDescent="0.35">
      <c r="B27" s="83" t="s">
        <v>204</v>
      </c>
      <c r="C27" s="83" t="s">
        <v>207</v>
      </c>
      <c r="D27" s="83" t="s">
        <v>214</v>
      </c>
      <c r="E27" s="83" t="s">
        <v>215</v>
      </c>
      <c r="F27" s="83" t="s">
        <v>81</v>
      </c>
      <c r="G27" s="93" t="s">
        <v>1217</v>
      </c>
      <c r="H27" s="94" t="s">
        <v>59</v>
      </c>
      <c r="I27" s="83" t="s">
        <v>216</v>
      </c>
      <c r="J27" s="83" t="s">
        <v>1218</v>
      </c>
    </row>
    <row r="28" spans="2:10" ht="13.5" customHeight="1" x14ac:dyDescent="0.35">
      <c r="B28" s="83" t="s">
        <v>269</v>
      </c>
      <c r="C28" s="83" t="s">
        <v>55</v>
      </c>
      <c r="D28" s="83" t="s">
        <v>285</v>
      </c>
      <c r="E28" s="83" t="s">
        <v>286</v>
      </c>
      <c r="F28" s="83" t="s">
        <v>81</v>
      </c>
      <c r="G28" s="93" t="s">
        <v>58</v>
      </c>
      <c r="H28" s="94" t="s">
        <v>58</v>
      </c>
      <c r="I28" s="83" t="s">
        <v>285</v>
      </c>
      <c r="J28" s="83" t="s">
        <v>1219</v>
      </c>
    </row>
    <row r="29" spans="2:10" ht="13.5" customHeight="1" x14ac:dyDescent="0.35">
      <c r="B29" s="83" t="s">
        <v>223</v>
      </c>
      <c r="C29" s="83" t="s">
        <v>224</v>
      </c>
      <c r="D29" s="83" t="s">
        <v>227</v>
      </c>
      <c r="E29" s="83" t="s">
        <v>227</v>
      </c>
      <c r="F29" s="83" t="s">
        <v>61</v>
      </c>
      <c r="G29" s="93" t="s">
        <v>1220</v>
      </c>
      <c r="H29" s="94" t="s">
        <v>59</v>
      </c>
      <c r="I29" s="83" t="s">
        <v>228</v>
      </c>
      <c r="J29" s="83" t="s">
        <v>1221</v>
      </c>
    </row>
    <row r="30" spans="2:10" ht="13.5" customHeight="1" x14ac:dyDescent="0.35">
      <c r="B30" s="83" t="s">
        <v>114</v>
      </c>
      <c r="C30" s="83" t="s">
        <v>127</v>
      </c>
      <c r="D30" s="83" t="s">
        <v>155</v>
      </c>
      <c r="E30" s="83" t="s">
        <v>156</v>
      </c>
      <c r="F30" s="83" t="s">
        <v>61</v>
      </c>
      <c r="G30" s="93" t="s">
        <v>1222</v>
      </c>
      <c r="H30" s="94" t="s">
        <v>59</v>
      </c>
      <c r="I30" s="83" t="s">
        <v>157</v>
      </c>
      <c r="J30" s="83" t="s">
        <v>1223</v>
      </c>
    </row>
    <row r="31" spans="2:10" ht="13.5" customHeight="1" x14ac:dyDescent="0.35">
      <c r="B31" s="83" t="s">
        <v>94</v>
      </c>
      <c r="C31" s="83" t="s">
        <v>308</v>
      </c>
      <c r="D31" s="83" t="s">
        <v>311</v>
      </c>
      <c r="E31" s="83" t="s">
        <v>312</v>
      </c>
      <c r="F31" s="83" t="s">
        <v>94</v>
      </c>
      <c r="G31" s="93" t="s">
        <v>58</v>
      </c>
      <c r="H31" s="94" t="s">
        <v>58</v>
      </c>
      <c r="I31" s="83" t="s">
        <v>311</v>
      </c>
      <c r="J31" s="83" t="s">
        <v>1224</v>
      </c>
    </row>
    <row r="32" spans="2:10" ht="13.5" customHeight="1" x14ac:dyDescent="0.35">
      <c r="B32" s="83" t="s">
        <v>94</v>
      </c>
      <c r="C32" s="83" t="s">
        <v>308</v>
      </c>
      <c r="D32" s="83" t="s">
        <v>335</v>
      </c>
      <c r="E32" s="83" t="s">
        <v>336</v>
      </c>
      <c r="F32" s="83" t="s">
        <v>81</v>
      </c>
      <c r="G32" s="93" t="s">
        <v>1225</v>
      </c>
      <c r="H32" s="94" t="s">
        <v>59</v>
      </c>
      <c r="I32" s="83" t="s">
        <v>337</v>
      </c>
      <c r="J32" s="83" t="s">
        <v>1226</v>
      </c>
    </row>
    <row r="33" spans="2:10" ht="13.5" customHeight="1" x14ac:dyDescent="0.35">
      <c r="B33" s="83" t="s">
        <v>77</v>
      </c>
      <c r="C33" s="83" t="s">
        <v>85</v>
      </c>
      <c r="D33" s="83" t="s">
        <v>100</v>
      </c>
      <c r="E33" s="83" t="s">
        <v>101</v>
      </c>
      <c r="F33" s="83" t="s">
        <v>94</v>
      </c>
      <c r="G33" s="93" t="s">
        <v>58</v>
      </c>
      <c r="H33" s="94" t="s">
        <v>58</v>
      </c>
      <c r="I33" s="83" t="s">
        <v>100</v>
      </c>
      <c r="J33" s="83" t="s">
        <v>1227</v>
      </c>
    </row>
    <row r="34" spans="2:10" ht="13.5" customHeight="1" x14ac:dyDescent="0.35">
      <c r="B34" s="83" t="s">
        <v>269</v>
      </c>
      <c r="C34" s="83" t="s">
        <v>294</v>
      </c>
      <c r="D34" s="83" t="s">
        <v>295</v>
      </c>
      <c r="E34" s="83" t="s">
        <v>296</v>
      </c>
      <c r="F34" s="83" t="s">
        <v>81</v>
      </c>
      <c r="G34" s="93" t="s">
        <v>1228</v>
      </c>
      <c r="H34" s="94" t="s">
        <v>59</v>
      </c>
      <c r="I34" s="83" t="s">
        <v>297</v>
      </c>
      <c r="J34" s="83" t="s">
        <v>1229</v>
      </c>
    </row>
    <row r="35" spans="2:10" ht="13.5" customHeight="1" x14ac:dyDescent="0.35">
      <c r="B35" s="83" t="s">
        <v>94</v>
      </c>
      <c r="C35" s="83" t="s">
        <v>308</v>
      </c>
      <c r="D35" s="83" t="s">
        <v>344</v>
      </c>
      <c r="E35" s="83" t="s">
        <v>345</v>
      </c>
      <c r="F35" s="83" t="s">
        <v>81</v>
      </c>
      <c r="G35" s="93" t="s">
        <v>1230</v>
      </c>
      <c r="H35" s="94" t="s">
        <v>59</v>
      </c>
      <c r="I35" s="83" t="s">
        <v>346</v>
      </c>
      <c r="J35" s="83" t="s">
        <v>1231</v>
      </c>
    </row>
    <row r="36" spans="2:10" ht="13.5" customHeight="1" x14ac:dyDescent="0.35">
      <c r="B36" s="83" t="s">
        <v>223</v>
      </c>
      <c r="C36" s="83" t="s">
        <v>224</v>
      </c>
      <c r="D36" s="83" t="s">
        <v>231</v>
      </c>
      <c r="E36" s="83" t="s">
        <v>232</v>
      </c>
      <c r="F36" s="83" t="s">
        <v>61</v>
      </c>
      <c r="G36" s="93" t="s">
        <v>1232</v>
      </c>
      <c r="H36" s="94" t="s">
        <v>59</v>
      </c>
      <c r="I36" s="83" t="s">
        <v>233</v>
      </c>
      <c r="J36" s="83" t="s">
        <v>1233</v>
      </c>
    </row>
    <row r="37" spans="2:10" ht="13.5" customHeight="1" x14ac:dyDescent="0.35">
      <c r="B37" s="83" t="s">
        <v>114</v>
      </c>
      <c r="C37" s="83" t="s">
        <v>127</v>
      </c>
      <c r="D37" s="83" t="s">
        <v>133</v>
      </c>
      <c r="E37" s="83" t="s">
        <v>134</v>
      </c>
      <c r="F37" s="83" t="s">
        <v>61</v>
      </c>
      <c r="G37" s="93" t="s">
        <v>1234</v>
      </c>
      <c r="H37" s="94" t="s">
        <v>59</v>
      </c>
      <c r="I37" s="83" t="s">
        <v>135</v>
      </c>
      <c r="J37" s="83" t="s">
        <v>1235</v>
      </c>
    </row>
    <row r="38" spans="2:10" ht="13.5" customHeight="1" x14ac:dyDescent="0.35">
      <c r="B38" s="83" t="s">
        <v>251</v>
      </c>
      <c r="C38" s="83" t="s">
        <v>251</v>
      </c>
      <c r="D38" s="83" t="s">
        <v>260</v>
      </c>
      <c r="E38" s="83" t="s">
        <v>261</v>
      </c>
      <c r="F38" s="83" t="s">
        <v>94</v>
      </c>
      <c r="G38" s="93" t="s">
        <v>58</v>
      </c>
      <c r="H38" s="94" t="s">
        <v>58</v>
      </c>
      <c r="I38" s="83" t="s">
        <v>260</v>
      </c>
      <c r="J38" s="83" t="s">
        <v>1236</v>
      </c>
    </row>
    <row r="39" spans="2:10" ht="13.5" customHeight="1" x14ac:dyDescent="0.35">
      <c r="B39" s="83" t="s">
        <v>170</v>
      </c>
      <c r="C39" s="83" t="s">
        <v>170</v>
      </c>
      <c r="D39" s="83" t="s">
        <v>186</v>
      </c>
      <c r="E39" s="83" t="s">
        <v>187</v>
      </c>
      <c r="F39" s="83" t="s">
        <v>81</v>
      </c>
      <c r="G39" s="93" t="s">
        <v>58</v>
      </c>
      <c r="H39" s="94" t="s">
        <v>58</v>
      </c>
      <c r="I39" s="83" t="s">
        <v>186</v>
      </c>
      <c r="J39" s="83" t="s">
        <v>1237</v>
      </c>
    </row>
    <row r="40" spans="2:10" ht="13.5" customHeight="1" x14ac:dyDescent="0.35">
      <c r="B40" s="83" t="s">
        <v>55</v>
      </c>
      <c r="C40" s="83" t="s">
        <v>55</v>
      </c>
      <c r="D40" s="83" t="s">
        <v>64</v>
      </c>
      <c r="E40" s="83" t="s">
        <v>65</v>
      </c>
      <c r="F40" s="83" t="s">
        <v>61</v>
      </c>
      <c r="G40" s="93" t="s">
        <v>58</v>
      </c>
      <c r="H40" s="94" t="s">
        <v>59</v>
      </c>
      <c r="I40" s="83" t="s">
        <v>66</v>
      </c>
      <c r="J40" s="83" t="s">
        <v>1238</v>
      </c>
    </row>
    <row r="41" spans="2:10" ht="13.5" customHeight="1" x14ac:dyDescent="0.35">
      <c r="B41" s="83" t="s">
        <v>170</v>
      </c>
      <c r="C41" s="83" t="s">
        <v>170</v>
      </c>
      <c r="D41" s="83" t="s">
        <v>190</v>
      </c>
      <c r="E41" s="83" t="s">
        <v>191</v>
      </c>
      <c r="F41" s="83" t="s">
        <v>61</v>
      </c>
      <c r="G41" s="93" t="s">
        <v>1239</v>
      </c>
      <c r="H41" s="94" t="s">
        <v>59</v>
      </c>
      <c r="I41" s="83" t="s">
        <v>192</v>
      </c>
      <c r="J41" s="83" t="s">
        <v>1240</v>
      </c>
    </row>
    <row r="42" spans="2:10" ht="13.5" customHeight="1" x14ac:dyDescent="0.35">
      <c r="B42" s="83" t="s">
        <v>269</v>
      </c>
      <c r="C42" s="83" t="s">
        <v>287</v>
      </c>
      <c r="D42" s="83" t="s">
        <v>288</v>
      </c>
      <c r="E42" s="83" t="s">
        <v>289</v>
      </c>
      <c r="F42" s="83" t="s">
        <v>81</v>
      </c>
      <c r="G42" s="93" t="s">
        <v>1241</v>
      </c>
      <c r="H42" s="94" t="s">
        <v>59</v>
      </c>
      <c r="I42" s="83" t="s">
        <v>290</v>
      </c>
      <c r="J42" s="83" t="s">
        <v>1242</v>
      </c>
    </row>
    <row r="43" spans="2:10" ht="13.5" customHeight="1" x14ac:dyDescent="0.35">
      <c r="B43" s="83" t="s">
        <v>114</v>
      </c>
      <c r="C43" s="83" t="s">
        <v>115</v>
      </c>
      <c r="D43" s="83" t="s">
        <v>116</v>
      </c>
      <c r="E43" s="83" t="s">
        <v>117</v>
      </c>
      <c r="F43" s="83" t="s">
        <v>61</v>
      </c>
      <c r="G43" s="93" t="s">
        <v>1243</v>
      </c>
      <c r="H43" s="94" t="s">
        <v>69</v>
      </c>
      <c r="I43" s="83" t="s">
        <v>118</v>
      </c>
      <c r="J43" s="83" t="s">
        <v>1244</v>
      </c>
    </row>
    <row r="44" spans="2:10" ht="13.5" customHeight="1" x14ac:dyDescent="0.35">
      <c r="B44" s="83" t="s">
        <v>204</v>
      </c>
      <c r="C44" s="83" t="s">
        <v>207</v>
      </c>
      <c r="D44" s="83" t="s">
        <v>208</v>
      </c>
      <c r="E44" s="83" t="s">
        <v>209</v>
      </c>
      <c r="F44" s="83" t="s">
        <v>81</v>
      </c>
      <c r="G44" s="93" t="s">
        <v>1245</v>
      </c>
      <c r="H44" s="94" t="s">
        <v>59</v>
      </c>
      <c r="I44" s="83" t="s">
        <v>210</v>
      </c>
      <c r="J44" s="83" t="s">
        <v>1246</v>
      </c>
    </row>
    <row r="45" spans="2:10" ht="13.5" customHeight="1" x14ac:dyDescent="0.35">
      <c r="B45" s="83" t="s">
        <v>347</v>
      </c>
      <c r="C45" s="83" t="s">
        <v>348</v>
      </c>
      <c r="D45" s="83" t="s">
        <v>349</v>
      </c>
      <c r="E45" s="83" t="s">
        <v>350</v>
      </c>
      <c r="F45" s="83" t="s">
        <v>61</v>
      </c>
      <c r="G45" s="93" t="s">
        <v>1247</v>
      </c>
      <c r="H45" s="94" t="s">
        <v>59</v>
      </c>
      <c r="I45" s="83" t="s">
        <v>351</v>
      </c>
      <c r="J45" s="83" t="s">
        <v>1248</v>
      </c>
    </row>
    <row r="46" spans="2:10" ht="13.5" customHeight="1" x14ac:dyDescent="0.35">
      <c r="B46" s="83" t="s">
        <v>269</v>
      </c>
      <c r="C46" s="83" t="s">
        <v>270</v>
      </c>
      <c r="D46" s="83" t="s">
        <v>300</v>
      </c>
      <c r="E46" s="83" t="s">
        <v>301</v>
      </c>
      <c r="F46" s="83" t="s">
        <v>81</v>
      </c>
      <c r="G46" s="93" t="s">
        <v>1249</v>
      </c>
      <c r="H46" s="94" t="s">
        <v>59</v>
      </c>
      <c r="I46" s="83" t="s">
        <v>302</v>
      </c>
      <c r="J46" s="83" t="s">
        <v>1250</v>
      </c>
    </row>
    <row r="47" spans="2:10" ht="13.5" customHeight="1" x14ac:dyDescent="0.35">
      <c r="B47" s="83" t="s">
        <v>94</v>
      </c>
      <c r="C47" s="83" t="s">
        <v>308</v>
      </c>
      <c r="D47" s="83" t="s">
        <v>338</v>
      </c>
      <c r="E47" s="83" t="s">
        <v>339</v>
      </c>
      <c r="F47" s="83" t="s">
        <v>94</v>
      </c>
      <c r="G47" s="93" t="s">
        <v>58</v>
      </c>
      <c r="H47" s="94" t="s">
        <v>58</v>
      </c>
      <c r="I47" s="83" t="s">
        <v>338</v>
      </c>
      <c r="J47" s="83" t="s">
        <v>1251</v>
      </c>
    </row>
    <row r="48" spans="2:10" ht="13.5" customHeight="1" x14ac:dyDescent="0.35">
      <c r="B48" s="83" t="s">
        <v>114</v>
      </c>
      <c r="C48" s="83" t="s">
        <v>123</v>
      </c>
      <c r="D48" s="83" t="s">
        <v>124</v>
      </c>
      <c r="E48" s="83" t="s">
        <v>125</v>
      </c>
      <c r="F48" s="83" t="s">
        <v>61</v>
      </c>
      <c r="G48" s="93" t="s">
        <v>1252</v>
      </c>
      <c r="H48" s="94" t="s">
        <v>69</v>
      </c>
      <c r="I48" s="83" t="s">
        <v>126</v>
      </c>
      <c r="J48" s="83" t="s">
        <v>1253</v>
      </c>
    </row>
    <row r="49" spans="2:10" ht="13.5" customHeight="1" x14ac:dyDescent="0.35">
      <c r="B49" s="83" t="s">
        <v>170</v>
      </c>
      <c r="C49" s="83" t="s">
        <v>170</v>
      </c>
      <c r="D49" s="83" t="s">
        <v>196</v>
      </c>
      <c r="E49" s="83" t="s">
        <v>197</v>
      </c>
      <c r="F49" s="83" t="s">
        <v>81</v>
      </c>
      <c r="G49" s="93" t="s">
        <v>1254</v>
      </c>
      <c r="H49" s="94" t="s">
        <v>59</v>
      </c>
      <c r="I49" s="83" t="s">
        <v>198</v>
      </c>
      <c r="J49" s="83" t="s">
        <v>1255</v>
      </c>
    </row>
    <row r="50" spans="2:10" ht="13.5" customHeight="1" x14ac:dyDescent="0.35">
      <c r="B50" s="83" t="s">
        <v>77</v>
      </c>
      <c r="C50" s="83" t="s">
        <v>85</v>
      </c>
      <c r="D50" s="83" t="s">
        <v>108</v>
      </c>
      <c r="E50" s="83" t="s">
        <v>109</v>
      </c>
      <c r="F50" s="83" t="s">
        <v>94</v>
      </c>
      <c r="G50" s="93" t="s">
        <v>58</v>
      </c>
      <c r="H50" s="94" t="s">
        <v>58</v>
      </c>
      <c r="I50" s="83" t="s">
        <v>108</v>
      </c>
      <c r="J50" s="83" t="s">
        <v>1256</v>
      </c>
    </row>
    <row r="51" spans="2:10" ht="13.5" customHeight="1" x14ac:dyDescent="0.35">
      <c r="B51" s="83" t="s">
        <v>94</v>
      </c>
      <c r="C51" s="83" t="s">
        <v>308</v>
      </c>
      <c r="D51" s="83" t="s">
        <v>313</v>
      </c>
      <c r="E51" s="83" t="s">
        <v>314</v>
      </c>
      <c r="F51" s="83" t="s">
        <v>81</v>
      </c>
      <c r="G51" s="93" t="s">
        <v>1257</v>
      </c>
      <c r="H51" s="94" t="s">
        <v>59</v>
      </c>
      <c r="I51" s="83" t="s">
        <v>315</v>
      </c>
      <c r="J51" s="83" t="s">
        <v>1258</v>
      </c>
    </row>
    <row r="52" spans="2:10" ht="13.5" customHeight="1" x14ac:dyDescent="0.35">
      <c r="B52" s="83" t="s">
        <v>269</v>
      </c>
      <c r="C52" s="83" t="s">
        <v>270</v>
      </c>
      <c r="D52" s="83" t="s">
        <v>298</v>
      </c>
      <c r="E52" s="83" t="s">
        <v>299</v>
      </c>
      <c r="F52" s="83" t="s">
        <v>94</v>
      </c>
      <c r="G52" s="93" t="s">
        <v>58</v>
      </c>
      <c r="H52" s="94" t="s">
        <v>58</v>
      </c>
      <c r="I52" s="83" t="s">
        <v>298</v>
      </c>
      <c r="J52" s="83" t="s">
        <v>1259</v>
      </c>
    </row>
    <row r="53" spans="2:10" ht="13.5" customHeight="1" x14ac:dyDescent="0.35">
      <c r="B53" s="83" t="s">
        <v>347</v>
      </c>
      <c r="C53" s="83" t="s">
        <v>348</v>
      </c>
      <c r="D53" s="83" t="s">
        <v>354</v>
      </c>
      <c r="E53" s="83" t="s">
        <v>355</v>
      </c>
      <c r="F53" s="83" t="s">
        <v>61</v>
      </c>
      <c r="G53" s="93" t="s">
        <v>1260</v>
      </c>
      <c r="H53" s="94" t="s">
        <v>58</v>
      </c>
      <c r="I53" s="83" t="s">
        <v>354</v>
      </c>
      <c r="J53" s="83" t="s">
        <v>58</v>
      </c>
    </row>
    <row r="54" spans="2:10" ht="13.5" customHeight="1" x14ac:dyDescent="0.35">
      <c r="B54" s="83" t="s">
        <v>114</v>
      </c>
      <c r="C54" s="83" t="s">
        <v>119</v>
      </c>
      <c r="D54" s="83" t="s">
        <v>131</v>
      </c>
      <c r="E54" s="83" t="s">
        <v>132</v>
      </c>
      <c r="F54" s="83" t="s">
        <v>81</v>
      </c>
      <c r="G54" s="93" t="s">
        <v>1260</v>
      </c>
      <c r="H54" s="94" t="s">
        <v>58</v>
      </c>
      <c r="I54" s="83" t="s">
        <v>131</v>
      </c>
      <c r="J54" s="83" t="s">
        <v>58</v>
      </c>
    </row>
    <row r="55" spans="2:10" ht="13.5" customHeight="1" x14ac:dyDescent="0.35">
      <c r="B55" s="83" t="s">
        <v>114</v>
      </c>
      <c r="C55" s="83" t="s">
        <v>119</v>
      </c>
      <c r="D55" s="83" t="s">
        <v>158</v>
      </c>
      <c r="E55" s="83" t="s">
        <v>159</v>
      </c>
      <c r="F55" s="83" t="s">
        <v>61</v>
      </c>
      <c r="G55" s="93" t="s">
        <v>1260</v>
      </c>
      <c r="H55" s="94" t="s">
        <v>58</v>
      </c>
      <c r="I55" s="83" t="s">
        <v>158</v>
      </c>
      <c r="J55" s="83" t="s">
        <v>58</v>
      </c>
    </row>
    <row r="56" spans="2:10" ht="13.5" customHeight="1" x14ac:dyDescent="0.35">
      <c r="B56" s="83" t="s">
        <v>170</v>
      </c>
      <c r="C56" s="83" t="s">
        <v>170</v>
      </c>
      <c r="D56" s="83" t="s">
        <v>199</v>
      </c>
      <c r="E56" s="83" t="s">
        <v>200</v>
      </c>
      <c r="F56" s="83" t="s">
        <v>81</v>
      </c>
      <c r="G56" s="93" t="s">
        <v>1260</v>
      </c>
      <c r="H56" s="94" t="s">
        <v>58</v>
      </c>
      <c r="I56" s="83" t="s">
        <v>199</v>
      </c>
      <c r="J56" s="83" t="s">
        <v>58</v>
      </c>
    </row>
    <row r="57" spans="2:10" ht="13.5" customHeight="1" x14ac:dyDescent="0.35">
      <c r="B57" s="83" t="s">
        <v>223</v>
      </c>
      <c r="C57" s="83" t="s">
        <v>224</v>
      </c>
      <c r="D57" s="83" t="s">
        <v>244</v>
      </c>
      <c r="E57" s="83" t="s">
        <v>245</v>
      </c>
      <c r="F57" s="83" t="s">
        <v>61</v>
      </c>
      <c r="G57" s="93" t="s">
        <v>1261</v>
      </c>
      <c r="H57" s="94" t="s">
        <v>58</v>
      </c>
      <c r="I57" s="83" t="s">
        <v>244</v>
      </c>
      <c r="J57" s="83" t="s">
        <v>58</v>
      </c>
    </row>
    <row r="58" spans="2:10" ht="13.5" customHeight="1" x14ac:dyDescent="0.35">
      <c r="B58" s="83" t="s">
        <v>55</v>
      </c>
      <c r="C58" s="83" t="s">
        <v>74</v>
      </c>
      <c r="D58" s="83" t="s">
        <v>75</v>
      </c>
      <c r="E58" s="83" t="s">
        <v>76</v>
      </c>
      <c r="F58" s="83" t="s">
        <v>61</v>
      </c>
      <c r="G58" s="93" t="s">
        <v>1262</v>
      </c>
      <c r="H58" s="94" t="s">
        <v>58</v>
      </c>
      <c r="I58" s="83" t="s">
        <v>75</v>
      </c>
      <c r="J58" s="83" t="s">
        <v>58</v>
      </c>
    </row>
    <row r="59" spans="2:10" ht="13.5" customHeight="1" x14ac:dyDescent="0.35">
      <c r="B59" s="83" t="s">
        <v>223</v>
      </c>
      <c r="C59" s="83" t="s">
        <v>224</v>
      </c>
      <c r="D59" s="83" t="s">
        <v>249</v>
      </c>
      <c r="E59" s="83" t="s">
        <v>250</v>
      </c>
      <c r="F59" s="83" t="s">
        <v>61</v>
      </c>
      <c r="G59" s="93" t="s">
        <v>1260</v>
      </c>
      <c r="H59" s="94" t="s">
        <v>58</v>
      </c>
      <c r="I59" s="83" t="s">
        <v>249</v>
      </c>
      <c r="J59" s="83" t="s">
        <v>58</v>
      </c>
    </row>
    <row r="60" spans="2:10" ht="13.5" customHeight="1" x14ac:dyDescent="0.35">
      <c r="B60" s="83" t="s">
        <v>223</v>
      </c>
      <c r="C60" s="83" t="s">
        <v>224</v>
      </c>
      <c r="D60" s="83" t="s">
        <v>234</v>
      </c>
      <c r="E60" s="83" t="s">
        <v>235</v>
      </c>
      <c r="F60" s="83" t="s">
        <v>61</v>
      </c>
      <c r="G60" s="93" t="s">
        <v>1260</v>
      </c>
      <c r="H60" s="94" t="s">
        <v>58</v>
      </c>
      <c r="I60" s="83" t="s">
        <v>234</v>
      </c>
      <c r="J60" s="83" t="s">
        <v>58</v>
      </c>
    </row>
    <row r="61" spans="2:10" ht="13.5" customHeight="1" x14ac:dyDescent="0.35">
      <c r="B61" s="8"/>
      <c r="C61" s="8"/>
      <c r="D61" s="8"/>
      <c r="E61" s="8"/>
      <c r="F61" s="8"/>
      <c r="G61" s="8"/>
      <c r="H61" s="8"/>
      <c r="I61" s="8"/>
      <c r="J61" s="8"/>
    </row>
    <row r="62" spans="2:10" ht="13.5" customHeight="1" x14ac:dyDescent="0.35">
      <c r="B62" s="87" t="s">
        <v>19</v>
      </c>
    </row>
    <row r="63" spans="2:10" ht="13.5" customHeight="1" x14ac:dyDescent="0.35">
      <c r="B63" s="18" t="s">
        <v>35</v>
      </c>
    </row>
    <row r="64" spans="2:10" ht="13.5" customHeight="1" x14ac:dyDescent="0.35">
      <c r="B64" s="18" t="s">
        <v>21</v>
      </c>
    </row>
    <row r="65" spans="2:3" ht="13.5" customHeight="1" x14ac:dyDescent="0.35">
      <c r="B65" s="18" t="s">
        <v>22</v>
      </c>
    </row>
    <row r="66" spans="2:3" ht="13.5" customHeight="1" x14ac:dyDescent="0.35">
      <c r="B66" s="18" t="s">
        <v>23</v>
      </c>
    </row>
    <row r="67" spans="2:3" ht="13.5" customHeight="1" x14ac:dyDescent="0.35">
      <c r="B67" s="18" t="s">
        <v>36</v>
      </c>
    </row>
    <row r="68" spans="2:3" ht="13.5" customHeight="1" x14ac:dyDescent="0.35">
      <c r="B68" s="18" t="s">
        <v>31</v>
      </c>
    </row>
    <row r="69" spans="2:3" ht="13.5" customHeight="1" x14ac:dyDescent="0.35"/>
    <row r="70" spans="2:3" ht="13.5" customHeight="1" x14ac:dyDescent="0.35">
      <c r="B70" s="78" t="s">
        <v>26</v>
      </c>
      <c r="C70" s="78"/>
    </row>
    <row r="71" spans="2:3" ht="14" customHeight="1" x14ac:dyDescent="0.35">
      <c r="B71" s="18" t="s">
        <v>27</v>
      </c>
    </row>
    <row r="72" spans="2:3" ht="14" customHeight="1" x14ac:dyDescent="0.35"/>
    <row r="73" spans="2:3" x14ac:dyDescent="0.35"/>
    <row r="74" spans="2:3" x14ac:dyDescent="0.35"/>
    <row r="75" spans="2:3" x14ac:dyDescent="0.35"/>
    <row r="76" spans="2:3" ht="14" customHeight="1" x14ac:dyDescent="0.35">
      <c r="B76" s="88"/>
      <c r="C76" s="88"/>
    </row>
    <row r="77" spans="2:3" ht="14" customHeight="1" x14ac:dyDescent="0.35">
      <c r="B77" s="88"/>
      <c r="C77" s="88"/>
    </row>
    <row r="78" spans="2:3" ht="14" customHeight="1" x14ac:dyDescent="0.35">
      <c r="B78" s="88"/>
      <c r="C78" s="88"/>
    </row>
    <row r="79" spans="2:3" ht="14" customHeight="1" x14ac:dyDescent="0.35">
      <c r="B79" s="88"/>
      <c r="C79" s="88"/>
    </row>
    <row r="80" spans="2:3" ht="14" customHeight="1" x14ac:dyDescent="0.35">
      <c r="B80" s="88"/>
      <c r="C80" s="88"/>
    </row>
    <row r="81" spans="2:3" ht="14" customHeight="1" x14ac:dyDescent="0.35">
      <c r="B81" s="88"/>
      <c r="C81" s="88"/>
    </row>
    <row r="82" spans="2:3" ht="14" customHeight="1" x14ac:dyDescent="0.35">
      <c r="B82" s="88"/>
      <c r="C82" s="88"/>
    </row>
    <row r="83" spans="2:3" ht="14" customHeight="1" x14ac:dyDescent="0.35">
      <c r="B83" s="88"/>
      <c r="C83" s="88"/>
    </row>
    <row r="84" spans="2:3" ht="14" customHeight="1" x14ac:dyDescent="0.35">
      <c r="B84" s="88"/>
      <c r="C84" s="88"/>
    </row>
    <row r="85" spans="2:3" ht="14" customHeight="1" x14ac:dyDescent="0.35">
      <c r="B85" s="88"/>
      <c r="C85" s="88"/>
    </row>
    <row r="86" spans="2:3" ht="14" customHeight="1" x14ac:dyDescent="0.35">
      <c r="B86" s="88"/>
      <c r="C86" s="88"/>
    </row>
    <row r="87" spans="2:3" ht="14" customHeight="1" x14ac:dyDescent="0.35">
      <c r="B87" s="88"/>
      <c r="C87" s="88"/>
    </row>
    <row r="88" spans="2:3" ht="14" customHeight="1" x14ac:dyDescent="0.35">
      <c r="B88" s="88"/>
      <c r="C88" s="88"/>
    </row>
    <row r="89" spans="2:3" ht="14" customHeight="1" x14ac:dyDescent="0.35">
      <c r="B89" s="88"/>
      <c r="C89" s="88"/>
    </row>
    <row r="90" spans="2:3" ht="14" customHeight="1" x14ac:dyDescent="0.35">
      <c r="B90" s="88"/>
      <c r="C90" s="88"/>
    </row>
    <row r="91" spans="2:3" ht="14" customHeight="1" x14ac:dyDescent="0.35">
      <c r="B91" s="88"/>
      <c r="C91" s="88"/>
    </row>
    <row r="92" spans="2:3" ht="14" customHeight="1" x14ac:dyDescent="0.35">
      <c r="B92" s="88"/>
      <c r="C92" s="88"/>
    </row>
    <row r="93" spans="2:3" ht="14" customHeight="1" x14ac:dyDescent="0.35">
      <c r="B93" s="88"/>
      <c r="C93" s="88"/>
    </row>
    <row r="94" spans="2:3" ht="14" customHeight="1" x14ac:dyDescent="0.35">
      <c r="B94" s="88"/>
      <c r="C94" s="88"/>
    </row>
    <row r="95" spans="2:3" ht="14" customHeight="1" x14ac:dyDescent="0.35"/>
    <row r="96" spans="2:3" ht="14" customHeight="1" x14ac:dyDescent="0.35"/>
    <row r="97" s="18" customFormat="1" ht="14" customHeight="1" x14ac:dyDescent="0.35"/>
    <row r="98" s="18" customFormat="1" ht="14" customHeight="1" x14ac:dyDescent="0.35"/>
    <row r="99" s="18" customFormat="1" ht="14" customHeight="1" x14ac:dyDescent="0.35"/>
  </sheetData>
  <hyperlinks>
    <hyperlink ref="B4" location="'Index sheet'!A1" display="Back to index" xr:uid="{00000000-0004-0000-0300-000000000000}"/>
  </hyperlinks>
  <pageMargins left="0.7" right="0.7" top="0.75" bottom="0.75" header="0.3" footer="0.3"/>
  <ignoredErrors>
    <ignoredError sqref="B62:J99 B1:J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110"/>
  <sheetViews>
    <sheetView showGridLines="0" topLeftCell="A11" workbookViewId="0">
      <selection activeCell="A11" sqref="A1:XFD1048576"/>
    </sheetView>
  </sheetViews>
  <sheetFormatPr baseColWidth="10" defaultColWidth="8.54296875" defaultRowHeight="11.5" customHeight="1" x14ac:dyDescent="0.35"/>
  <cols>
    <col min="1" max="1" width="2.453125" style="18" customWidth="1"/>
    <col min="2" max="3" width="19.1796875" style="18" customWidth="1"/>
    <col min="4" max="12" width="15.453125" style="18" customWidth="1"/>
    <col min="13" max="13" width="20.453125" style="18" customWidth="1"/>
    <col min="14" max="14" width="8.54296875" style="18" customWidth="1"/>
    <col min="15" max="16384" width="8.54296875" style="18"/>
  </cols>
  <sheetData>
    <row r="1" spans="2:13" s="91" customFormat="1" ht="15.5" customHeight="1" x14ac:dyDescent="0.35">
      <c r="B1" s="89" t="s">
        <v>37</v>
      </c>
      <c r="C1" s="89"/>
      <c r="D1" s="89"/>
      <c r="E1" s="89"/>
      <c r="F1" s="89"/>
      <c r="G1" s="89"/>
    </row>
    <row r="2" spans="2:13" s="91" customFormat="1" ht="15" customHeight="1" x14ac:dyDescent="0.35">
      <c r="B2" s="89" t="s">
        <v>38</v>
      </c>
      <c r="C2" s="89"/>
      <c r="D2" s="89"/>
      <c r="E2" s="89"/>
      <c r="F2" s="89"/>
      <c r="G2" s="89"/>
      <c r="H2" s="89"/>
      <c r="I2" s="89"/>
      <c r="J2" s="89"/>
      <c r="K2" s="89"/>
      <c r="L2" s="89"/>
      <c r="M2" s="89"/>
    </row>
    <row r="4" spans="2:13" x14ac:dyDescent="0.35">
      <c r="B4" s="85" t="s">
        <v>16</v>
      </c>
      <c r="C4" s="85"/>
      <c r="D4" s="77"/>
      <c r="E4" s="85"/>
      <c r="F4" s="85"/>
      <c r="G4" s="85"/>
    </row>
    <row r="5" spans="2:13" x14ac:dyDescent="0.35">
      <c r="C5" s="8"/>
      <c r="D5" s="8"/>
      <c r="E5" s="8"/>
      <c r="F5" s="8"/>
      <c r="G5" s="8"/>
      <c r="H5" s="8"/>
      <c r="I5" s="8"/>
      <c r="J5" s="8"/>
      <c r="K5" s="8"/>
      <c r="L5" s="8"/>
      <c r="M5" s="8"/>
    </row>
    <row r="6" spans="2:13" s="78" customFormat="1" ht="47" customHeight="1" x14ac:dyDescent="0.35">
      <c r="B6" s="97" t="s">
        <v>45</v>
      </c>
      <c r="C6" s="98" t="s">
        <v>1591</v>
      </c>
      <c r="D6" s="98" t="s">
        <v>1592</v>
      </c>
      <c r="E6" s="98" t="s">
        <v>1586</v>
      </c>
      <c r="F6" s="98" t="s">
        <v>1583</v>
      </c>
      <c r="G6" s="98" t="s">
        <v>1584</v>
      </c>
      <c r="H6" s="98" t="s">
        <v>1576</v>
      </c>
      <c r="I6" s="98" t="s">
        <v>1569</v>
      </c>
      <c r="J6" s="98" t="s">
        <v>1570</v>
      </c>
      <c r="K6" s="98" t="s">
        <v>1589</v>
      </c>
      <c r="L6" s="98" t="s">
        <v>1593</v>
      </c>
      <c r="M6" s="67" t="s">
        <v>1581</v>
      </c>
    </row>
    <row r="7" spans="2:13" ht="14" customHeight="1" x14ac:dyDescent="0.35">
      <c r="B7" s="99" t="s">
        <v>750</v>
      </c>
      <c r="C7" s="100" t="s">
        <v>1264</v>
      </c>
      <c r="D7" s="100" t="s">
        <v>1265</v>
      </c>
      <c r="E7" s="101" t="s">
        <v>432</v>
      </c>
      <c r="F7" s="100" t="s">
        <v>540</v>
      </c>
      <c r="G7" s="100" t="s">
        <v>609</v>
      </c>
      <c r="H7" s="102" t="s">
        <v>462</v>
      </c>
      <c r="I7" s="100" t="s">
        <v>462</v>
      </c>
      <c r="J7" s="100" t="s">
        <v>318</v>
      </c>
      <c r="K7" s="100" t="s">
        <v>436</v>
      </c>
      <c r="L7" s="103" t="s">
        <v>1264</v>
      </c>
      <c r="M7" s="94" t="s">
        <v>58</v>
      </c>
    </row>
    <row r="8" spans="2:13" ht="14" customHeight="1" x14ac:dyDescent="0.35">
      <c r="B8" s="99" t="s">
        <v>747</v>
      </c>
      <c r="C8" s="100" t="s">
        <v>1266</v>
      </c>
      <c r="D8" s="100" t="s">
        <v>1265</v>
      </c>
      <c r="E8" s="101" t="s">
        <v>432</v>
      </c>
      <c r="F8" s="100" t="s">
        <v>591</v>
      </c>
      <c r="G8" s="100" t="s">
        <v>749</v>
      </c>
      <c r="H8" s="102" t="s">
        <v>462</v>
      </c>
      <c r="I8" s="100" t="s">
        <v>462</v>
      </c>
      <c r="J8" s="100" t="s">
        <v>318</v>
      </c>
      <c r="K8" s="100" t="s">
        <v>436</v>
      </c>
      <c r="L8" s="103" t="s">
        <v>1266</v>
      </c>
      <c r="M8" s="94" t="s">
        <v>58</v>
      </c>
    </row>
    <row r="9" spans="2:13" ht="14" customHeight="1" x14ac:dyDescent="0.35">
      <c r="B9" s="99" t="s">
        <v>818</v>
      </c>
      <c r="C9" s="100" t="s">
        <v>834</v>
      </c>
      <c r="D9" s="100" t="s">
        <v>1265</v>
      </c>
      <c r="E9" s="101" t="s">
        <v>820</v>
      </c>
      <c r="F9" s="100" t="s">
        <v>473</v>
      </c>
      <c r="G9" s="100" t="s">
        <v>473</v>
      </c>
      <c r="H9" s="102" t="s">
        <v>462</v>
      </c>
      <c r="I9" s="100" t="s">
        <v>462</v>
      </c>
      <c r="J9" s="100" t="s">
        <v>318</v>
      </c>
      <c r="K9" s="100" t="s">
        <v>526</v>
      </c>
      <c r="L9" s="103" t="s">
        <v>1267</v>
      </c>
      <c r="M9" s="94" t="s">
        <v>58</v>
      </c>
    </row>
    <row r="10" spans="2:13" ht="14" customHeight="1" x14ac:dyDescent="0.35">
      <c r="B10" s="99" t="s">
        <v>416</v>
      </c>
      <c r="C10" s="100" t="s">
        <v>1268</v>
      </c>
      <c r="D10" s="100" t="s">
        <v>1269</v>
      </c>
      <c r="E10" s="101" t="s">
        <v>421</v>
      </c>
      <c r="F10" s="100" t="s">
        <v>419</v>
      </c>
      <c r="G10" s="100" t="s">
        <v>420</v>
      </c>
      <c r="H10" s="102" t="s">
        <v>462</v>
      </c>
      <c r="I10" s="100" t="s">
        <v>424</v>
      </c>
      <c r="J10" s="100" t="s">
        <v>425</v>
      </c>
      <c r="K10" s="100" t="s">
        <v>427</v>
      </c>
      <c r="L10" s="103" t="s">
        <v>1270</v>
      </c>
      <c r="M10" s="94" t="s">
        <v>58</v>
      </c>
    </row>
    <row r="11" spans="2:13" ht="14" customHeight="1" x14ac:dyDescent="0.35">
      <c r="B11" s="99" t="s">
        <v>637</v>
      </c>
      <c r="C11" s="100" t="s">
        <v>1271</v>
      </c>
      <c r="D11" s="100" t="s">
        <v>1265</v>
      </c>
      <c r="E11" s="101" t="s">
        <v>440</v>
      </c>
      <c r="F11" s="100" t="s">
        <v>567</v>
      </c>
      <c r="G11" s="100" t="s">
        <v>567</v>
      </c>
      <c r="H11" s="102" t="s">
        <v>462</v>
      </c>
      <c r="I11" s="100" t="s">
        <v>462</v>
      </c>
      <c r="J11" s="100" t="s">
        <v>308</v>
      </c>
      <c r="K11" s="100" t="s">
        <v>526</v>
      </c>
      <c r="L11" s="103" t="s">
        <v>58</v>
      </c>
      <c r="M11" s="94" t="s">
        <v>58</v>
      </c>
    </row>
    <row r="12" spans="2:13" ht="14" customHeight="1" x14ac:dyDescent="0.35">
      <c r="B12" s="99" t="s">
        <v>767</v>
      </c>
      <c r="C12" s="100" t="s">
        <v>1272</v>
      </c>
      <c r="D12" s="100" t="s">
        <v>1269</v>
      </c>
      <c r="E12" s="101" t="s">
        <v>432</v>
      </c>
      <c r="F12" s="100" t="s">
        <v>455</v>
      </c>
      <c r="G12" s="100" t="s">
        <v>632</v>
      </c>
      <c r="H12" s="102" t="s">
        <v>1273</v>
      </c>
      <c r="I12" s="100" t="s">
        <v>433</v>
      </c>
      <c r="J12" s="100" t="s">
        <v>650</v>
      </c>
      <c r="K12" s="100" t="s">
        <v>436</v>
      </c>
      <c r="L12" s="103" t="s">
        <v>1272</v>
      </c>
      <c r="M12" s="94" t="s">
        <v>58</v>
      </c>
    </row>
    <row r="13" spans="2:13" ht="14" customHeight="1" x14ac:dyDescent="0.35">
      <c r="B13" s="99" t="s">
        <v>657</v>
      </c>
      <c r="C13" s="100" t="s">
        <v>1274</v>
      </c>
      <c r="D13" s="100" t="s">
        <v>1275</v>
      </c>
      <c r="E13" s="101" t="s">
        <v>440</v>
      </c>
      <c r="F13" s="100" t="s">
        <v>567</v>
      </c>
      <c r="G13" s="100" t="s">
        <v>567</v>
      </c>
      <c r="H13" s="102" t="s">
        <v>1273</v>
      </c>
      <c r="I13" s="100" t="s">
        <v>488</v>
      </c>
      <c r="J13" s="100" t="s">
        <v>489</v>
      </c>
      <c r="K13" s="100" t="s">
        <v>526</v>
      </c>
      <c r="L13" s="103" t="s">
        <v>58</v>
      </c>
      <c r="M13" s="94" t="s">
        <v>58</v>
      </c>
    </row>
    <row r="14" spans="2:13" ht="14" customHeight="1" x14ac:dyDescent="0.35">
      <c r="B14" s="99" t="s">
        <v>659</v>
      </c>
      <c r="C14" s="100" t="s">
        <v>1276</v>
      </c>
      <c r="D14" s="100" t="s">
        <v>1265</v>
      </c>
      <c r="E14" s="101" t="s">
        <v>440</v>
      </c>
      <c r="F14" s="100" t="s">
        <v>567</v>
      </c>
      <c r="G14" s="100" t="s">
        <v>567</v>
      </c>
      <c r="H14" s="102" t="s">
        <v>1273</v>
      </c>
      <c r="I14" s="100" t="s">
        <v>468</v>
      </c>
      <c r="J14" s="100" t="s">
        <v>469</v>
      </c>
      <c r="K14" s="100" t="s">
        <v>526</v>
      </c>
      <c r="L14" s="103" t="s">
        <v>58</v>
      </c>
      <c r="M14" s="94" t="s">
        <v>58</v>
      </c>
    </row>
    <row r="15" spans="2:13" ht="14" customHeight="1" x14ac:dyDescent="0.35">
      <c r="B15" s="99" t="s">
        <v>810</v>
      </c>
      <c r="C15" s="100" t="s">
        <v>1277</v>
      </c>
      <c r="D15" s="100" t="s">
        <v>1269</v>
      </c>
      <c r="E15" s="101" t="s">
        <v>432</v>
      </c>
      <c r="F15" s="100" t="s">
        <v>529</v>
      </c>
      <c r="G15" s="100" t="s">
        <v>1278</v>
      </c>
      <c r="H15" s="102" t="s">
        <v>1273</v>
      </c>
      <c r="I15" s="100" t="s">
        <v>433</v>
      </c>
      <c r="J15" s="100" t="s">
        <v>531</v>
      </c>
      <c r="K15" s="100" t="s">
        <v>436</v>
      </c>
      <c r="L15" s="103" t="s">
        <v>58</v>
      </c>
      <c r="M15" s="94" t="s">
        <v>58</v>
      </c>
    </row>
    <row r="16" spans="2:13" ht="14" customHeight="1" x14ac:dyDescent="0.35">
      <c r="B16" s="99" t="s">
        <v>1013</v>
      </c>
      <c r="C16" s="100" t="s">
        <v>1279</v>
      </c>
      <c r="D16" s="100" t="s">
        <v>1280</v>
      </c>
      <c r="E16" s="101" t="s">
        <v>474</v>
      </c>
      <c r="F16" s="100" t="s">
        <v>948</v>
      </c>
      <c r="G16" s="100" t="s">
        <v>948</v>
      </c>
      <c r="H16" s="102" t="s">
        <v>1273</v>
      </c>
      <c r="I16" s="100" t="s">
        <v>433</v>
      </c>
      <c r="J16" s="100" t="s">
        <v>520</v>
      </c>
      <c r="K16" s="100" t="s">
        <v>436</v>
      </c>
      <c r="L16" s="103" t="s">
        <v>1281</v>
      </c>
      <c r="M16" s="94" t="s">
        <v>58</v>
      </c>
    </row>
    <row r="17" spans="2:13" ht="14" customHeight="1" x14ac:dyDescent="0.35">
      <c r="B17" s="99" t="s">
        <v>1077</v>
      </c>
      <c r="C17" s="100" t="s">
        <v>1077</v>
      </c>
      <c r="D17" s="100" t="s">
        <v>1265</v>
      </c>
      <c r="E17" s="101" t="s">
        <v>907</v>
      </c>
      <c r="F17" s="100" t="s">
        <v>1079</v>
      </c>
      <c r="G17" s="100" t="s">
        <v>1080</v>
      </c>
      <c r="H17" s="102" t="s">
        <v>1273</v>
      </c>
      <c r="I17" s="100" t="s">
        <v>433</v>
      </c>
      <c r="J17" s="100" t="s">
        <v>434</v>
      </c>
      <c r="K17" s="100" t="s">
        <v>526</v>
      </c>
      <c r="L17" s="103" t="s">
        <v>1077</v>
      </c>
      <c r="M17" s="94" t="s">
        <v>58</v>
      </c>
    </row>
    <row r="18" spans="2:13" ht="14" customHeight="1" x14ac:dyDescent="0.35">
      <c r="B18" s="99" t="s">
        <v>968</v>
      </c>
      <c r="C18" s="100" t="s">
        <v>1282</v>
      </c>
      <c r="D18" s="100" t="s">
        <v>1269</v>
      </c>
      <c r="E18" s="101" t="s">
        <v>886</v>
      </c>
      <c r="F18" s="100" t="s">
        <v>970</v>
      </c>
      <c r="G18" s="100" t="s">
        <v>970</v>
      </c>
      <c r="H18" s="102" t="s">
        <v>1273</v>
      </c>
      <c r="I18" s="100" t="s">
        <v>433</v>
      </c>
      <c r="J18" s="100" t="s">
        <v>434</v>
      </c>
      <c r="K18" s="100" t="s">
        <v>436</v>
      </c>
      <c r="L18" s="103" t="s">
        <v>968</v>
      </c>
      <c r="M18" s="94" t="s">
        <v>58</v>
      </c>
    </row>
    <row r="19" spans="2:13" ht="14" customHeight="1" x14ac:dyDescent="0.35">
      <c r="B19" s="99" t="s">
        <v>986</v>
      </c>
      <c r="C19" s="100" t="s">
        <v>1283</v>
      </c>
      <c r="D19" s="100" t="s">
        <v>1280</v>
      </c>
      <c r="E19" s="101" t="s">
        <v>820</v>
      </c>
      <c r="F19" s="100" t="s">
        <v>988</v>
      </c>
      <c r="G19" s="100" t="s">
        <v>988</v>
      </c>
      <c r="H19" s="102" t="s">
        <v>1273</v>
      </c>
      <c r="I19" s="100" t="s">
        <v>424</v>
      </c>
      <c r="J19" s="100" t="s">
        <v>425</v>
      </c>
      <c r="K19" s="100" t="s">
        <v>526</v>
      </c>
      <c r="L19" s="103" t="s">
        <v>58</v>
      </c>
      <c r="M19" s="94" t="s">
        <v>58</v>
      </c>
    </row>
    <row r="20" spans="2:13" ht="14" customHeight="1" x14ac:dyDescent="0.35">
      <c r="B20" s="99" t="s">
        <v>935</v>
      </c>
      <c r="C20" s="100" t="s">
        <v>1284</v>
      </c>
      <c r="D20" s="100" t="s">
        <v>1275</v>
      </c>
      <c r="E20" s="101" t="s">
        <v>855</v>
      </c>
      <c r="F20" s="100" t="s">
        <v>937</v>
      </c>
      <c r="G20" s="100" t="s">
        <v>937</v>
      </c>
      <c r="H20" s="102" t="s">
        <v>1273</v>
      </c>
      <c r="I20" s="100" t="s">
        <v>433</v>
      </c>
      <c r="J20" s="100" t="s">
        <v>434</v>
      </c>
      <c r="K20" s="100" t="s">
        <v>436</v>
      </c>
      <c r="L20" s="103" t="s">
        <v>58</v>
      </c>
      <c r="M20" s="94" t="s">
        <v>58</v>
      </c>
    </row>
    <row r="21" spans="2:13" ht="14" customHeight="1" x14ac:dyDescent="0.35">
      <c r="B21" s="99" t="s">
        <v>919</v>
      </c>
      <c r="C21" s="100" t="s">
        <v>1285</v>
      </c>
      <c r="D21" s="100" t="s">
        <v>1265</v>
      </c>
      <c r="E21" s="101" t="s">
        <v>894</v>
      </c>
      <c r="F21" s="100" t="s">
        <v>921</v>
      </c>
      <c r="G21" s="100" t="s">
        <v>921</v>
      </c>
      <c r="H21" s="102" t="s">
        <v>1273</v>
      </c>
      <c r="I21" s="100" t="s">
        <v>433</v>
      </c>
      <c r="J21" s="100" t="s">
        <v>520</v>
      </c>
      <c r="K21" s="100" t="s">
        <v>436</v>
      </c>
      <c r="L21" s="103" t="s">
        <v>58</v>
      </c>
      <c r="M21" s="94" t="s">
        <v>58</v>
      </c>
    </row>
    <row r="22" spans="2:13" ht="14" customHeight="1" x14ac:dyDescent="0.35">
      <c r="B22" s="99" t="s">
        <v>916</v>
      </c>
      <c r="C22" s="100" t="s">
        <v>1286</v>
      </c>
      <c r="D22" s="100" t="s">
        <v>1269</v>
      </c>
      <c r="E22" s="101" t="s">
        <v>903</v>
      </c>
      <c r="F22" s="100" t="s">
        <v>450</v>
      </c>
      <c r="G22" s="100" t="s">
        <v>450</v>
      </c>
      <c r="H22" s="102" t="s">
        <v>1273</v>
      </c>
      <c r="I22" s="100" t="s">
        <v>433</v>
      </c>
      <c r="J22" s="100" t="s">
        <v>434</v>
      </c>
      <c r="K22" s="100" t="s">
        <v>436</v>
      </c>
      <c r="L22" s="103" t="s">
        <v>58</v>
      </c>
      <c r="M22" s="94" t="s">
        <v>58</v>
      </c>
    </row>
    <row r="23" spans="2:13" ht="14" customHeight="1" x14ac:dyDescent="0.35">
      <c r="B23" s="99" t="s">
        <v>946</v>
      </c>
      <c r="C23" s="100" t="s">
        <v>1287</v>
      </c>
      <c r="D23" s="100" t="s">
        <v>1265</v>
      </c>
      <c r="E23" s="101" t="s">
        <v>903</v>
      </c>
      <c r="F23" s="100" t="s">
        <v>948</v>
      </c>
      <c r="G23" s="100" t="s">
        <v>949</v>
      </c>
      <c r="H23" s="102" t="s">
        <v>1273</v>
      </c>
      <c r="I23" s="100" t="s">
        <v>433</v>
      </c>
      <c r="J23" s="100" t="s">
        <v>520</v>
      </c>
      <c r="K23" s="100" t="s">
        <v>436</v>
      </c>
      <c r="L23" s="103" t="s">
        <v>1288</v>
      </c>
      <c r="M23" s="94" t="s">
        <v>58</v>
      </c>
    </row>
    <row r="24" spans="2:13" ht="14" customHeight="1" x14ac:dyDescent="0.35">
      <c r="B24" s="99" t="s">
        <v>752</v>
      </c>
      <c r="C24" s="100" t="s">
        <v>1289</v>
      </c>
      <c r="D24" s="100" t="s">
        <v>1265</v>
      </c>
      <c r="E24" s="101" t="s">
        <v>432</v>
      </c>
      <c r="F24" s="100" t="s">
        <v>540</v>
      </c>
      <c r="G24" s="100" t="s">
        <v>754</v>
      </c>
      <c r="H24" s="102" t="s">
        <v>1273</v>
      </c>
      <c r="I24" s="100" t="s">
        <v>424</v>
      </c>
      <c r="J24" s="100" t="s">
        <v>55</v>
      </c>
      <c r="K24" s="100" t="s">
        <v>436</v>
      </c>
      <c r="L24" s="103" t="s">
        <v>1289</v>
      </c>
      <c r="M24" s="94" t="s">
        <v>58</v>
      </c>
    </row>
    <row r="25" spans="2:13" ht="14" customHeight="1" x14ac:dyDescent="0.35">
      <c r="B25" s="99" t="s">
        <v>471</v>
      </c>
      <c r="C25" s="100" t="s">
        <v>1290</v>
      </c>
      <c r="D25" s="100" t="s">
        <v>1291</v>
      </c>
      <c r="E25" s="101" t="s">
        <v>474</v>
      </c>
      <c r="F25" s="100" t="s">
        <v>455</v>
      </c>
      <c r="G25" s="100" t="s">
        <v>473</v>
      </c>
      <c r="H25" s="102" t="s">
        <v>1273</v>
      </c>
      <c r="I25" s="100" t="s">
        <v>462</v>
      </c>
      <c r="J25" s="100" t="s">
        <v>318</v>
      </c>
      <c r="K25" s="100" t="s">
        <v>436</v>
      </c>
      <c r="L25" s="103" t="s">
        <v>1292</v>
      </c>
      <c r="M25" s="94" t="s">
        <v>58</v>
      </c>
    </row>
    <row r="26" spans="2:13" ht="14" customHeight="1" x14ac:dyDescent="0.35">
      <c r="B26" s="99" t="s">
        <v>495</v>
      </c>
      <c r="C26" s="100" t="s">
        <v>1293</v>
      </c>
      <c r="D26" s="100" t="s">
        <v>1291</v>
      </c>
      <c r="E26" s="101" t="s">
        <v>483</v>
      </c>
      <c r="F26" s="100" t="s">
        <v>450</v>
      </c>
      <c r="G26" s="100" t="s">
        <v>450</v>
      </c>
      <c r="H26" s="102" t="s">
        <v>1273</v>
      </c>
      <c r="I26" s="100" t="s">
        <v>433</v>
      </c>
      <c r="J26" s="100"/>
      <c r="K26" s="100" t="s">
        <v>436</v>
      </c>
      <c r="L26" s="103" t="s">
        <v>58</v>
      </c>
      <c r="M26" s="94" t="s">
        <v>58</v>
      </c>
    </row>
    <row r="27" spans="2:13" ht="14" customHeight="1" x14ac:dyDescent="0.35">
      <c r="B27" s="99" t="s">
        <v>503</v>
      </c>
      <c r="C27" s="100" t="s">
        <v>1294</v>
      </c>
      <c r="D27" s="100" t="s">
        <v>1280</v>
      </c>
      <c r="E27" s="101" t="s">
        <v>483</v>
      </c>
      <c r="F27" s="100" t="s">
        <v>450</v>
      </c>
      <c r="G27" s="100" t="s">
        <v>450</v>
      </c>
      <c r="H27" s="102" t="s">
        <v>1273</v>
      </c>
      <c r="I27" s="100" t="s">
        <v>433</v>
      </c>
      <c r="J27" s="100" t="s">
        <v>434</v>
      </c>
      <c r="K27" s="100" t="s">
        <v>436</v>
      </c>
      <c r="L27" s="103" t="s">
        <v>58</v>
      </c>
      <c r="M27" s="94" t="s">
        <v>58</v>
      </c>
    </row>
    <row r="28" spans="2:13" ht="14" customHeight="1" x14ac:dyDescent="0.35">
      <c r="B28" s="99" t="s">
        <v>516</v>
      </c>
      <c r="C28" s="100" t="s">
        <v>1295</v>
      </c>
      <c r="D28" s="100" t="s">
        <v>1269</v>
      </c>
      <c r="E28" s="101" t="s">
        <v>432</v>
      </c>
      <c r="F28" s="100" t="s">
        <v>450</v>
      </c>
      <c r="G28" s="100" t="s">
        <v>450</v>
      </c>
      <c r="H28" s="102" t="s">
        <v>1273</v>
      </c>
      <c r="I28" s="100" t="s">
        <v>433</v>
      </c>
      <c r="J28" s="100" t="s">
        <v>434</v>
      </c>
      <c r="K28" s="100" t="s">
        <v>436</v>
      </c>
      <c r="L28" s="103" t="s">
        <v>58</v>
      </c>
      <c r="M28" s="94" t="s">
        <v>58</v>
      </c>
    </row>
    <row r="29" spans="2:13" ht="14" customHeight="1" x14ac:dyDescent="0.35">
      <c r="B29" s="99" t="s">
        <v>518</v>
      </c>
      <c r="C29" s="100" t="s">
        <v>1296</v>
      </c>
      <c r="D29" s="100" t="s">
        <v>1291</v>
      </c>
      <c r="E29" s="101" t="s">
        <v>483</v>
      </c>
      <c r="F29" s="100" t="s">
        <v>450</v>
      </c>
      <c r="G29" s="100" t="s">
        <v>450</v>
      </c>
      <c r="H29" s="102" t="s">
        <v>1273</v>
      </c>
      <c r="I29" s="100" t="s">
        <v>433</v>
      </c>
      <c r="J29" s="100" t="s">
        <v>520</v>
      </c>
      <c r="K29" s="100" t="s">
        <v>436</v>
      </c>
      <c r="L29" s="103" t="s">
        <v>58</v>
      </c>
      <c r="M29" s="94" t="s">
        <v>58</v>
      </c>
    </row>
    <row r="30" spans="2:13" ht="14" customHeight="1" x14ac:dyDescent="0.35">
      <c r="B30" s="99" t="s">
        <v>535</v>
      </c>
      <c r="C30" s="100" t="s">
        <v>1297</v>
      </c>
      <c r="D30" s="100" t="s">
        <v>1291</v>
      </c>
      <c r="E30" s="101" t="s">
        <v>440</v>
      </c>
      <c r="F30" s="100" t="s">
        <v>450</v>
      </c>
      <c r="G30" s="100" t="s">
        <v>450</v>
      </c>
      <c r="H30" s="102" t="s">
        <v>1273</v>
      </c>
      <c r="I30" s="100" t="s">
        <v>433</v>
      </c>
      <c r="J30" s="100" t="s">
        <v>520</v>
      </c>
      <c r="K30" s="100" t="s">
        <v>526</v>
      </c>
      <c r="L30" s="103" t="s">
        <v>58</v>
      </c>
      <c r="M30" s="94" t="s">
        <v>58</v>
      </c>
    </row>
    <row r="31" spans="2:13" ht="14" customHeight="1" x14ac:dyDescent="0.35">
      <c r="B31" s="99" t="s">
        <v>1127</v>
      </c>
      <c r="C31" s="100" t="s">
        <v>1298</v>
      </c>
      <c r="D31" s="100" t="s">
        <v>1280</v>
      </c>
      <c r="E31" s="101" t="s">
        <v>1102</v>
      </c>
      <c r="F31" s="100" t="s">
        <v>1129</v>
      </c>
      <c r="G31" s="100" t="s">
        <v>1130</v>
      </c>
      <c r="H31" s="102" t="s">
        <v>1273</v>
      </c>
      <c r="I31" s="100" t="s">
        <v>433</v>
      </c>
      <c r="J31" s="100" t="s">
        <v>520</v>
      </c>
      <c r="K31" s="100" t="s">
        <v>526</v>
      </c>
      <c r="L31" s="103" t="s">
        <v>58</v>
      </c>
      <c r="M31" s="94" t="s">
        <v>58</v>
      </c>
    </row>
    <row r="32" spans="2:13" ht="14" customHeight="1" x14ac:dyDescent="0.35">
      <c r="B32" s="99" t="s">
        <v>600</v>
      </c>
      <c r="C32" s="100" t="s">
        <v>1299</v>
      </c>
      <c r="D32" s="100" t="s">
        <v>1265</v>
      </c>
      <c r="E32" s="101" t="s">
        <v>440</v>
      </c>
      <c r="F32" s="100" t="s">
        <v>445</v>
      </c>
      <c r="G32" s="100" t="s">
        <v>445</v>
      </c>
      <c r="H32" s="102" t="s">
        <v>1273</v>
      </c>
      <c r="I32" s="100" t="s">
        <v>433</v>
      </c>
      <c r="J32" s="100" t="s">
        <v>531</v>
      </c>
      <c r="K32" s="100" t="s">
        <v>526</v>
      </c>
      <c r="L32" s="103" t="s">
        <v>58</v>
      </c>
      <c r="M32" s="94" t="s">
        <v>58</v>
      </c>
    </row>
    <row r="33" spans="2:13" ht="14" customHeight="1" x14ac:dyDescent="0.35">
      <c r="B33" s="99" t="s">
        <v>605</v>
      </c>
      <c r="C33" s="100" t="s">
        <v>1264</v>
      </c>
      <c r="D33" s="100" t="s">
        <v>1291</v>
      </c>
      <c r="E33" s="101" t="s">
        <v>440</v>
      </c>
      <c r="F33" s="100" t="s">
        <v>540</v>
      </c>
      <c r="G33" s="100" t="s">
        <v>609</v>
      </c>
      <c r="H33" s="102" t="s">
        <v>1273</v>
      </c>
      <c r="I33" s="100" t="s">
        <v>514</v>
      </c>
      <c r="J33" s="100" t="s">
        <v>515</v>
      </c>
      <c r="K33" s="100" t="s">
        <v>436</v>
      </c>
      <c r="L33" s="103" t="s">
        <v>58</v>
      </c>
      <c r="M33" s="94" t="s">
        <v>58</v>
      </c>
    </row>
    <row r="34" spans="2:13" ht="14" customHeight="1" x14ac:dyDescent="0.35">
      <c r="B34" s="99" t="s">
        <v>610</v>
      </c>
      <c r="C34" s="100" t="s">
        <v>1300</v>
      </c>
      <c r="D34" s="100" t="s">
        <v>1291</v>
      </c>
      <c r="E34" s="101" t="s">
        <v>440</v>
      </c>
      <c r="F34" s="100" t="s">
        <v>540</v>
      </c>
      <c r="G34" s="100" t="s">
        <v>609</v>
      </c>
      <c r="H34" s="102" t="s">
        <v>1273</v>
      </c>
      <c r="I34" s="100" t="s">
        <v>514</v>
      </c>
      <c r="J34" s="100" t="s">
        <v>515</v>
      </c>
      <c r="K34" s="100" t="s">
        <v>436</v>
      </c>
      <c r="L34" s="103" t="s">
        <v>58</v>
      </c>
      <c r="M34" s="94" t="s">
        <v>58</v>
      </c>
    </row>
    <row r="35" spans="2:13" ht="14" customHeight="1" x14ac:dyDescent="0.35">
      <c r="B35" s="99" t="s">
        <v>874</v>
      </c>
      <c r="C35" s="100" t="s">
        <v>1301</v>
      </c>
      <c r="D35" s="100" t="s">
        <v>1265</v>
      </c>
      <c r="E35" s="101" t="s">
        <v>483</v>
      </c>
      <c r="F35" s="100" t="s">
        <v>445</v>
      </c>
      <c r="G35" s="100" t="s">
        <v>445</v>
      </c>
      <c r="H35" s="102" t="s">
        <v>462</v>
      </c>
      <c r="I35" s="100" t="s">
        <v>462</v>
      </c>
      <c r="J35" s="100" t="s">
        <v>303</v>
      </c>
      <c r="K35" s="100" t="s">
        <v>436</v>
      </c>
      <c r="L35" s="103" t="s">
        <v>1302</v>
      </c>
      <c r="M35" s="94" t="s">
        <v>58</v>
      </c>
    </row>
    <row r="36" spans="2:13" ht="14" customHeight="1" x14ac:dyDescent="0.35">
      <c r="B36" s="99" t="s">
        <v>761</v>
      </c>
      <c r="C36" s="100" t="s">
        <v>1303</v>
      </c>
      <c r="D36" s="100" t="s">
        <v>1291</v>
      </c>
      <c r="E36" s="101" t="s">
        <v>432</v>
      </c>
      <c r="F36" s="100" t="s">
        <v>567</v>
      </c>
      <c r="G36" s="100" t="s">
        <v>567</v>
      </c>
      <c r="H36" s="102" t="s">
        <v>462</v>
      </c>
      <c r="I36" s="100" t="s">
        <v>488</v>
      </c>
      <c r="J36" s="100" t="s">
        <v>425</v>
      </c>
      <c r="K36" s="100" t="s">
        <v>526</v>
      </c>
      <c r="L36" s="103" t="s">
        <v>1303</v>
      </c>
      <c r="M36" s="94" t="s">
        <v>58</v>
      </c>
    </row>
    <row r="37" spans="2:13" ht="14" customHeight="1" x14ac:dyDescent="0.35">
      <c r="B37" s="99" t="s">
        <v>763</v>
      </c>
      <c r="C37" s="100" t="s">
        <v>1304</v>
      </c>
      <c r="D37" s="100" t="s">
        <v>1275</v>
      </c>
      <c r="E37" s="101" t="s">
        <v>432</v>
      </c>
      <c r="F37" s="100" t="s">
        <v>567</v>
      </c>
      <c r="G37" s="100" t="s">
        <v>567</v>
      </c>
      <c r="H37" s="102" t="s">
        <v>462</v>
      </c>
      <c r="I37" s="100" t="s">
        <v>585</v>
      </c>
      <c r="J37" s="100" t="s">
        <v>170</v>
      </c>
      <c r="K37" s="100" t="s">
        <v>526</v>
      </c>
      <c r="L37" s="103" t="s">
        <v>1304</v>
      </c>
      <c r="M37" s="94" t="s">
        <v>58</v>
      </c>
    </row>
    <row r="38" spans="2:13" ht="14" customHeight="1" x14ac:dyDescent="0.35">
      <c r="B38" s="99" t="s">
        <v>765</v>
      </c>
      <c r="C38" s="100" t="s">
        <v>1305</v>
      </c>
      <c r="D38" s="100" t="s">
        <v>1280</v>
      </c>
      <c r="E38" s="101" t="s">
        <v>432</v>
      </c>
      <c r="F38" s="100" t="s">
        <v>455</v>
      </c>
      <c r="G38" s="100" t="s">
        <v>632</v>
      </c>
      <c r="H38" s="102" t="s">
        <v>462</v>
      </c>
      <c r="I38" s="100" t="s">
        <v>433</v>
      </c>
      <c r="J38" s="100" t="s">
        <v>531</v>
      </c>
      <c r="K38" s="100" t="s">
        <v>436</v>
      </c>
      <c r="L38" s="103" t="s">
        <v>1305</v>
      </c>
      <c r="M38" s="94" t="s">
        <v>58</v>
      </c>
    </row>
    <row r="39" spans="2:13" ht="14" customHeight="1" x14ac:dyDescent="0.35">
      <c r="B39" s="99" t="s">
        <v>1030</v>
      </c>
      <c r="C39" s="100" t="s">
        <v>1306</v>
      </c>
      <c r="D39" s="100" t="s">
        <v>1291</v>
      </c>
      <c r="E39" s="101" t="s">
        <v>820</v>
      </c>
      <c r="F39" s="100" t="s">
        <v>1032</v>
      </c>
      <c r="G39" s="100" t="s">
        <v>1033</v>
      </c>
      <c r="H39" s="102" t="s">
        <v>462</v>
      </c>
      <c r="I39" s="100" t="s">
        <v>488</v>
      </c>
      <c r="J39" s="100" t="s">
        <v>425</v>
      </c>
      <c r="K39" s="100" t="s">
        <v>436</v>
      </c>
      <c r="L39" s="103" t="s">
        <v>58</v>
      </c>
      <c r="M39" s="94" t="s">
        <v>58</v>
      </c>
    </row>
    <row r="40" spans="2:13" ht="14" customHeight="1" x14ac:dyDescent="0.35">
      <c r="B40" s="99" t="s">
        <v>1034</v>
      </c>
      <c r="C40" s="100" t="s">
        <v>1307</v>
      </c>
      <c r="D40" s="100" t="s">
        <v>1275</v>
      </c>
      <c r="E40" s="101" t="s">
        <v>894</v>
      </c>
      <c r="F40" s="100" t="s">
        <v>863</v>
      </c>
      <c r="G40" s="100" t="s">
        <v>863</v>
      </c>
      <c r="H40" s="102" t="s">
        <v>462</v>
      </c>
      <c r="I40" s="100" t="s">
        <v>514</v>
      </c>
      <c r="J40" s="100" t="s">
        <v>515</v>
      </c>
      <c r="K40" s="100" t="s">
        <v>436</v>
      </c>
      <c r="L40" s="103" t="s">
        <v>58</v>
      </c>
      <c r="M40" s="94" t="s">
        <v>58</v>
      </c>
    </row>
    <row r="41" spans="2:13" ht="14" customHeight="1" x14ac:dyDescent="0.35">
      <c r="B41" s="99" t="s">
        <v>1085</v>
      </c>
      <c r="C41" s="100" t="s">
        <v>1308</v>
      </c>
      <c r="D41" s="100" t="s">
        <v>1269</v>
      </c>
      <c r="E41" s="101" t="s">
        <v>576</v>
      </c>
      <c r="F41" s="100" t="s">
        <v>1087</v>
      </c>
      <c r="G41" s="100" t="s">
        <v>1088</v>
      </c>
      <c r="H41" s="102" t="s">
        <v>462</v>
      </c>
      <c r="I41" s="100" t="s">
        <v>433</v>
      </c>
      <c r="J41" s="100" t="s">
        <v>520</v>
      </c>
      <c r="K41" s="100" t="s">
        <v>436</v>
      </c>
      <c r="L41" s="103" t="s">
        <v>58</v>
      </c>
      <c r="M41" s="94" t="s">
        <v>58</v>
      </c>
    </row>
    <row r="42" spans="2:13" ht="14" customHeight="1" x14ac:dyDescent="0.35">
      <c r="B42" s="99" t="s">
        <v>589</v>
      </c>
      <c r="C42" s="100" t="s">
        <v>1309</v>
      </c>
      <c r="D42" s="100" t="s">
        <v>1280</v>
      </c>
      <c r="E42" s="101" t="s">
        <v>440</v>
      </c>
      <c r="F42" s="100" t="s">
        <v>591</v>
      </c>
      <c r="G42" s="100" t="s">
        <v>588</v>
      </c>
      <c r="H42" s="102" t="s">
        <v>462</v>
      </c>
      <c r="I42" s="100" t="s">
        <v>479</v>
      </c>
      <c r="J42" s="100" t="s">
        <v>592</v>
      </c>
      <c r="K42" s="100" t="s">
        <v>436</v>
      </c>
      <c r="L42" s="103" t="s">
        <v>1310</v>
      </c>
      <c r="M42" s="94" t="s">
        <v>58</v>
      </c>
    </row>
    <row r="43" spans="2:13" ht="14" customHeight="1" x14ac:dyDescent="0.35">
      <c r="B43" s="99" t="s">
        <v>443</v>
      </c>
      <c r="C43" s="100" t="s">
        <v>1311</v>
      </c>
      <c r="D43" s="100" t="s">
        <v>1291</v>
      </c>
      <c r="E43" s="101" t="s">
        <v>432</v>
      </c>
      <c r="F43" s="100" t="s">
        <v>445</v>
      </c>
      <c r="G43" s="100" t="s">
        <v>445</v>
      </c>
      <c r="H43" s="102" t="s">
        <v>462</v>
      </c>
      <c r="I43" s="100" t="s">
        <v>441</v>
      </c>
      <c r="J43" s="100" t="s">
        <v>204</v>
      </c>
      <c r="K43" s="100" t="s">
        <v>436</v>
      </c>
      <c r="L43" s="103" t="s">
        <v>1312</v>
      </c>
      <c r="M43" s="94" t="s">
        <v>58</v>
      </c>
    </row>
    <row r="44" spans="2:13" ht="14" customHeight="1" x14ac:dyDescent="0.35">
      <c r="B44" s="99" t="s">
        <v>574</v>
      </c>
      <c r="C44" s="100" t="s">
        <v>1313</v>
      </c>
      <c r="D44" s="100" t="s">
        <v>1269</v>
      </c>
      <c r="E44" s="101" t="s">
        <v>576</v>
      </c>
      <c r="F44" s="100" t="s">
        <v>439</v>
      </c>
      <c r="G44" s="100" t="s">
        <v>439</v>
      </c>
      <c r="H44" s="102" t="s">
        <v>462</v>
      </c>
      <c r="I44" s="100" t="s">
        <v>462</v>
      </c>
      <c r="J44" s="100" t="s">
        <v>303</v>
      </c>
      <c r="K44" s="100" t="s">
        <v>526</v>
      </c>
      <c r="L44" s="103" t="s">
        <v>58</v>
      </c>
      <c r="M44" s="94" t="s">
        <v>58</v>
      </c>
    </row>
    <row r="45" spans="2:13" ht="14" customHeight="1" x14ac:dyDescent="0.35">
      <c r="B45" s="99" t="s">
        <v>623</v>
      </c>
      <c r="C45" s="100" t="s">
        <v>1314</v>
      </c>
      <c r="D45" s="100" t="s">
        <v>1291</v>
      </c>
      <c r="E45" s="101" t="s">
        <v>440</v>
      </c>
      <c r="F45" s="100" t="s">
        <v>567</v>
      </c>
      <c r="G45" s="100" t="s">
        <v>625</v>
      </c>
      <c r="H45" s="102" t="s">
        <v>462</v>
      </c>
      <c r="I45" s="100" t="s">
        <v>462</v>
      </c>
      <c r="J45" s="100" t="s">
        <v>318</v>
      </c>
      <c r="K45" s="100" t="s">
        <v>526</v>
      </c>
      <c r="L45" s="103" t="s">
        <v>58</v>
      </c>
      <c r="M45" s="94" t="s">
        <v>58</v>
      </c>
    </row>
    <row r="46" spans="2:13" ht="14" customHeight="1" x14ac:dyDescent="0.35">
      <c r="B46" s="99" t="s">
        <v>643</v>
      </c>
      <c r="C46" s="100" t="s">
        <v>1315</v>
      </c>
      <c r="D46" s="100" t="s">
        <v>1265</v>
      </c>
      <c r="E46" s="101" t="s">
        <v>440</v>
      </c>
      <c r="F46" s="100" t="s">
        <v>445</v>
      </c>
      <c r="G46" s="100" t="s">
        <v>445</v>
      </c>
      <c r="H46" s="102" t="s">
        <v>462</v>
      </c>
      <c r="I46" s="100" t="s">
        <v>433</v>
      </c>
      <c r="J46" s="100" t="s">
        <v>531</v>
      </c>
      <c r="K46" s="100" t="s">
        <v>526</v>
      </c>
      <c r="L46" s="103" t="s">
        <v>58</v>
      </c>
      <c r="M46" s="94" t="s">
        <v>58</v>
      </c>
    </row>
    <row r="47" spans="2:13" ht="14" customHeight="1" x14ac:dyDescent="0.35">
      <c r="B47" s="99" t="s">
        <v>646</v>
      </c>
      <c r="C47" s="100" t="s">
        <v>1316</v>
      </c>
      <c r="D47" s="100" t="s">
        <v>1265</v>
      </c>
      <c r="E47" s="101" t="s">
        <v>440</v>
      </c>
      <c r="F47" s="100" t="s">
        <v>445</v>
      </c>
      <c r="G47" s="100" t="s">
        <v>445</v>
      </c>
      <c r="H47" s="102" t="s">
        <v>462</v>
      </c>
      <c r="I47" s="100" t="s">
        <v>433</v>
      </c>
      <c r="J47" s="100" t="s">
        <v>650</v>
      </c>
      <c r="K47" s="100" t="s">
        <v>526</v>
      </c>
      <c r="L47" s="103" t="s">
        <v>58</v>
      </c>
      <c r="M47" s="94" t="s">
        <v>58</v>
      </c>
    </row>
    <row r="48" spans="2:13" ht="14" customHeight="1" x14ac:dyDescent="0.35">
      <c r="B48" s="99" t="s">
        <v>663</v>
      </c>
      <c r="C48" s="100" t="s">
        <v>1317</v>
      </c>
      <c r="D48" s="100" t="s">
        <v>1291</v>
      </c>
      <c r="E48" s="101" t="s">
        <v>440</v>
      </c>
      <c r="F48" s="100" t="s">
        <v>567</v>
      </c>
      <c r="G48" s="100" t="s">
        <v>567</v>
      </c>
      <c r="H48" s="102" t="s">
        <v>462</v>
      </c>
      <c r="I48" s="100" t="s">
        <v>462</v>
      </c>
      <c r="J48" s="100" t="s">
        <v>308</v>
      </c>
      <c r="K48" s="100" t="s">
        <v>526</v>
      </c>
      <c r="L48" s="103" t="s">
        <v>58</v>
      </c>
      <c r="M48" s="94" t="s">
        <v>58</v>
      </c>
    </row>
    <row r="49" spans="2:13" ht="14" customHeight="1" x14ac:dyDescent="0.35">
      <c r="B49" s="99" t="s">
        <v>665</v>
      </c>
      <c r="C49" s="100" t="s">
        <v>1318</v>
      </c>
      <c r="D49" s="100" t="s">
        <v>1265</v>
      </c>
      <c r="E49" s="101" t="s">
        <v>440</v>
      </c>
      <c r="F49" s="100" t="s">
        <v>567</v>
      </c>
      <c r="G49" s="100" t="s">
        <v>567</v>
      </c>
      <c r="H49" s="102" t="s">
        <v>462</v>
      </c>
      <c r="I49" s="100" t="s">
        <v>462</v>
      </c>
      <c r="J49" s="100" t="s">
        <v>308</v>
      </c>
      <c r="K49" s="100" t="s">
        <v>526</v>
      </c>
      <c r="L49" s="103" t="s">
        <v>58</v>
      </c>
      <c r="M49" s="94" t="s">
        <v>58</v>
      </c>
    </row>
    <row r="50" spans="2:13" ht="14" customHeight="1" x14ac:dyDescent="0.35">
      <c r="B50" s="99" t="s">
        <v>667</v>
      </c>
      <c r="C50" s="100" t="s">
        <v>1319</v>
      </c>
      <c r="D50" s="100" t="s">
        <v>1265</v>
      </c>
      <c r="E50" s="101" t="s">
        <v>440</v>
      </c>
      <c r="F50" s="100" t="s">
        <v>567</v>
      </c>
      <c r="G50" s="100" t="s">
        <v>567</v>
      </c>
      <c r="H50" s="102" t="s">
        <v>462</v>
      </c>
      <c r="I50" s="100" t="s">
        <v>462</v>
      </c>
      <c r="J50" s="100" t="s">
        <v>318</v>
      </c>
      <c r="K50" s="100" t="s">
        <v>526</v>
      </c>
      <c r="L50" s="103" t="s">
        <v>58</v>
      </c>
      <c r="M50" s="94" t="s">
        <v>58</v>
      </c>
    </row>
    <row r="51" spans="2:13" ht="14" customHeight="1" x14ac:dyDescent="0.35">
      <c r="B51" s="99" t="s">
        <v>671</v>
      </c>
      <c r="C51" s="100" t="s">
        <v>1320</v>
      </c>
      <c r="D51" s="100" t="s">
        <v>1291</v>
      </c>
      <c r="E51" s="101" t="s">
        <v>440</v>
      </c>
      <c r="F51" s="100" t="s">
        <v>567</v>
      </c>
      <c r="G51" s="100" t="s">
        <v>567</v>
      </c>
      <c r="H51" s="102" t="s">
        <v>462</v>
      </c>
      <c r="I51" s="100" t="s">
        <v>462</v>
      </c>
      <c r="J51" s="100" t="s">
        <v>318</v>
      </c>
      <c r="K51" s="100" t="s">
        <v>526</v>
      </c>
      <c r="L51" s="103" t="s">
        <v>58</v>
      </c>
      <c r="M51" s="94" t="s">
        <v>58</v>
      </c>
    </row>
    <row r="52" spans="2:13" ht="14" customHeight="1" x14ac:dyDescent="0.35">
      <c r="B52" s="99" t="s">
        <v>673</v>
      </c>
      <c r="C52" s="100" t="s">
        <v>1321</v>
      </c>
      <c r="D52" s="100" t="s">
        <v>1265</v>
      </c>
      <c r="E52" s="101" t="s">
        <v>440</v>
      </c>
      <c r="F52" s="100" t="s">
        <v>567</v>
      </c>
      <c r="G52" s="100" t="s">
        <v>567</v>
      </c>
      <c r="H52" s="102" t="s">
        <v>462</v>
      </c>
      <c r="I52" s="100" t="s">
        <v>514</v>
      </c>
      <c r="J52" s="100" t="s">
        <v>1322</v>
      </c>
      <c r="K52" s="100" t="s">
        <v>526</v>
      </c>
      <c r="L52" s="103" t="s">
        <v>58</v>
      </c>
      <c r="M52" s="94" t="s">
        <v>58</v>
      </c>
    </row>
    <row r="53" spans="2:13" ht="14" customHeight="1" x14ac:dyDescent="0.35">
      <c r="B53" s="99" t="s">
        <v>771</v>
      </c>
      <c r="C53" s="100" t="s">
        <v>1323</v>
      </c>
      <c r="D53" s="100" t="s">
        <v>1275</v>
      </c>
      <c r="E53" s="101" t="s">
        <v>432</v>
      </c>
      <c r="F53" s="100" t="s">
        <v>567</v>
      </c>
      <c r="G53" s="100" t="s">
        <v>567</v>
      </c>
      <c r="H53" s="102" t="s">
        <v>462</v>
      </c>
      <c r="I53" s="100" t="s">
        <v>488</v>
      </c>
      <c r="J53" s="100" t="s">
        <v>425</v>
      </c>
      <c r="K53" s="100" t="s">
        <v>526</v>
      </c>
      <c r="L53" s="103" t="s">
        <v>58</v>
      </c>
      <c r="M53" s="94" t="s">
        <v>58</v>
      </c>
    </row>
    <row r="54" spans="2:13" ht="14" customHeight="1" x14ac:dyDescent="0.35">
      <c r="B54" s="99" t="s">
        <v>773</v>
      </c>
      <c r="C54" s="100" t="s">
        <v>1324</v>
      </c>
      <c r="D54" s="100" t="s">
        <v>1275</v>
      </c>
      <c r="E54" s="101" t="s">
        <v>432</v>
      </c>
      <c r="F54" s="100" t="s">
        <v>567</v>
      </c>
      <c r="G54" s="100" t="s">
        <v>567</v>
      </c>
      <c r="H54" s="102" t="s">
        <v>462</v>
      </c>
      <c r="I54" s="100" t="s">
        <v>462</v>
      </c>
      <c r="J54" s="100" t="s">
        <v>308</v>
      </c>
      <c r="K54" s="100" t="s">
        <v>436</v>
      </c>
      <c r="L54" s="103" t="s">
        <v>58</v>
      </c>
      <c r="M54" s="94" t="s">
        <v>58</v>
      </c>
    </row>
    <row r="55" spans="2:13" ht="14" customHeight="1" x14ac:dyDescent="0.35">
      <c r="B55" s="99" t="s">
        <v>775</v>
      </c>
      <c r="C55" s="100" t="s">
        <v>1325</v>
      </c>
      <c r="D55" s="100" t="s">
        <v>1265</v>
      </c>
      <c r="E55" s="101" t="s">
        <v>432</v>
      </c>
      <c r="F55" s="100" t="s">
        <v>567</v>
      </c>
      <c r="G55" s="100" t="s">
        <v>567</v>
      </c>
      <c r="H55" s="102" t="s">
        <v>462</v>
      </c>
      <c r="I55" s="100" t="s">
        <v>462</v>
      </c>
      <c r="J55" s="100" t="s">
        <v>318</v>
      </c>
      <c r="K55" s="100" t="s">
        <v>526</v>
      </c>
      <c r="L55" s="103" t="s">
        <v>58</v>
      </c>
      <c r="M55" s="94" t="s">
        <v>58</v>
      </c>
    </row>
    <row r="56" spans="2:13" ht="14" customHeight="1" x14ac:dyDescent="0.35">
      <c r="B56" s="99" t="s">
        <v>808</v>
      </c>
      <c r="C56" s="100" t="s">
        <v>1326</v>
      </c>
      <c r="D56" s="100" t="s">
        <v>1291</v>
      </c>
      <c r="E56" s="101" t="s">
        <v>432</v>
      </c>
      <c r="F56" s="100" t="s">
        <v>540</v>
      </c>
      <c r="G56" s="100" t="s">
        <v>560</v>
      </c>
      <c r="H56" s="102" t="s">
        <v>462</v>
      </c>
      <c r="I56" s="100" t="s">
        <v>441</v>
      </c>
      <c r="J56" s="100" t="s">
        <v>204</v>
      </c>
      <c r="K56" s="100" t="s">
        <v>526</v>
      </c>
      <c r="L56" s="103" t="s">
        <v>58</v>
      </c>
      <c r="M56" s="94" t="s">
        <v>58</v>
      </c>
    </row>
    <row r="57" spans="2:13" ht="14" customHeight="1" x14ac:dyDescent="0.35">
      <c r="B57" s="99" t="s">
        <v>710</v>
      </c>
      <c r="C57" s="100" t="s">
        <v>1327</v>
      </c>
      <c r="D57" s="100" t="s">
        <v>1291</v>
      </c>
      <c r="E57" s="101" t="s">
        <v>432</v>
      </c>
      <c r="F57" s="100" t="s">
        <v>540</v>
      </c>
      <c r="G57" s="100" t="s">
        <v>712</v>
      </c>
      <c r="H57" s="102" t="s">
        <v>1328</v>
      </c>
      <c r="I57" s="100" t="s">
        <v>488</v>
      </c>
      <c r="J57" s="100" t="s">
        <v>489</v>
      </c>
      <c r="K57" s="100" t="s">
        <v>436</v>
      </c>
      <c r="L57" s="103" t="s">
        <v>1329</v>
      </c>
      <c r="M57" s="94" t="s">
        <v>58</v>
      </c>
    </row>
    <row r="58" spans="2:13" ht="14" customHeight="1" x14ac:dyDescent="0.35">
      <c r="B58" s="99" t="s">
        <v>759</v>
      </c>
      <c r="C58" s="100" t="s">
        <v>1330</v>
      </c>
      <c r="D58" s="100" t="s">
        <v>1265</v>
      </c>
      <c r="E58" s="101" t="s">
        <v>432</v>
      </c>
      <c r="F58" s="100" t="s">
        <v>567</v>
      </c>
      <c r="G58" s="100" t="s">
        <v>567</v>
      </c>
      <c r="H58" s="102" t="s">
        <v>1328</v>
      </c>
      <c r="I58" s="100" t="s">
        <v>488</v>
      </c>
      <c r="J58" s="100" t="s">
        <v>489</v>
      </c>
      <c r="K58" s="100" t="s">
        <v>526</v>
      </c>
      <c r="L58" s="103" t="s">
        <v>1330</v>
      </c>
      <c r="M58" s="94" t="s">
        <v>58</v>
      </c>
    </row>
    <row r="59" spans="2:13" ht="14" customHeight="1" x14ac:dyDescent="0.35">
      <c r="B59" s="99" t="s">
        <v>651</v>
      </c>
      <c r="C59" s="100" t="s">
        <v>1331</v>
      </c>
      <c r="D59" s="100" t="s">
        <v>1280</v>
      </c>
      <c r="E59" s="101" t="s">
        <v>440</v>
      </c>
      <c r="F59" s="100" t="s">
        <v>445</v>
      </c>
      <c r="G59" s="100" t="s">
        <v>445</v>
      </c>
      <c r="H59" s="102" t="s">
        <v>1328</v>
      </c>
      <c r="I59" s="100" t="s">
        <v>488</v>
      </c>
      <c r="J59" s="100" t="s">
        <v>489</v>
      </c>
      <c r="K59" s="100" t="s">
        <v>526</v>
      </c>
      <c r="L59" s="103" t="s">
        <v>58</v>
      </c>
      <c r="M59" s="94" t="s">
        <v>58</v>
      </c>
    </row>
    <row r="60" spans="2:13" ht="14" customHeight="1" x14ac:dyDescent="0.35">
      <c r="B60" s="99" t="s">
        <v>691</v>
      </c>
      <c r="C60" s="100" t="s">
        <v>1332</v>
      </c>
      <c r="D60" s="100" t="s">
        <v>1291</v>
      </c>
      <c r="E60" s="101" t="s">
        <v>432</v>
      </c>
      <c r="F60" s="100" t="s">
        <v>540</v>
      </c>
      <c r="G60" s="100" t="s">
        <v>695</v>
      </c>
      <c r="H60" s="102" t="s">
        <v>1328</v>
      </c>
      <c r="I60" s="100" t="s">
        <v>441</v>
      </c>
      <c r="J60" s="100" t="s">
        <v>204</v>
      </c>
      <c r="K60" s="100" t="s">
        <v>436</v>
      </c>
      <c r="L60" s="103" t="s">
        <v>58</v>
      </c>
      <c r="M60" s="94" t="s">
        <v>58</v>
      </c>
    </row>
    <row r="61" spans="2:13" ht="14" customHeight="1" x14ac:dyDescent="0.35">
      <c r="B61" s="99" t="s">
        <v>702</v>
      </c>
      <c r="C61" s="100" t="s">
        <v>1333</v>
      </c>
      <c r="D61" s="100" t="s">
        <v>1280</v>
      </c>
      <c r="E61" s="101" t="s">
        <v>432</v>
      </c>
      <c r="F61" s="100" t="s">
        <v>706</v>
      </c>
      <c r="G61" s="100" t="s">
        <v>450</v>
      </c>
      <c r="H61" s="102" t="s">
        <v>1328</v>
      </c>
      <c r="I61" s="100" t="s">
        <v>488</v>
      </c>
      <c r="J61" s="100" t="s">
        <v>489</v>
      </c>
      <c r="K61" s="100" t="s">
        <v>436</v>
      </c>
      <c r="L61" s="103" t="s">
        <v>58</v>
      </c>
      <c r="M61" s="94" t="s">
        <v>58</v>
      </c>
    </row>
    <row r="62" spans="2:13" ht="14" customHeight="1" x14ac:dyDescent="0.35">
      <c r="B62" s="99" t="s">
        <v>704</v>
      </c>
      <c r="C62" s="100" t="s">
        <v>1334</v>
      </c>
      <c r="D62" s="100" t="s">
        <v>1280</v>
      </c>
      <c r="E62" s="101" t="s">
        <v>432</v>
      </c>
      <c r="F62" s="100" t="s">
        <v>540</v>
      </c>
      <c r="G62" s="100" t="s">
        <v>450</v>
      </c>
      <c r="H62" s="102" t="s">
        <v>1328</v>
      </c>
      <c r="I62" s="100" t="s">
        <v>488</v>
      </c>
      <c r="J62" s="100" t="s">
        <v>489</v>
      </c>
      <c r="K62" s="100" t="s">
        <v>436</v>
      </c>
      <c r="L62" s="103" t="s">
        <v>58</v>
      </c>
      <c r="M62" s="94" t="s">
        <v>58</v>
      </c>
    </row>
    <row r="63" spans="2:13" ht="14" customHeight="1" x14ac:dyDescent="0.35">
      <c r="B63" s="99" t="s">
        <v>724</v>
      </c>
      <c r="C63" s="100" t="s">
        <v>1335</v>
      </c>
      <c r="D63" s="100" t="s">
        <v>1275</v>
      </c>
      <c r="E63" s="101" t="s">
        <v>432</v>
      </c>
      <c r="F63" s="100" t="s">
        <v>455</v>
      </c>
      <c r="G63" s="100" t="s">
        <v>726</v>
      </c>
      <c r="H63" s="102" t="s">
        <v>1328</v>
      </c>
      <c r="I63" s="100" t="s">
        <v>462</v>
      </c>
      <c r="J63" s="100" t="s">
        <v>318</v>
      </c>
      <c r="K63" s="100" t="s">
        <v>526</v>
      </c>
      <c r="L63" s="103" t="s">
        <v>58</v>
      </c>
      <c r="M63" s="94" t="s">
        <v>58</v>
      </c>
    </row>
    <row r="64" spans="2:13" ht="14" customHeight="1" x14ac:dyDescent="0.35">
      <c r="B64" s="99" t="s">
        <v>655</v>
      </c>
      <c r="C64" s="100" t="s">
        <v>1336</v>
      </c>
      <c r="D64" s="100" t="s">
        <v>1280</v>
      </c>
      <c r="E64" s="101" t="s">
        <v>440</v>
      </c>
      <c r="F64" s="100" t="s">
        <v>567</v>
      </c>
      <c r="G64" s="100" t="s">
        <v>567</v>
      </c>
      <c r="H64" s="102" t="s">
        <v>462</v>
      </c>
      <c r="I64" s="100" t="s">
        <v>462</v>
      </c>
      <c r="J64" s="100" t="s">
        <v>318</v>
      </c>
      <c r="K64" s="100" t="s">
        <v>526</v>
      </c>
      <c r="L64" s="103" t="s">
        <v>58</v>
      </c>
      <c r="M64" s="94" t="s">
        <v>58</v>
      </c>
    </row>
    <row r="65" spans="2:13" ht="14" customHeight="1" x14ac:dyDescent="0.35">
      <c r="B65" s="99" t="s">
        <v>975</v>
      </c>
      <c r="C65" s="100" t="s">
        <v>1337</v>
      </c>
      <c r="D65" s="100" t="s">
        <v>1269</v>
      </c>
      <c r="E65" s="101" t="s">
        <v>855</v>
      </c>
      <c r="F65" s="100" t="s">
        <v>977</v>
      </c>
      <c r="G65" s="100" t="s">
        <v>977</v>
      </c>
      <c r="H65" s="102" t="s">
        <v>1328</v>
      </c>
      <c r="I65" s="100" t="s">
        <v>488</v>
      </c>
      <c r="J65" s="100" t="s">
        <v>425</v>
      </c>
      <c r="K65" s="100" t="s">
        <v>436</v>
      </c>
      <c r="L65" s="103" t="s">
        <v>58</v>
      </c>
      <c r="M65" s="94" t="s">
        <v>58</v>
      </c>
    </row>
    <row r="66" spans="2:13" ht="14" customHeight="1" x14ac:dyDescent="0.35">
      <c r="B66" s="99" t="s">
        <v>888</v>
      </c>
      <c r="C66" s="100" t="s">
        <v>1338</v>
      </c>
      <c r="D66" s="100" t="s">
        <v>1280</v>
      </c>
      <c r="E66" s="101" t="s">
        <v>814</v>
      </c>
      <c r="F66" s="100" t="s">
        <v>890</v>
      </c>
      <c r="G66" s="100" t="s">
        <v>890</v>
      </c>
      <c r="H66" s="102" t="s">
        <v>1328</v>
      </c>
      <c r="I66" s="100" t="s">
        <v>585</v>
      </c>
      <c r="J66" s="100" t="s">
        <v>170</v>
      </c>
      <c r="K66" s="100" t="s">
        <v>436</v>
      </c>
      <c r="L66" s="103" t="s">
        <v>1339</v>
      </c>
      <c r="M66" s="94" t="s">
        <v>58</v>
      </c>
    </row>
    <row r="67" spans="2:13" ht="14" customHeight="1" x14ac:dyDescent="0.35">
      <c r="B67" s="99" t="s">
        <v>877</v>
      </c>
      <c r="C67" s="100" t="s">
        <v>1340</v>
      </c>
      <c r="D67" s="100" t="s">
        <v>1265</v>
      </c>
      <c r="E67" s="101" t="s">
        <v>461</v>
      </c>
      <c r="F67" s="100" t="s">
        <v>419</v>
      </c>
      <c r="G67" s="100" t="s">
        <v>419</v>
      </c>
      <c r="H67" s="102" t="s">
        <v>1328</v>
      </c>
      <c r="I67" s="100" t="s">
        <v>488</v>
      </c>
      <c r="J67" s="100" t="s">
        <v>425</v>
      </c>
      <c r="K67" s="100" t="s">
        <v>427</v>
      </c>
      <c r="L67" s="103" t="s">
        <v>1341</v>
      </c>
      <c r="M67" s="94" t="s">
        <v>58</v>
      </c>
    </row>
    <row r="68" spans="2:13" ht="14" customHeight="1" x14ac:dyDescent="0.35">
      <c r="B68" s="99" t="s">
        <v>521</v>
      </c>
      <c r="C68" s="100" t="s">
        <v>1342</v>
      </c>
      <c r="D68" s="100" t="s">
        <v>1291</v>
      </c>
      <c r="E68" s="101" t="s">
        <v>432</v>
      </c>
      <c r="F68" s="100" t="s">
        <v>450</v>
      </c>
      <c r="G68" s="100" t="s">
        <v>450</v>
      </c>
      <c r="H68" s="102" t="s">
        <v>1328</v>
      </c>
      <c r="I68" s="100" t="s">
        <v>488</v>
      </c>
      <c r="J68" s="100" t="s">
        <v>425</v>
      </c>
      <c r="K68" s="100" t="s">
        <v>436</v>
      </c>
      <c r="L68" s="103" t="s">
        <v>58</v>
      </c>
      <c r="M68" s="94" t="s">
        <v>58</v>
      </c>
    </row>
    <row r="69" spans="2:13" ht="14" customHeight="1" x14ac:dyDescent="0.35">
      <c r="B69" s="99" t="s">
        <v>554</v>
      </c>
      <c r="C69" s="100" t="s">
        <v>1343</v>
      </c>
      <c r="D69" s="100" t="s">
        <v>1291</v>
      </c>
      <c r="E69" s="101" t="s">
        <v>440</v>
      </c>
      <c r="F69" s="100" t="s">
        <v>445</v>
      </c>
      <c r="G69" s="100" t="s">
        <v>445</v>
      </c>
      <c r="H69" s="102" t="s">
        <v>1328</v>
      </c>
      <c r="I69" s="100" t="s">
        <v>488</v>
      </c>
      <c r="J69" s="100" t="s">
        <v>294</v>
      </c>
      <c r="K69" s="100" t="s">
        <v>436</v>
      </c>
      <c r="L69" s="103" t="s">
        <v>58</v>
      </c>
      <c r="M69" s="94" t="s">
        <v>58</v>
      </c>
    </row>
    <row r="70" spans="2:13" ht="14" customHeight="1" x14ac:dyDescent="0.35">
      <c r="B70" s="99" t="s">
        <v>583</v>
      </c>
      <c r="C70" s="100" t="s">
        <v>1344</v>
      </c>
      <c r="D70" s="100" t="s">
        <v>1269</v>
      </c>
      <c r="E70" s="101" t="s">
        <v>440</v>
      </c>
      <c r="F70" s="100" t="s">
        <v>580</v>
      </c>
      <c r="G70" s="100" t="s">
        <v>580</v>
      </c>
      <c r="H70" s="102" t="s">
        <v>1328</v>
      </c>
      <c r="I70" s="100" t="s">
        <v>479</v>
      </c>
      <c r="J70" s="100" t="s">
        <v>91</v>
      </c>
      <c r="K70" s="100" t="s">
        <v>526</v>
      </c>
      <c r="L70" s="103" t="s">
        <v>58</v>
      </c>
      <c r="M70" s="94" t="s">
        <v>58</v>
      </c>
    </row>
    <row r="71" spans="2:13" ht="14" customHeight="1" x14ac:dyDescent="0.35">
      <c r="B71" s="99" t="s">
        <v>777</v>
      </c>
      <c r="C71" s="100" t="s">
        <v>1345</v>
      </c>
      <c r="D71" s="100" t="s">
        <v>1265</v>
      </c>
      <c r="E71" s="101" t="s">
        <v>432</v>
      </c>
      <c r="F71" s="100" t="s">
        <v>567</v>
      </c>
      <c r="G71" s="100" t="s">
        <v>567</v>
      </c>
      <c r="H71" s="102" t="s">
        <v>1328</v>
      </c>
      <c r="I71" s="100" t="s">
        <v>488</v>
      </c>
      <c r="J71" s="100" t="s">
        <v>425</v>
      </c>
      <c r="K71" s="100" t="s">
        <v>526</v>
      </c>
      <c r="L71" s="103" t="s">
        <v>58</v>
      </c>
      <c r="M71" s="94" t="s">
        <v>58</v>
      </c>
    </row>
    <row r="72" spans="2:13" x14ac:dyDescent="0.35">
      <c r="B72" s="104"/>
      <c r="I72" s="104"/>
    </row>
    <row r="73" spans="2:13" x14ac:dyDescent="0.35">
      <c r="B73" s="87" t="s">
        <v>19</v>
      </c>
      <c r="I73" s="104"/>
    </row>
    <row r="74" spans="2:13" ht="14" customHeight="1" x14ac:dyDescent="0.35">
      <c r="B74" s="18" t="s">
        <v>39</v>
      </c>
      <c r="I74" s="104"/>
    </row>
    <row r="75" spans="2:13" ht="14" customHeight="1" x14ac:dyDescent="0.35">
      <c r="B75" s="18" t="s">
        <v>30</v>
      </c>
      <c r="I75" s="104"/>
    </row>
    <row r="76" spans="2:13" ht="14" customHeight="1" x14ac:dyDescent="0.35">
      <c r="B76" s="18" t="s">
        <v>22</v>
      </c>
      <c r="I76" s="104"/>
    </row>
    <row r="77" spans="2:13" ht="14" customHeight="1" x14ac:dyDescent="0.35">
      <c r="B77" s="18" t="s">
        <v>23</v>
      </c>
      <c r="I77" s="104"/>
    </row>
    <row r="78" spans="2:13" ht="14" customHeight="1" x14ac:dyDescent="0.35">
      <c r="B78" s="18" t="s">
        <v>36</v>
      </c>
      <c r="I78" s="104"/>
    </row>
    <row r="79" spans="2:13" ht="14" customHeight="1" x14ac:dyDescent="0.35">
      <c r="B79" s="18" t="s">
        <v>31</v>
      </c>
    </row>
    <row r="80" spans="2:13" x14ac:dyDescent="0.35">
      <c r="B80" s="104"/>
      <c r="I80" s="104"/>
    </row>
    <row r="81" spans="2:3" x14ac:dyDescent="0.35">
      <c r="B81" s="78" t="s">
        <v>26</v>
      </c>
      <c r="C81" s="78"/>
    </row>
    <row r="82" spans="2:3" ht="14" customHeight="1" x14ac:dyDescent="0.35">
      <c r="B82" s="18" t="s">
        <v>27</v>
      </c>
    </row>
    <row r="83" spans="2:3" ht="14" customHeight="1" x14ac:dyDescent="0.35"/>
    <row r="84" spans="2:3" x14ac:dyDescent="0.35"/>
    <row r="85" spans="2:3" x14ac:dyDescent="0.35"/>
    <row r="86" spans="2:3" x14ac:dyDescent="0.35"/>
    <row r="87" spans="2:3" ht="14" customHeight="1" x14ac:dyDescent="0.35">
      <c r="B87" s="88"/>
      <c r="C87" s="88"/>
    </row>
    <row r="88" spans="2:3" ht="14" customHeight="1" x14ac:dyDescent="0.35">
      <c r="B88" s="88"/>
      <c r="C88" s="88"/>
    </row>
    <row r="89" spans="2:3" ht="14" customHeight="1" x14ac:dyDescent="0.35">
      <c r="B89" s="88"/>
      <c r="C89" s="88"/>
    </row>
    <row r="90" spans="2:3" ht="14" customHeight="1" x14ac:dyDescent="0.35">
      <c r="B90" s="88"/>
      <c r="C90" s="88"/>
    </row>
    <row r="91" spans="2:3" ht="14" customHeight="1" x14ac:dyDescent="0.35">
      <c r="B91" s="88"/>
      <c r="C91" s="88"/>
    </row>
    <row r="92" spans="2:3" ht="14" customHeight="1" x14ac:dyDescent="0.35">
      <c r="B92" s="88"/>
      <c r="C92" s="88"/>
    </row>
    <row r="93" spans="2:3" ht="14" customHeight="1" x14ac:dyDescent="0.35">
      <c r="B93" s="88"/>
      <c r="C93" s="88"/>
    </row>
    <row r="94" spans="2:3" ht="14" customHeight="1" x14ac:dyDescent="0.35">
      <c r="B94" s="88"/>
      <c r="C94" s="88"/>
    </row>
    <row r="95" spans="2:3" ht="14" customHeight="1" x14ac:dyDescent="0.35">
      <c r="B95" s="88"/>
      <c r="C95" s="88"/>
    </row>
    <row r="96" spans="2:3" ht="14" customHeight="1" x14ac:dyDescent="0.35">
      <c r="B96" s="88"/>
      <c r="C96" s="88"/>
    </row>
    <row r="97" spans="2:3" ht="14" customHeight="1" x14ac:dyDescent="0.35">
      <c r="B97" s="88"/>
      <c r="C97" s="88"/>
    </row>
    <row r="98" spans="2:3" ht="14" customHeight="1" x14ac:dyDescent="0.35">
      <c r="B98" s="88"/>
      <c r="C98" s="88"/>
    </row>
    <row r="99" spans="2:3" ht="14" customHeight="1" x14ac:dyDescent="0.35">
      <c r="B99" s="88"/>
      <c r="C99" s="88"/>
    </row>
    <row r="100" spans="2:3" ht="14" customHeight="1" x14ac:dyDescent="0.35">
      <c r="B100" s="88"/>
      <c r="C100" s="88"/>
    </row>
    <row r="101" spans="2:3" ht="14" customHeight="1" x14ac:dyDescent="0.35">
      <c r="B101" s="88"/>
      <c r="C101" s="88"/>
    </row>
    <row r="102" spans="2:3" ht="14" customHeight="1" x14ac:dyDescent="0.35">
      <c r="B102" s="88"/>
      <c r="C102" s="88"/>
    </row>
    <row r="103" spans="2:3" ht="14" customHeight="1" x14ac:dyDescent="0.35">
      <c r="B103" s="88"/>
      <c r="C103" s="88"/>
    </row>
    <row r="104" spans="2:3" ht="14" customHeight="1" x14ac:dyDescent="0.35">
      <c r="B104" s="88"/>
      <c r="C104" s="88"/>
    </row>
    <row r="105" spans="2:3" ht="14" customHeight="1" x14ac:dyDescent="0.35">
      <c r="B105" s="88"/>
      <c r="C105" s="88"/>
    </row>
    <row r="106" spans="2:3" ht="14" customHeight="1" x14ac:dyDescent="0.35"/>
    <row r="107" spans="2:3" ht="14" customHeight="1" x14ac:dyDescent="0.35"/>
    <row r="108" spans="2:3" ht="14" customHeight="1" x14ac:dyDescent="0.35"/>
    <row r="109" spans="2:3" ht="14" customHeight="1" x14ac:dyDescent="0.35"/>
    <row r="110" spans="2:3" ht="14" customHeight="1" x14ac:dyDescent="0.35"/>
  </sheetData>
  <dataValidations count="1">
    <dataValidation type="list" allowBlank="1" showInputMessage="1" showErrorMessage="1" sqref="D7:D71" xr:uid="{4242AC5B-E91F-42B8-B0B5-955BD18881E3}">
      <formula1>$Q$28:$Q$30</formula1>
    </dataValidation>
  </dataValidations>
  <hyperlinks>
    <hyperlink ref="B4" location="'Index sheet'!A1" display="Back to index" xr:uid="{00000000-0004-0000-0400-000000000000}"/>
  </hyperlinks>
  <pageMargins left="0.7" right="0.7" top="0.75" bottom="0.75" header="0.3" footer="0.3"/>
  <ignoredErrors>
    <ignoredError sqref="B72:M110 B1:M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87"/>
  <sheetViews>
    <sheetView showGridLines="0" workbookViewId="0">
      <selection activeCell="A6" sqref="A6:XFD6"/>
    </sheetView>
  </sheetViews>
  <sheetFormatPr baseColWidth="10" defaultColWidth="8.54296875" defaultRowHeight="11.5" customHeight="1" x14ac:dyDescent="0.35"/>
  <cols>
    <col min="1" max="1" width="3.1796875" style="18" customWidth="1"/>
    <col min="2" max="2" width="16.453125" style="18" customWidth="1"/>
    <col min="3" max="3" width="15" style="18" customWidth="1"/>
    <col min="4" max="5" width="17.81640625" style="18" customWidth="1"/>
    <col min="6" max="8" width="15" style="18" customWidth="1"/>
    <col min="9" max="9" width="20.453125" style="18" customWidth="1"/>
    <col min="10" max="10" width="8.54296875" style="18" customWidth="1"/>
    <col min="11" max="16384" width="8.54296875" style="18"/>
  </cols>
  <sheetData>
    <row r="1" spans="2:9" ht="15" customHeight="1" x14ac:dyDescent="0.35">
      <c r="B1" s="89" t="s">
        <v>40</v>
      </c>
      <c r="C1" s="89"/>
      <c r="D1" s="89"/>
      <c r="E1" s="89"/>
      <c r="F1" s="89"/>
      <c r="G1" s="89"/>
      <c r="H1" s="89"/>
      <c r="I1" s="89"/>
    </row>
    <row r="2" spans="2:9" ht="15.75" customHeight="1" x14ac:dyDescent="0.35">
      <c r="B2" s="89" t="s">
        <v>41</v>
      </c>
      <c r="C2" s="89"/>
      <c r="D2" s="89"/>
      <c r="E2" s="89"/>
      <c r="F2" s="89"/>
      <c r="G2" s="89"/>
      <c r="H2" s="89"/>
      <c r="I2" s="89"/>
    </row>
    <row r="3" spans="2:9" x14ac:dyDescent="0.35">
      <c r="B3" s="92"/>
      <c r="C3" s="92"/>
      <c r="D3" s="92"/>
      <c r="E3" s="92"/>
      <c r="F3" s="92"/>
      <c r="G3" s="92"/>
      <c r="H3" s="92"/>
      <c r="I3" s="92"/>
    </row>
    <row r="4" spans="2:9" x14ac:dyDescent="0.35">
      <c r="B4" s="85" t="s">
        <v>16</v>
      </c>
      <c r="C4" s="85"/>
      <c r="D4" s="77"/>
      <c r="E4" s="86"/>
      <c r="F4" s="85"/>
      <c r="G4" s="85"/>
      <c r="H4" s="85"/>
      <c r="I4" s="85"/>
    </row>
    <row r="5" spans="2:9" x14ac:dyDescent="0.35">
      <c r="E5" s="86"/>
    </row>
    <row r="6" spans="2:9" s="78" customFormat="1" ht="37" customHeight="1" x14ac:dyDescent="0.35">
      <c r="B6" s="97" t="s">
        <v>1594</v>
      </c>
      <c r="C6" s="98" t="s">
        <v>1570</v>
      </c>
      <c r="D6" s="98" t="s">
        <v>45</v>
      </c>
      <c r="E6" s="98" t="s">
        <v>1591</v>
      </c>
      <c r="F6" s="98" t="s">
        <v>1576</v>
      </c>
      <c r="G6" s="98" t="s">
        <v>1595</v>
      </c>
      <c r="H6" s="105" t="s">
        <v>1596</v>
      </c>
      <c r="I6" s="106" t="s">
        <v>1581</v>
      </c>
    </row>
    <row r="7" spans="2:9" ht="11.5" customHeight="1" x14ac:dyDescent="0.35">
      <c r="B7" s="83" t="s">
        <v>269</v>
      </c>
      <c r="C7" s="83" t="s">
        <v>55</v>
      </c>
      <c r="D7" s="83" t="s">
        <v>272</v>
      </c>
      <c r="E7" s="83" t="s">
        <v>273</v>
      </c>
      <c r="F7" s="83" t="s">
        <v>81</v>
      </c>
      <c r="G7" s="94" t="s">
        <v>59</v>
      </c>
      <c r="H7" s="83" t="s">
        <v>275</v>
      </c>
      <c r="I7" s="83" t="s">
        <v>1179</v>
      </c>
    </row>
    <row r="8" spans="2:9" ht="11.5" customHeight="1" x14ac:dyDescent="0.35">
      <c r="B8" s="83" t="s">
        <v>251</v>
      </c>
      <c r="C8" s="83" t="s">
        <v>252</v>
      </c>
      <c r="D8" s="83" t="s">
        <v>253</v>
      </c>
      <c r="E8" s="83" t="s">
        <v>254</v>
      </c>
      <c r="F8" s="83" t="s">
        <v>81</v>
      </c>
      <c r="G8" s="94" t="s">
        <v>69</v>
      </c>
      <c r="H8" s="83" t="s">
        <v>255</v>
      </c>
      <c r="I8" s="83" t="s">
        <v>1346</v>
      </c>
    </row>
    <row r="9" spans="2:9" ht="11.5" customHeight="1" x14ac:dyDescent="0.35">
      <c r="B9" s="83" t="s">
        <v>217</v>
      </c>
      <c r="C9" s="83" t="s">
        <v>218</v>
      </c>
      <c r="D9" s="83" t="s">
        <v>219</v>
      </c>
      <c r="E9" s="83" t="s">
        <v>220</v>
      </c>
      <c r="F9" s="83" t="s">
        <v>61</v>
      </c>
      <c r="G9" s="94" t="s">
        <v>59</v>
      </c>
      <c r="H9" s="83" t="s">
        <v>221</v>
      </c>
      <c r="I9" s="83" t="s">
        <v>1181</v>
      </c>
    </row>
    <row r="10" spans="2:9" ht="11.5" customHeight="1" x14ac:dyDescent="0.35">
      <c r="B10" s="83" t="s">
        <v>55</v>
      </c>
      <c r="C10" s="83" t="s">
        <v>55</v>
      </c>
      <c r="D10" s="83" t="s">
        <v>71</v>
      </c>
      <c r="E10" s="83" t="s">
        <v>72</v>
      </c>
      <c r="F10" s="83" t="s">
        <v>61</v>
      </c>
      <c r="G10" s="94" t="s">
        <v>59</v>
      </c>
      <c r="H10" s="83" t="s">
        <v>73</v>
      </c>
      <c r="I10" s="83" t="s">
        <v>1183</v>
      </c>
    </row>
    <row r="11" spans="2:9" ht="11.5" customHeight="1" x14ac:dyDescent="0.35">
      <c r="B11" s="83" t="s">
        <v>347</v>
      </c>
      <c r="C11" s="83" t="s">
        <v>348</v>
      </c>
      <c r="D11" s="83" t="s">
        <v>358</v>
      </c>
      <c r="E11" s="83" t="s">
        <v>359</v>
      </c>
      <c r="F11" s="83" t="s">
        <v>61</v>
      </c>
      <c r="G11" s="94" t="s">
        <v>59</v>
      </c>
      <c r="H11" s="83" t="s">
        <v>360</v>
      </c>
      <c r="I11" s="83" t="s">
        <v>1185</v>
      </c>
    </row>
    <row r="12" spans="2:9" ht="11.5" customHeight="1" x14ac:dyDescent="0.35">
      <c r="B12" s="83" t="s">
        <v>114</v>
      </c>
      <c r="C12" s="83" t="s">
        <v>123</v>
      </c>
      <c r="D12" s="83" t="s">
        <v>163</v>
      </c>
      <c r="E12" s="83" t="s">
        <v>164</v>
      </c>
      <c r="F12" s="83" t="s">
        <v>61</v>
      </c>
      <c r="G12" s="94" t="s">
        <v>59</v>
      </c>
      <c r="H12" s="83" t="s">
        <v>166</v>
      </c>
      <c r="I12" s="83" t="s">
        <v>1187</v>
      </c>
    </row>
    <row r="13" spans="2:9" ht="11.5" customHeight="1" x14ac:dyDescent="0.35">
      <c r="B13" s="83" t="s">
        <v>269</v>
      </c>
      <c r="C13" s="83" t="s">
        <v>55</v>
      </c>
      <c r="D13" s="83" t="s">
        <v>280</v>
      </c>
      <c r="E13" s="83" t="s">
        <v>281</v>
      </c>
      <c r="F13" s="83" t="s">
        <v>81</v>
      </c>
      <c r="G13" s="94" t="s">
        <v>59</v>
      </c>
      <c r="H13" s="83" t="s">
        <v>282</v>
      </c>
      <c r="I13" s="83" t="s">
        <v>1189</v>
      </c>
    </row>
    <row r="14" spans="2:9" ht="11.5" customHeight="1" x14ac:dyDescent="0.35">
      <c r="B14" s="83" t="s">
        <v>223</v>
      </c>
      <c r="C14" s="83" t="s">
        <v>224</v>
      </c>
      <c r="D14" s="83" t="s">
        <v>241</v>
      </c>
      <c r="E14" s="83" t="s">
        <v>242</v>
      </c>
      <c r="F14" s="83" t="s">
        <v>81</v>
      </c>
      <c r="G14" s="94" t="s">
        <v>69</v>
      </c>
      <c r="H14" s="83" t="s">
        <v>243</v>
      </c>
      <c r="I14" s="83" t="s">
        <v>1191</v>
      </c>
    </row>
    <row r="15" spans="2:9" ht="11.5" customHeight="1" x14ac:dyDescent="0.35">
      <c r="B15" s="83" t="s">
        <v>114</v>
      </c>
      <c r="C15" s="83" t="s">
        <v>119</v>
      </c>
      <c r="D15" s="83" t="s">
        <v>136</v>
      </c>
      <c r="E15" s="83" t="s">
        <v>137</v>
      </c>
      <c r="F15" s="83" t="s">
        <v>61</v>
      </c>
      <c r="G15" s="94" t="s">
        <v>59</v>
      </c>
      <c r="H15" s="83" t="s">
        <v>138</v>
      </c>
      <c r="I15" s="83" t="s">
        <v>1193</v>
      </c>
    </row>
    <row r="16" spans="2:9" ht="11.5" customHeight="1" x14ac:dyDescent="0.35">
      <c r="B16" s="83" t="s">
        <v>114</v>
      </c>
      <c r="C16" s="83" t="s">
        <v>119</v>
      </c>
      <c r="D16" s="83" t="s">
        <v>139</v>
      </c>
      <c r="E16" s="83" t="s">
        <v>140</v>
      </c>
      <c r="F16" s="83" t="s">
        <v>61</v>
      </c>
      <c r="G16" s="94" t="s">
        <v>59</v>
      </c>
      <c r="H16" s="83" t="s">
        <v>141</v>
      </c>
      <c r="I16" s="83" t="s">
        <v>1197</v>
      </c>
    </row>
    <row r="17" spans="2:9" ht="11.5" customHeight="1" x14ac:dyDescent="0.35">
      <c r="B17" s="83" t="s">
        <v>269</v>
      </c>
      <c r="C17" s="83" t="s">
        <v>276</v>
      </c>
      <c r="D17" s="83" t="s">
        <v>277</v>
      </c>
      <c r="E17" s="83" t="s">
        <v>278</v>
      </c>
      <c r="F17" s="83" t="s">
        <v>81</v>
      </c>
      <c r="G17" s="94" t="s">
        <v>59</v>
      </c>
      <c r="H17" s="83" t="s">
        <v>279</v>
      </c>
      <c r="I17" s="83" t="s">
        <v>1199</v>
      </c>
    </row>
    <row r="18" spans="2:9" ht="11.5" customHeight="1" x14ac:dyDescent="0.35">
      <c r="B18" s="83" t="s">
        <v>114</v>
      </c>
      <c r="C18" s="83" t="s">
        <v>127</v>
      </c>
      <c r="D18" s="83" t="s">
        <v>128</v>
      </c>
      <c r="E18" s="83" t="s">
        <v>129</v>
      </c>
      <c r="F18" s="83" t="s">
        <v>61</v>
      </c>
      <c r="G18" s="94" t="s">
        <v>59</v>
      </c>
      <c r="H18" s="83" t="s">
        <v>130</v>
      </c>
      <c r="I18" s="83" t="s">
        <v>1201</v>
      </c>
    </row>
    <row r="19" spans="2:9" ht="11.5" customHeight="1" x14ac:dyDescent="0.35">
      <c r="B19" s="83" t="s">
        <v>170</v>
      </c>
      <c r="C19" s="83" t="s">
        <v>170</v>
      </c>
      <c r="D19" s="83" t="s">
        <v>181</v>
      </c>
      <c r="E19" s="83" t="s">
        <v>182</v>
      </c>
      <c r="F19" s="83" t="s">
        <v>81</v>
      </c>
      <c r="G19" s="94" t="s">
        <v>59</v>
      </c>
      <c r="H19" s="83" t="s">
        <v>183</v>
      </c>
      <c r="I19" s="83" t="s">
        <v>1203</v>
      </c>
    </row>
    <row r="20" spans="2:9" ht="11.5" customHeight="1" x14ac:dyDescent="0.35">
      <c r="B20" s="83" t="s">
        <v>170</v>
      </c>
      <c r="C20" s="83" t="s">
        <v>174</v>
      </c>
      <c r="D20" s="83" t="s">
        <v>175</v>
      </c>
      <c r="E20" s="83" t="s">
        <v>175</v>
      </c>
      <c r="F20" s="83" t="s">
        <v>81</v>
      </c>
      <c r="G20" s="94" t="s">
        <v>195</v>
      </c>
      <c r="H20" s="83" t="s">
        <v>176</v>
      </c>
      <c r="I20" s="83" t="s">
        <v>1205</v>
      </c>
    </row>
    <row r="21" spans="2:9" ht="11.5" customHeight="1" x14ac:dyDescent="0.35">
      <c r="B21" s="83" t="s">
        <v>55</v>
      </c>
      <c r="C21" s="83" t="s">
        <v>55</v>
      </c>
      <c r="D21" s="83" t="s">
        <v>56</v>
      </c>
      <c r="E21" s="83" t="s">
        <v>57</v>
      </c>
      <c r="F21" s="83" t="s">
        <v>61</v>
      </c>
      <c r="G21" s="94" t="s">
        <v>59</v>
      </c>
      <c r="H21" s="83" t="s">
        <v>62</v>
      </c>
      <c r="I21" s="83" t="s">
        <v>1347</v>
      </c>
    </row>
    <row r="22" spans="2:9" ht="11.5" customHeight="1" x14ac:dyDescent="0.35">
      <c r="B22" s="83" t="s">
        <v>77</v>
      </c>
      <c r="C22" s="83" t="s">
        <v>85</v>
      </c>
      <c r="D22" s="83" t="s">
        <v>102</v>
      </c>
      <c r="E22" s="83" t="s">
        <v>103</v>
      </c>
      <c r="F22" s="83" t="s">
        <v>94</v>
      </c>
      <c r="G22" s="94" t="s">
        <v>58</v>
      </c>
      <c r="H22" s="83" t="s">
        <v>102</v>
      </c>
      <c r="I22" s="83" t="s">
        <v>1348</v>
      </c>
    </row>
    <row r="23" spans="2:9" ht="11.5" customHeight="1" x14ac:dyDescent="0.35">
      <c r="B23" s="83" t="s">
        <v>77</v>
      </c>
      <c r="C23" s="83" t="s">
        <v>83</v>
      </c>
      <c r="D23" s="83" t="s">
        <v>97</v>
      </c>
      <c r="E23" s="83" t="s">
        <v>98</v>
      </c>
      <c r="F23" s="83" t="s">
        <v>81</v>
      </c>
      <c r="G23" s="94" t="s">
        <v>59</v>
      </c>
      <c r="H23" s="83" t="s">
        <v>99</v>
      </c>
      <c r="I23" s="83" t="s">
        <v>1349</v>
      </c>
    </row>
    <row r="24" spans="2:9" ht="11.5" customHeight="1" x14ac:dyDescent="0.35">
      <c r="B24" s="83" t="s">
        <v>269</v>
      </c>
      <c r="C24" s="83" t="s">
        <v>270</v>
      </c>
      <c r="D24" s="83" t="s">
        <v>291</v>
      </c>
      <c r="E24" s="83" t="s">
        <v>292</v>
      </c>
      <c r="F24" s="83" t="s">
        <v>81</v>
      </c>
      <c r="G24" s="94" t="s">
        <v>59</v>
      </c>
      <c r="H24" s="83" t="s">
        <v>293</v>
      </c>
      <c r="I24" s="83" t="s">
        <v>1208</v>
      </c>
    </row>
    <row r="25" spans="2:9" ht="11.5" customHeight="1" x14ac:dyDescent="0.35">
      <c r="B25" s="83" t="s">
        <v>77</v>
      </c>
      <c r="C25" s="83" t="s">
        <v>85</v>
      </c>
      <c r="D25" s="83" t="s">
        <v>86</v>
      </c>
      <c r="E25" s="83" t="s">
        <v>87</v>
      </c>
      <c r="F25" s="83" t="s">
        <v>81</v>
      </c>
      <c r="G25" s="94" t="s">
        <v>69</v>
      </c>
      <c r="H25" s="83" t="s">
        <v>88</v>
      </c>
      <c r="I25" s="83" t="s">
        <v>1350</v>
      </c>
    </row>
    <row r="26" spans="2:9" ht="11.5" customHeight="1" x14ac:dyDescent="0.35">
      <c r="B26" s="83" t="s">
        <v>223</v>
      </c>
      <c r="C26" s="83" t="s">
        <v>224</v>
      </c>
      <c r="D26" s="83" t="s">
        <v>238</v>
      </c>
      <c r="E26" s="83" t="s">
        <v>239</v>
      </c>
      <c r="F26" s="83" t="s">
        <v>61</v>
      </c>
      <c r="G26" s="94" t="s">
        <v>59</v>
      </c>
      <c r="H26" s="83" t="s">
        <v>240</v>
      </c>
      <c r="I26" s="83" t="s">
        <v>1210</v>
      </c>
    </row>
    <row r="27" spans="2:9" ht="11.5" customHeight="1" x14ac:dyDescent="0.35">
      <c r="B27" s="83" t="s">
        <v>77</v>
      </c>
      <c r="C27" s="83" t="s">
        <v>85</v>
      </c>
      <c r="D27" s="83" t="s">
        <v>110</v>
      </c>
      <c r="E27" s="83" t="s">
        <v>111</v>
      </c>
      <c r="F27" s="83" t="s">
        <v>81</v>
      </c>
      <c r="G27" s="94" t="s">
        <v>69</v>
      </c>
      <c r="H27" s="83" t="s">
        <v>112</v>
      </c>
      <c r="I27" s="83" t="s">
        <v>1351</v>
      </c>
    </row>
    <row r="28" spans="2:9" ht="11.5" customHeight="1" x14ac:dyDescent="0.35">
      <c r="B28" s="83" t="s">
        <v>77</v>
      </c>
      <c r="C28" s="83" t="s">
        <v>78</v>
      </c>
      <c r="D28" s="83" t="s">
        <v>79</v>
      </c>
      <c r="E28" s="83" t="s">
        <v>80</v>
      </c>
      <c r="F28" s="83" t="s">
        <v>81</v>
      </c>
      <c r="G28" s="94" t="s">
        <v>69</v>
      </c>
      <c r="H28" s="83" t="s">
        <v>82</v>
      </c>
      <c r="I28" s="83" t="s">
        <v>1212</v>
      </c>
    </row>
    <row r="29" spans="2:9" ht="11.5" customHeight="1" x14ac:dyDescent="0.35">
      <c r="B29" s="83" t="s">
        <v>77</v>
      </c>
      <c r="C29" s="83" t="s">
        <v>78</v>
      </c>
      <c r="D29" s="83" t="s">
        <v>105</v>
      </c>
      <c r="E29" s="83" t="s">
        <v>106</v>
      </c>
      <c r="F29" s="83" t="s">
        <v>81</v>
      </c>
      <c r="G29" s="94" t="s">
        <v>59</v>
      </c>
      <c r="H29" s="83" t="s">
        <v>107</v>
      </c>
      <c r="I29" s="83" t="s">
        <v>1214</v>
      </c>
    </row>
    <row r="30" spans="2:9" ht="11.5" customHeight="1" x14ac:dyDescent="0.35">
      <c r="B30" s="83" t="s">
        <v>223</v>
      </c>
      <c r="C30" s="83" t="s">
        <v>224</v>
      </c>
      <c r="D30" s="83" t="s">
        <v>246</v>
      </c>
      <c r="E30" s="83" t="s">
        <v>247</v>
      </c>
      <c r="F30" s="83" t="s">
        <v>61</v>
      </c>
      <c r="G30" s="94" t="s">
        <v>195</v>
      </c>
      <c r="H30" s="83" t="s">
        <v>248</v>
      </c>
      <c r="I30" s="83" t="s">
        <v>1216</v>
      </c>
    </row>
    <row r="31" spans="2:9" ht="11.5" customHeight="1" x14ac:dyDescent="0.35">
      <c r="B31" s="83" t="s">
        <v>204</v>
      </c>
      <c r="C31" s="83" t="s">
        <v>207</v>
      </c>
      <c r="D31" s="83" t="s">
        <v>214</v>
      </c>
      <c r="E31" s="83" t="s">
        <v>215</v>
      </c>
      <c r="F31" s="83" t="s">
        <v>81</v>
      </c>
      <c r="G31" s="94" t="s">
        <v>59</v>
      </c>
      <c r="H31" s="83" t="s">
        <v>216</v>
      </c>
      <c r="I31" s="83" t="s">
        <v>1218</v>
      </c>
    </row>
    <row r="32" spans="2:9" ht="11.5" customHeight="1" x14ac:dyDescent="0.35">
      <c r="B32" s="83" t="s">
        <v>223</v>
      </c>
      <c r="C32" s="83" t="s">
        <v>224</v>
      </c>
      <c r="D32" s="83" t="s">
        <v>227</v>
      </c>
      <c r="E32" s="83" t="s">
        <v>227</v>
      </c>
      <c r="F32" s="83" t="s">
        <v>61</v>
      </c>
      <c r="G32" s="94" t="s">
        <v>59</v>
      </c>
      <c r="H32" s="83" t="s">
        <v>228</v>
      </c>
      <c r="I32" s="83" t="s">
        <v>1221</v>
      </c>
    </row>
    <row r="33" spans="2:9" ht="11.5" customHeight="1" x14ac:dyDescent="0.35">
      <c r="B33" s="83" t="s">
        <v>114</v>
      </c>
      <c r="C33" s="83" t="s">
        <v>127</v>
      </c>
      <c r="D33" s="83" t="s">
        <v>155</v>
      </c>
      <c r="E33" s="83" t="s">
        <v>156</v>
      </c>
      <c r="F33" s="83" t="s">
        <v>61</v>
      </c>
      <c r="G33" s="94" t="s">
        <v>59</v>
      </c>
      <c r="H33" s="83" t="s">
        <v>157</v>
      </c>
      <c r="I33" s="83" t="s">
        <v>1223</v>
      </c>
    </row>
    <row r="34" spans="2:9" ht="11.5" customHeight="1" x14ac:dyDescent="0.35">
      <c r="B34" s="83" t="s">
        <v>94</v>
      </c>
      <c r="C34" s="83" t="s">
        <v>308</v>
      </c>
      <c r="D34" s="83" t="s">
        <v>335</v>
      </c>
      <c r="E34" s="83" t="s">
        <v>336</v>
      </c>
      <c r="F34" s="83" t="s">
        <v>81</v>
      </c>
      <c r="G34" s="94" t="s">
        <v>59</v>
      </c>
      <c r="H34" s="83" t="s">
        <v>337</v>
      </c>
      <c r="I34" s="83" t="s">
        <v>1226</v>
      </c>
    </row>
    <row r="35" spans="2:9" ht="11.5" customHeight="1" x14ac:dyDescent="0.35">
      <c r="B35" s="83" t="s">
        <v>269</v>
      </c>
      <c r="C35" s="83" t="s">
        <v>294</v>
      </c>
      <c r="D35" s="83" t="s">
        <v>295</v>
      </c>
      <c r="E35" s="83" t="s">
        <v>296</v>
      </c>
      <c r="F35" s="83" t="s">
        <v>81</v>
      </c>
      <c r="G35" s="94" t="s">
        <v>59</v>
      </c>
      <c r="H35" s="83" t="s">
        <v>297</v>
      </c>
      <c r="I35" s="83" t="s">
        <v>1229</v>
      </c>
    </row>
    <row r="36" spans="2:9" ht="11.5" customHeight="1" x14ac:dyDescent="0.35">
      <c r="B36" s="83" t="s">
        <v>94</v>
      </c>
      <c r="C36" s="83" t="s">
        <v>308</v>
      </c>
      <c r="D36" s="83" t="s">
        <v>344</v>
      </c>
      <c r="E36" s="83" t="s">
        <v>345</v>
      </c>
      <c r="F36" s="83" t="s">
        <v>81</v>
      </c>
      <c r="G36" s="94" t="s">
        <v>59</v>
      </c>
      <c r="H36" s="83" t="s">
        <v>346</v>
      </c>
      <c r="I36" s="83" t="s">
        <v>1231</v>
      </c>
    </row>
    <row r="37" spans="2:9" ht="11.5" customHeight="1" x14ac:dyDescent="0.35">
      <c r="B37" s="83" t="s">
        <v>223</v>
      </c>
      <c r="C37" s="83" t="s">
        <v>224</v>
      </c>
      <c r="D37" s="83" t="s">
        <v>231</v>
      </c>
      <c r="E37" s="83" t="s">
        <v>232</v>
      </c>
      <c r="F37" s="83" t="s">
        <v>61</v>
      </c>
      <c r="G37" s="94" t="s">
        <v>59</v>
      </c>
      <c r="H37" s="83" t="s">
        <v>233</v>
      </c>
      <c r="I37" s="83" t="s">
        <v>1233</v>
      </c>
    </row>
    <row r="38" spans="2:9" ht="11.5" customHeight="1" x14ac:dyDescent="0.35">
      <c r="B38" s="83" t="s">
        <v>170</v>
      </c>
      <c r="C38" s="83" t="s">
        <v>170</v>
      </c>
      <c r="D38" s="83" t="s">
        <v>201</v>
      </c>
      <c r="E38" s="83" t="s">
        <v>202</v>
      </c>
      <c r="F38" s="83" t="s">
        <v>81</v>
      </c>
      <c r="G38" s="94" t="s">
        <v>59</v>
      </c>
      <c r="H38" s="83" t="s">
        <v>203</v>
      </c>
      <c r="I38" s="83" t="s">
        <v>1352</v>
      </c>
    </row>
    <row r="39" spans="2:9" ht="11.5" customHeight="1" x14ac:dyDescent="0.35">
      <c r="B39" s="83" t="s">
        <v>114</v>
      </c>
      <c r="C39" s="83" t="s">
        <v>127</v>
      </c>
      <c r="D39" s="83" t="s">
        <v>133</v>
      </c>
      <c r="E39" s="83" t="s">
        <v>134</v>
      </c>
      <c r="F39" s="83" t="s">
        <v>61</v>
      </c>
      <c r="G39" s="94" t="s">
        <v>59</v>
      </c>
      <c r="H39" s="83" t="s">
        <v>135</v>
      </c>
      <c r="I39" s="83" t="s">
        <v>1235</v>
      </c>
    </row>
    <row r="40" spans="2:9" ht="11.5" customHeight="1" x14ac:dyDescent="0.35">
      <c r="B40" s="83" t="s">
        <v>347</v>
      </c>
      <c r="C40" s="83" t="s">
        <v>348</v>
      </c>
      <c r="D40" s="83" t="s">
        <v>361</v>
      </c>
      <c r="E40" s="83" t="s">
        <v>362</v>
      </c>
      <c r="F40" s="83" t="s">
        <v>94</v>
      </c>
      <c r="G40" s="94" t="s">
        <v>58</v>
      </c>
      <c r="H40" s="83" t="s">
        <v>361</v>
      </c>
      <c r="I40" s="83" t="s">
        <v>1353</v>
      </c>
    </row>
    <row r="41" spans="2:9" ht="11.5" customHeight="1" x14ac:dyDescent="0.35">
      <c r="B41" s="83" t="s">
        <v>55</v>
      </c>
      <c r="C41" s="83" t="s">
        <v>55</v>
      </c>
      <c r="D41" s="83" t="s">
        <v>64</v>
      </c>
      <c r="E41" s="83" t="s">
        <v>65</v>
      </c>
      <c r="F41" s="83" t="s">
        <v>61</v>
      </c>
      <c r="G41" s="94" t="s">
        <v>59</v>
      </c>
      <c r="H41" s="83" t="s">
        <v>66</v>
      </c>
      <c r="I41" s="83" t="s">
        <v>1238</v>
      </c>
    </row>
    <row r="42" spans="2:9" ht="11.5" customHeight="1" x14ac:dyDescent="0.35">
      <c r="B42" s="83" t="s">
        <v>170</v>
      </c>
      <c r="C42" s="83" t="s">
        <v>170</v>
      </c>
      <c r="D42" s="83" t="s">
        <v>190</v>
      </c>
      <c r="E42" s="83" t="s">
        <v>191</v>
      </c>
      <c r="F42" s="83" t="s">
        <v>61</v>
      </c>
      <c r="G42" s="94" t="s">
        <v>59</v>
      </c>
      <c r="H42" s="83" t="s">
        <v>192</v>
      </c>
      <c r="I42" s="83" t="s">
        <v>1240</v>
      </c>
    </row>
    <row r="43" spans="2:9" ht="11.5" customHeight="1" x14ac:dyDescent="0.35">
      <c r="B43" s="83" t="s">
        <v>269</v>
      </c>
      <c r="C43" s="83" t="s">
        <v>287</v>
      </c>
      <c r="D43" s="83" t="s">
        <v>288</v>
      </c>
      <c r="E43" s="83" t="s">
        <v>289</v>
      </c>
      <c r="F43" s="83" t="s">
        <v>81</v>
      </c>
      <c r="G43" s="94" t="s">
        <v>59</v>
      </c>
      <c r="H43" s="83" t="s">
        <v>290</v>
      </c>
      <c r="I43" s="83" t="s">
        <v>1242</v>
      </c>
    </row>
    <row r="44" spans="2:9" ht="11.5" customHeight="1" x14ac:dyDescent="0.35">
      <c r="B44" s="83" t="s">
        <v>114</v>
      </c>
      <c r="C44" s="83" t="s">
        <v>115</v>
      </c>
      <c r="D44" s="83" t="s">
        <v>116</v>
      </c>
      <c r="E44" s="83" t="s">
        <v>117</v>
      </c>
      <c r="F44" s="83" t="s">
        <v>61</v>
      </c>
      <c r="G44" s="94" t="s">
        <v>69</v>
      </c>
      <c r="H44" s="83" t="s">
        <v>118</v>
      </c>
      <c r="I44" s="83" t="s">
        <v>1244</v>
      </c>
    </row>
    <row r="45" spans="2:9" ht="11.5" customHeight="1" x14ac:dyDescent="0.35">
      <c r="B45" s="83" t="s">
        <v>204</v>
      </c>
      <c r="C45" s="83" t="s">
        <v>207</v>
      </c>
      <c r="D45" s="83" t="s">
        <v>208</v>
      </c>
      <c r="E45" s="83" t="s">
        <v>209</v>
      </c>
      <c r="F45" s="83" t="s">
        <v>81</v>
      </c>
      <c r="G45" s="94" t="s">
        <v>59</v>
      </c>
      <c r="H45" s="83" t="s">
        <v>210</v>
      </c>
      <c r="I45" s="83" t="s">
        <v>1246</v>
      </c>
    </row>
    <row r="46" spans="2:9" ht="11.5" customHeight="1" x14ac:dyDescent="0.35">
      <c r="B46" s="83" t="s">
        <v>251</v>
      </c>
      <c r="C46" s="83" t="s">
        <v>252</v>
      </c>
      <c r="D46" s="83" t="s">
        <v>262</v>
      </c>
      <c r="E46" s="83" t="s">
        <v>263</v>
      </c>
      <c r="F46" s="83" t="s">
        <v>81</v>
      </c>
      <c r="G46" s="94" t="s">
        <v>195</v>
      </c>
      <c r="H46" s="83" t="s">
        <v>264</v>
      </c>
      <c r="I46" s="83" t="s">
        <v>1354</v>
      </c>
    </row>
    <row r="47" spans="2:9" ht="11.5" customHeight="1" x14ac:dyDescent="0.35">
      <c r="B47" s="83" t="s">
        <v>347</v>
      </c>
      <c r="C47" s="83" t="s">
        <v>348</v>
      </c>
      <c r="D47" s="83" t="s">
        <v>349</v>
      </c>
      <c r="E47" s="83" t="s">
        <v>350</v>
      </c>
      <c r="F47" s="83" t="s">
        <v>61</v>
      </c>
      <c r="G47" s="94" t="s">
        <v>59</v>
      </c>
      <c r="H47" s="83" t="s">
        <v>351</v>
      </c>
      <c r="I47" s="83" t="s">
        <v>1248</v>
      </c>
    </row>
    <row r="48" spans="2:9" ht="11.5" customHeight="1" x14ac:dyDescent="0.35">
      <c r="B48" s="83" t="s">
        <v>269</v>
      </c>
      <c r="C48" s="83" t="s">
        <v>270</v>
      </c>
      <c r="D48" s="83" t="s">
        <v>300</v>
      </c>
      <c r="E48" s="83" t="s">
        <v>301</v>
      </c>
      <c r="F48" s="83" t="s">
        <v>81</v>
      </c>
      <c r="G48" s="94" t="s">
        <v>59</v>
      </c>
      <c r="H48" s="83" t="s">
        <v>302</v>
      </c>
      <c r="I48" s="83" t="s">
        <v>1250</v>
      </c>
    </row>
    <row r="49" spans="2:9" ht="11.5" customHeight="1" x14ac:dyDescent="0.35">
      <c r="B49" s="83" t="s">
        <v>94</v>
      </c>
      <c r="C49" s="83" t="s">
        <v>303</v>
      </c>
      <c r="D49" s="83" t="s">
        <v>323</v>
      </c>
      <c r="E49" s="83" t="s">
        <v>324</v>
      </c>
      <c r="F49" s="83" t="s">
        <v>81</v>
      </c>
      <c r="G49" s="94" t="s">
        <v>69</v>
      </c>
      <c r="H49" s="83" t="s">
        <v>325</v>
      </c>
      <c r="I49" s="83" t="s">
        <v>1355</v>
      </c>
    </row>
    <row r="50" spans="2:9" ht="11.5" customHeight="1" x14ac:dyDescent="0.35">
      <c r="B50" s="83" t="s">
        <v>170</v>
      </c>
      <c r="C50" s="83" t="s">
        <v>170</v>
      </c>
      <c r="D50" s="83" t="s">
        <v>171</v>
      </c>
      <c r="E50" s="83" t="s">
        <v>172</v>
      </c>
      <c r="F50" s="83" t="s">
        <v>81</v>
      </c>
      <c r="G50" s="94" t="s">
        <v>59</v>
      </c>
      <c r="H50" s="83" t="s">
        <v>173</v>
      </c>
      <c r="I50" s="83" t="s">
        <v>1356</v>
      </c>
    </row>
    <row r="51" spans="2:9" ht="11.5" customHeight="1" x14ac:dyDescent="0.35">
      <c r="B51" s="83" t="s">
        <v>114</v>
      </c>
      <c r="C51" s="83" t="s">
        <v>123</v>
      </c>
      <c r="D51" s="83" t="s">
        <v>124</v>
      </c>
      <c r="E51" s="83" t="s">
        <v>125</v>
      </c>
      <c r="F51" s="83" t="s">
        <v>61</v>
      </c>
      <c r="G51" s="94" t="s">
        <v>69</v>
      </c>
      <c r="H51" s="83" t="s">
        <v>126</v>
      </c>
      <c r="I51" s="83" t="s">
        <v>1253</v>
      </c>
    </row>
    <row r="52" spans="2:9" ht="11.5" customHeight="1" x14ac:dyDescent="0.35">
      <c r="B52" s="83" t="s">
        <v>170</v>
      </c>
      <c r="C52" s="83" t="s">
        <v>170</v>
      </c>
      <c r="D52" s="83" t="s">
        <v>196</v>
      </c>
      <c r="E52" s="83" t="s">
        <v>197</v>
      </c>
      <c r="F52" s="83" t="s">
        <v>81</v>
      </c>
      <c r="G52" s="94" t="s">
        <v>59</v>
      </c>
      <c r="H52" s="83" t="s">
        <v>198</v>
      </c>
      <c r="I52" s="83" t="s">
        <v>1255</v>
      </c>
    </row>
    <row r="53" spans="2:9" ht="11.5" customHeight="1" x14ac:dyDescent="0.35">
      <c r="B53" s="83" t="s">
        <v>251</v>
      </c>
      <c r="C53" s="83" t="s">
        <v>256</v>
      </c>
      <c r="D53" s="83" t="s">
        <v>257</v>
      </c>
      <c r="E53" s="83" t="s">
        <v>258</v>
      </c>
      <c r="F53" s="83" t="s">
        <v>81</v>
      </c>
      <c r="G53" s="94" t="s">
        <v>69</v>
      </c>
      <c r="H53" s="83" t="s">
        <v>259</v>
      </c>
      <c r="I53" s="83" t="s">
        <v>1357</v>
      </c>
    </row>
    <row r="54" spans="2:9" ht="11.5" customHeight="1" x14ac:dyDescent="0.35">
      <c r="B54" s="83" t="s">
        <v>94</v>
      </c>
      <c r="C54" s="83" t="s">
        <v>308</v>
      </c>
      <c r="D54" s="83" t="s">
        <v>313</v>
      </c>
      <c r="E54" s="83" t="s">
        <v>314</v>
      </c>
      <c r="F54" s="83" t="s">
        <v>81</v>
      </c>
      <c r="G54" s="94" t="s">
        <v>59</v>
      </c>
      <c r="H54" s="83" t="s">
        <v>315</v>
      </c>
      <c r="I54" s="83" t="s">
        <v>1258</v>
      </c>
    </row>
    <row r="55" spans="2:9" ht="11.5" customHeight="1" x14ac:dyDescent="0.35">
      <c r="B55" s="83" t="s">
        <v>55</v>
      </c>
      <c r="C55" s="83" t="s">
        <v>55</v>
      </c>
      <c r="D55" s="83" t="s">
        <v>67</v>
      </c>
      <c r="E55" s="83" t="s">
        <v>68</v>
      </c>
      <c r="F55" s="83" t="s">
        <v>61</v>
      </c>
      <c r="G55" s="94" t="s">
        <v>69</v>
      </c>
      <c r="H55" s="83" t="s">
        <v>67</v>
      </c>
      <c r="I55" s="83" t="s">
        <v>1358</v>
      </c>
    </row>
    <row r="56" spans="2:9" ht="11.5" customHeight="1" x14ac:dyDescent="0.35">
      <c r="B56" s="83" t="s">
        <v>204</v>
      </c>
      <c r="C56" s="83" t="s">
        <v>204</v>
      </c>
      <c r="D56" s="83" t="s">
        <v>205</v>
      </c>
      <c r="E56" s="83" t="s">
        <v>206</v>
      </c>
      <c r="F56" s="83" t="s">
        <v>81</v>
      </c>
      <c r="G56" s="94" t="s">
        <v>69</v>
      </c>
      <c r="H56" s="83" t="s">
        <v>205</v>
      </c>
      <c r="I56" s="83" t="s">
        <v>58</v>
      </c>
    </row>
    <row r="57" spans="2:9" ht="11.5" customHeight="1" x14ac:dyDescent="0.35">
      <c r="B57" s="83" t="s">
        <v>114</v>
      </c>
      <c r="C57" s="83" t="s">
        <v>119</v>
      </c>
      <c r="D57" s="83" t="s">
        <v>121</v>
      </c>
      <c r="E57" s="83" t="s">
        <v>122</v>
      </c>
      <c r="F57" s="83" t="s">
        <v>81</v>
      </c>
      <c r="G57" s="94" t="s">
        <v>69</v>
      </c>
      <c r="H57" s="83" t="s">
        <v>121</v>
      </c>
      <c r="I57" s="83" t="s">
        <v>58</v>
      </c>
    </row>
    <row r="58" spans="2:9" ht="11.5" customHeight="1" x14ac:dyDescent="0.35">
      <c r="B58" s="83" t="s">
        <v>170</v>
      </c>
      <c r="C58" s="83" t="s">
        <v>170</v>
      </c>
      <c r="D58" s="83" t="s">
        <v>184</v>
      </c>
      <c r="E58" s="83" t="s">
        <v>185</v>
      </c>
      <c r="F58" s="83" t="s">
        <v>81</v>
      </c>
      <c r="G58" s="94" t="s">
        <v>69</v>
      </c>
      <c r="H58" s="83" t="s">
        <v>184</v>
      </c>
      <c r="I58" s="83" t="s">
        <v>58</v>
      </c>
    </row>
    <row r="59" spans="2:9" ht="11.5" customHeight="1" x14ac:dyDescent="0.35">
      <c r="B59" s="83" t="s">
        <v>170</v>
      </c>
      <c r="C59" s="83" t="s">
        <v>170</v>
      </c>
      <c r="D59" s="83" t="s">
        <v>188</v>
      </c>
      <c r="E59" s="83" t="s">
        <v>189</v>
      </c>
      <c r="F59" s="83" t="s">
        <v>81</v>
      </c>
      <c r="G59" s="94" t="s">
        <v>69</v>
      </c>
      <c r="H59" s="83" t="s">
        <v>188</v>
      </c>
      <c r="I59" s="83" t="s">
        <v>58</v>
      </c>
    </row>
    <row r="60" spans="2:9" ht="11.5" customHeight="1" x14ac:dyDescent="0.35">
      <c r="B60" s="83" t="s">
        <v>94</v>
      </c>
      <c r="C60" s="83" t="s">
        <v>308</v>
      </c>
      <c r="D60" s="83" t="s">
        <v>316</v>
      </c>
      <c r="E60" s="83" t="s">
        <v>317</v>
      </c>
      <c r="F60" s="83" t="s">
        <v>81</v>
      </c>
      <c r="G60" s="94" t="s">
        <v>69</v>
      </c>
      <c r="H60" s="83" t="s">
        <v>316</v>
      </c>
      <c r="I60" s="83" t="s">
        <v>58</v>
      </c>
    </row>
    <row r="61" spans="2:9" ht="11.5" customHeight="1" x14ac:dyDescent="0.35">
      <c r="B61" s="83" t="s">
        <v>170</v>
      </c>
      <c r="C61" s="83" t="s">
        <v>170</v>
      </c>
      <c r="D61" s="83" t="s">
        <v>193</v>
      </c>
      <c r="E61" s="83" t="s">
        <v>194</v>
      </c>
      <c r="F61" s="83" t="s">
        <v>81</v>
      </c>
      <c r="G61" s="94" t="s">
        <v>69</v>
      </c>
      <c r="H61" s="83" t="s">
        <v>193</v>
      </c>
      <c r="I61" s="83" t="s">
        <v>58</v>
      </c>
    </row>
    <row r="62" spans="2:9" ht="11.5" customHeight="1" x14ac:dyDescent="0.35">
      <c r="B62" s="83" t="s">
        <v>251</v>
      </c>
      <c r="C62" s="83" t="s">
        <v>252</v>
      </c>
      <c r="D62" s="83" t="s">
        <v>265</v>
      </c>
      <c r="E62" s="83" t="s">
        <v>266</v>
      </c>
      <c r="F62" s="83" t="s">
        <v>81</v>
      </c>
      <c r="G62" s="94" t="s">
        <v>69</v>
      </c>
      <c r="H62" s="83" t="s">
        <v>265</v>
      </c>
      <c r="I62" s="83" t="s">
        <v>58</v>
      </c>
    </row>
    <row r="63" spans="2:9" ht="11.5" customHeight="1" x14ac:dyDescent="0.35">
      <c r="B63" s="83" t="s">
        <v>94</v>
      </c>
      <c r="C63" s="83" t="s">
        <v>318</v>
      </c>
      <c r="D63" s="83" t="s">
        <v>328</v>
      </c>
      <c r="E63" s="83" t="s">
        <v>329</v>
      </c>
      <c r="F63" s="83" t="s">
        <v>81</v>
      </c>
      <c r="G63" s="94" t="s">
        <v>69</v>
      </c>
      <c r="H63" s="83" t="s">
        <v>328</v>
      </c>
      <c r="I63" s="83" t="s">
        <v>58</v>
      </c>
    </row>
    <row r="64" spans="2:9" ht="11.5" customHeight="1" x14ac:dyDescent="0.35">
      <c r="B64" s="83" t="s">
        <v>94</v>
      </c>
      <c r="C64" s="83" t="s">
        <v>318</v>
      </c>
      <c r="D64" s="83" t="s">
        <v>319</v>
      </c>
      <c r="E64" s="83" t="s">
        <v>320</v>
      </c>
      <c r="F64" s="83" t="s">
        <v>81</v>
      </c>
      <c r="G64" s="94" t="s">
        <v>69</v>
      </c>
      <c r="H64" s="83" t="s">
        <v>319</v>
      </c>
      <c r="I64" s="83" t="s">
        <v>58</v>
      </c>
    </row>
    <row r="65" spans="2:9" ht="11.5" customHeight="1" x14ac:dyDescent="0.35">
      <c r="B65" s="83" t="s">
        <v>223</v>
      </c>
      <c r="C65" s="83" t="s">
        <v>224</v>
      </c>
      <c r="D65" s="83" t="s">
        <v>229</v>
      </c>
      <c r="E65" s="83" t="s">
        <v>230</v>
      </c>
      <c r="F65" s="83" t="s">
        <v>61</v>
      </c>
      <c r="G65" s="94" t="s">
        <v>69</v>
      </c>
      <c r="H65" s="83" t="s">
        <v>229</v>
      </c>
      <c r="I65" s="83" t="s">
        <v>58</v>
      </c>
    </row>
    <row r="66" spans="2:9" ht="11.5" customHeight="1" x14ac:dyDescent="0.35">
      <c r="B66" s="83" t="s">
        <v>251</v>
      </c>
      <c r="C66" s="83" t="s">
        <v>252</v>
      </c>
      <c r="D66" s="83" t="s">
        <v>267</v>
      </c>
      <c r="E66" s="83" t="s">
        <v>268</v>
      </c>
      <c r="F66" s="83" t="s">
        <v>81</v>
      </c>
      <c r="G66" s="94" t="s">
        <v>69</v>
      </c>
      <c r="H66" s="83" t="s">
        <v>267</v>
      </c>
      <c r="I66" s="83" t="s">
        <v>58</v>
      </c>
    </row>
    <row r="67" spans="2:9" ht="11.5" customHeight="1" x14ac:dyDescent="0.35">
      <c r="B67" s="83" t="s">
        <v>347</v>
      </c>
      <c r="C67" s="83" t="s">
        <v>348</v>
      </c>
      <c r="D67" s="83" t="s">
        <v>356</v>
      </c>
      <c r="E67" s="83" t="s">
        <v>357</v>
      </c>
      <c r="F67" s="83" t="s">
        <v>61</v>
      </c>
      <c r="G67" s="94" t="s">
        <v>69</v>
      </c>
      <c r="H67" s="83" t="s">
        <v>356</v>
      </c>
      <c r="I67" s="83" t="s">
        <v>58</v>
      </c>
    </row>
    <row r="68" spans="2:9" ht="11.5" customHeight="1" x14ac:dyDescent="0.35">
      <c r="B68" s="83" t="s">
        <v>269</v>
      </c>
      <c r="C68" s="83" t="s">
        <v>270</v>
      </c>
      <c r="D68" s="83" t="s">
        <v>283</v>
      </c>
      <c r="E68" s="83" t="s">
        <v>284</v>
      </c>
      <c r="F68" s="83" t="s">
        <v>81</v>
      </c>
      <c r="G68" s="94" t="s">
        <v>69</v>
      </c>
      <c r="H68" s="83" t="s">
        <v>283</v>
      </c>
      <c r="I68" s="83" t="s">
        <v>58</v>
      </c>
    </row>
    <row r="69" spans="2:9" x14ac:dyDescent="0.35">
      <c r="E69" s="86"/>
    </row>
    <row r="70" spans="2:9" x14ac:dyDescent="0.35">
      <c r="B70" s="87" t="s">
        <v>19</v>
      </c>
      <c r="E70" s="86"/>
    </row>
    <row r="71" spans="2:9" ht="14" customHeight="1" x14ac:dyDescent="0.35">
      <c r="B71" s="18" t="s">
        <v>42</v>
      </c>
      <c r="E71" s="86"/>
    </row>
    <row r="72" spans="2:9" ht="14" customHeight="1" x14ac:dyDescent="0.35">
      <c r="B72" s="18" t="s">
        <v>21</v>
      </c>
      <c r="E72" s="86"/>
    </row>
    <row r="73" spans="2:9" ht="14" customHeight="1" x14ac:dyDescent="0.35">
      <c r="B73" s="18" t="s">
        <v>22</v>
      </c>
      <c r="E73" s="86"/>
    </row>
    <row r="74" spans="2:9" ht="14" customHeight="1" x14ac:dyDescent="0.35">
      <c r="B74" s="18" t="s">
        <v>23</v>
      </c>
      <c r="E74" s="86"/>
    </row>
    <row r="75" spans="2:9" ht="14" customHeight="1" x14ac:dyDescent="0.35">
      <c r="B75" s="18" t="s">
        <v>36</v>
      </c>
      <c r="E75" s="86"/>
    </row>
    <row r="76" spans="2:9" ht="14" customHeight="1" x14ac:dyDescent="0.35">
      <c r="B76" s="18" t="s">
        <v>31</v>
      </c>
    </row>
    <row r="77" spans="2:9" x14ac:dyDescent="0.35">
      <c r="E77" s="86"/>
    </row>
    <row r="78" spans="2:9" x14ac:dyDescent="0.35">
      <c r="B78" s="78" t="s">
        <v>26</v>
      </c>
      <c r="C78" s="78"/>
    </row>
    <row r="79" spans="2:9" ht="14" customHeight="1" x14ac:dyDescent="0.35">
      <c r="B79" s="18" t="s">
        <v>27</v>
      </c>
    </row>
    <row r="80" spans="2:9" ht="14" customHeight="1" x14ac:dyDescent="0.35"/>
    <row r="81" s="18" customFormat="1" x14ac:dyDescent="0.35"/>
    <row r="82" s="18" customFormat="1" x14ac:dyDescent="0.35"/>
    <row r="83" s="18" customFormat="1" x14ac:dyDescent="0.35"/>
    <row r="84" s="18" customFormat="1" x14ac:dyDescent="0.35"/>
    <row r="85" s="18" customFormat="1" x14ac:dyDescent="0.35"/>
    <row r="86" s="18" customFormat="1" x14ac:dyDescent="0.35"/>
    <row r="87" s="18" customFormat="1" x14ac:dyDescent="0.35"/>
  </sheetData>
  <hyperlinks>
    <hyperlink ref="B4" location="'Index sheet'!A1" display="Back to index" xr:uid="{00000000-0004-0000-0500-000000000000}"/>
  </hyperlinks>
  <pageMargins left="0.7" right="0.7" top="0.75" bottom="0.75" header="0.3" footer="0.3"/>
  <ignoredErrors>
    <ignoredError sqref="B70:I87 B69:I69 B1:I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156"/>
  <sheetViews>
    <sheetView showGridLines="0" workbookViewId="0">
      <selection activeCell="A6" sqref="A6:XFD6"/>
    </sheetView>
  </sheetViews>
  <sheetFormatPr baseColWidth="10" defaultColWidth="8.54296875" defaultRowHeight="11.5" customHeight="1" x14ac:dyDescent="0.35"/>
  <cols>
    <col min="1" max="1" width="3.1796875" style="18" customWidth="1"/>
    <col min="2" max="11" width="13.453125" style="18" customWidth="1"/>
    <col min="12" max="12" width="20.453125" style="18" customWidth="1"/>
    <col min="13" max="13" width="8.54296875" style="18" customWidth="1"/>
    <col min="14" max="16384" width="8.54296875" style="18"/>
  </cols>
  <sheetData>
    <row r="1" spans="2:12" ht="15" customHeight="1" x14ac:dyDescent="0.35">
      <c r="B1" s="89" t="s">
        <v>43</v>
      </c>
      <c r="C1" s="89"/>
      <c r="D1" s="89"/>
      <c r="E1" s="89"/>
      <c r="F1" s="89"/>
      <c r="G1" s="89"/>
      <c r="H1" s="89"/>
      <c r="I1" s="89"/>
      <c r="J1" s="89"/>
      <c r="K1" s="89"/>
      <c r="L1" s="89"/>
    </row>
    <row r="2" spans="2:12" ht="15.75" customHeight="1" x14ac:dyDescent="0.35">
      <c r="B2" s="89" t="s">
        <v>44</v>
      </c>
      <c r="C2" s="89"/>
      <c r="D2" s="89"/>
      <c r="E2" s="89"/>
      <c r="F2" s="89"/>
      <c r="G2" s="89"/>
      <c r="H2" s="89"/>
      <c r="I2" s="89"/>
      <c r="J2" s="89"/>
      <c r="K2" s="89"/>
      <c r="L2" s="89"/>
    </row>
    <row r="3" spans="2:12" x14ac:dyDescent="0.35">
      <c r="B3" s="92"/>
      <c r="C3" s="92"/>
      <c r="D3" s="92"/>
      <c r="E3" s="92"/>
      <c r="F3" s="92"/>
      <c r="G3" s="92"/>
      <c r="H3" s="92"/>
      <c r="I3" s="92"/>
      <c r="J3" s="92"/>
      <c r="K3" s="92"/>
      <c r="L3" s="92"/>
    </row>
    <row r="4" spans="2:12" x14ac:dyDescent="0.35">
      <c r="B4" s="85" t="s">
        <v>16</v>
      </c>
      <c r="C4" s="86"/>
      <c r="D4" s="85"/>
      <c r="E4" s="77"/>
      <c r="F4" s="85"/>
      <c r="G4" s="85"/>
      <c r="H4" s="85"/>
      <c r="I4" s="85"/>
      <c r="J4" s="85"/>
      <c r="K4" s="85"/>
      <c r="L4" s="85"/>
    </row>
    <row r="6" spans="2:12" s="78" customFormat="1" ht="47" customHeight="1" x14ac:dyDescent="0.35">
      <c r="B6" s="98" t="s">
        <v>45</v>
      </c>
      <c r="C6" s="98" t="s">
        <v>1591</v>
      </c>
      <c r="D6" s="98" t="s">
        <v>1586</v>
      </c>
      <c r="E6" s="98" t="s">
        <v>1583</v>
      </c>
      <c r="F6" s="98" t="s">
        <v>1584</v>
      </c>
      <c r="G6" s="98" t="s">
        <v>1576</v>
      </c>
      <c r="H6" s="98" t="s">
        <v>1569</v>
      </c>
      <c r="I6" s="98" t="s">
        <v>1570</v>
      </c>
      <c r="J6" s="98" t="s">
        <v>1589</v>
      </c>
      <c r="K6" s="98" t="s">
        <v>1593</v>
      </c>
      <c r="L6" s="67" t="s">
        <v>1581</v>
      </c>
    </row>
    <row r="7" spans="2:12" s="112" customFormat="1" x14ac:dyDescent="0.35">
      <c r="B7" s="107" t="s">
        <v>443</v>
      </c>
      <c r="C7" s="81" t="s">
        <v>1311</v>
      </c>
      <c r="D7" s="108" t="s">
        <v>432</v>
      </c>
      <c r="E7" s="81" t="s">
        <v>445</v>
      </c>
      <c r="F7" s="81" t="s">
        <v>445</v>
      </c>
      <c r="G7" s="109" t="s">
        <v>462</v>
      </c>
      <c r="H7" s="81" t="s">
        <v>441</v>
      </c>
      <c r="I7" s="81" t="s">
        <v>204</v>
      </c>
      <c r="J7" s="81" t="s">
        <v>436</v>
      </c>
      <c r="K7" s="110" t="s">
        <v>1312</v>
      </c>
      <c r="L7" s="111" t="s">
        <v>1359</v>
      </c>
    </row>
    <row r="8" spans="2:12" s="112" customFormat="1" x14ac:dyDescent="0.35">
      <c r="B8" s="107" t="s">
        <v>781</v>
      </c>
      <c r="C8" s="81" t="s">
        <v>1360</v>
      </c>
      <c r="D8" s="108" t="s">
        <v>432</v>
      </c>
      <c r="E8" s="81" t="s">
        <v>540</v>
      </c>
      <c r="F8" s="81" t="s">
        <v>560</v>
      </c>
      <c r="G8" s="109" t="s">
        <v>1328</v>
      </c>
      <c r="H8" s="81" t="s">
        <v>488</v>
      </c>
      <c r="I8" s="81" t="s">
        <v>785</v>
      </c>
      <c r="J8" s="81" t="s">
        <v>436</v>
      </c>
      <c r="K8" s="110" t="s">
        <v>58</v>
      </c>
      <c r="L8" s="111" t="s">
        <v>1359</v>
      </c>
    </row>
    <row r="9" spans="2:12" s="112" customFormat="1" x14ac:dyDescent="0.35">
      <c r="B9" s="107" t="s">
        <v>628</v>
      </c>
      <c r="C9" s="81" t="s">
        <v>1361</v>
      </c>
      <c r="D9" s="108" t="s">
        <v>440</v>
      </c>
      <c r="E9" s="81" t="s">
        <v>540</v>
      </c>
      <c r="F9" s="81" t="s">
        <v>632</v>
      </c>
      <c r="G9" s="109" t="s">
        <v>1328</v>
      </c>
      <c r="H9" s="81" t="s">
        <v>618</v>
      </c>
      <c r="I9" s="81" t="s">
        <v>168</v>
      </c>
      <c r="J9" s="81" t="s">
        <v>526</v>
      </c>
      <c r="K9" s="110" t="s">
        <v>58</v>
      </c>
      <c r="L9" s="111" t="s">
        <v>1359</v>
      </c>
    </row>
    <row r="10" spans="2:12" s="112" customFormat="1" x14ac:dyDescent="0.35">
      <c r="B10" s="107" t="s">
        <v>961</v>
      </c>
      <c r="C10" s="81" t="s">
        <v>961</v>
      </c>
      <c r="D10" s="108" t="s">
        <v>820</v>
      </c>
      <c r="E10" s="81" t="s">
        <v>963</v>
      </c>
      <c r="F10" s="81" t="s">
        <v>964</v>
      </c>
      <c r="G10" s="109" t="s">
        <v>1328</v>
      </c>
      <c r="H10" s="81" t="s">
        <v>479</v>
      </c>
      <c r="I10" s="81" t="s">
        <v>78</v>
      </c>
      <c r="J10" s="81" t="s">
        <v>436</v>
      </c>
      <c r="K10" s="110" t="s">
        <v>1362</v>
      </c>
      <c r="L10" s="111" t="s">
        <v>1359</v>
      </c>
    </row>
    <row r="11" spans="2:12" s="112" customFormat="1" x14ac:dyDescent="0.35">
      <c r="B11" s="107" t="s">
        <v>655</v>
      </c>
      <c r="C11" s="81" t="s">
        <v>1336</v>
      </c>
      <c r="D11" s="108" t="s">
        <v>440</v>
      </c>
      <c r="E11" s="81" t="s">
        <v>567</v>
      </c>
      <c r="F11" s="81" t="s">
        <v>567</v>
      </c>
      <c r="G11" s="109" t="s">
        <v>462</v>
      </c>
      <c r="H11" s="81" t="s">
        <v>462</v>
      </c>
      <c r="I11" s="81" t="s">
        <v>318</v>
      </c>
      <c r="J11" s="81" t="s">
        <v>526</v>
      </c>
      <c r="K11" s="110" t="s">
        <v>58</v>
      </c>
      <c r="L11" s="111" t="s">
        <v>1359</v>
      </c>
    </row>
    <row r="12" spans="2:12" s="112" customFormat="1" x14ac:dyDescent="0.35">
      <c r="B12" s="107" t="s">
        <v>1050</v>
      </c>
      <c r="C12" s="81" t="s">
        <v>1363</v>
      </c>
      <c r="D12" s="108" t="s">
        <v>576</v>
      </c>
      <c r="E12" s="81" t="s">
        <v>1052</v>
      </c>
      <c r="F12" s="81" t="s">
        <v>1052</v>
      </c>
      <c r="G12" s="109" t="s">
        <v>462</v>
      </c>
      <c r="H12" s="81" t="s">
        <v>618</v>
      </c>
      <c r="I12" s="81" t="s">
        <v>168</v>
      </c>
      <c r="J12" s="81" t="s">
        <v>526</v>
      </c>
      <c r="K12" s="110" t="s">
        <v>58</v>
      </c>
      <c r="L12" s="111" t="s">
        <v>1359</v>
      </c>
    </row>
    <row r="13" spans="2:12" s="112" customFormat="1" x14ac:dyDescent="0.35">
      <c r="B13" s="107" t="s">
        <v>724</v>
      </c>
      <c r="C13" s="81" t="s">
        <v>1335</v>
      </c>
      <c r="D13" s="108" t="s">
        <v>432</v>
      </c>
      <c r="E13" s="81" t="s">
        <v>455</v>
      </c>
      <c r="F13" s="81" t="s">
        <v>726</v>
      </c>
      <c r="G13" s="109" t="s">
        <v>1328</v>
      </c>
      <c r="H13" s="81" t="s">
        <v>462</v>
      </c>
      <c r="I13" s="81" t="s">
        <v>318</v>
      </c>
      <c r="J13" s="81" t="s">
        <v>526</v>
      </c>
      <c r="K13" s="110" t="s">
        <v>58</v>
      </c>
      <c r="L13" s="111" t="s">
        <v>1359</v>
      </c>
    </row>
    <row r="14" spans="2:12" s="112" customFormat="1" x14ac:dyDescent="0.35">
      <c r="B14" s="107" t="s">
        <v>507</v>
      </c>
      <c r="C14" s="81" t="s">
        <v>1364</v>
      </c>
      <c r="D14" s="108" t="s">
        <v>432</v>
      </c>
      <c r="E14" s="81" t="s">
        <v>450</v>
      </c>
      <c r="F14" s="81" t="s">
        <v>450</v>
      </c>
      <c r="G14" s="109" t="s">
        <v>1328</v>
      </c>
      <c r="H14" s="81" t="s">
        <v>462</v>
      </c>
      <c r="I14" s="81" t="s">
        <v>318</v>
      </c>
      <c r="J14" s="81" t="s">
        <v>436</v>
      </c>
      <c r="K14" s="110" t="s">
        <v>58</v>
      </c>
      <c r="L14" s="111" t="s">
        <v>1359</v>
      </c>
    </row>
    <row r="15" spans="2:12" s="112" customFormat="1" x14ac:dyDescent="0.35">
      <c r="B15" s="107" t="s">
        <v>704</v>
      </c>
      <c r="C15" s="81" t="s">
        <v>1334</v>
      </c>
      <c r="D15" s="108" t="s">
        <v>432</v>
      </c>
      <c r="E15" s="81" t="s">
        <v>540</v>
      </c>
      <c r="F15" s="81" t="s">
        <v>450</v>
      </c>
      <c r="G15" s="109" t="s">
        <v>1328</v>
      </c>
      <c r="H15" s="81" t="s">
        <v>488</v>
      </c>
      <c r="I15" s="81" t="s">
        <v>489</v>
      </c>
      <c r="J15" s="81" t="s">
        <v>436</v>
      </c>
      <c r="K15" s="110" t="s">
        <v>58</v>
      </c>
      <c r="L15" s="111" t="s">
        <v>1359</v>
      </c>
    </row>
    <row r="16" spans="2:12" s="112" customFormat="1" x14ac:dyDescent="0.35">
      <c r="B16" s="107" t="s">
        <v>610</v>
      </c>
      <c r="C16" s="81" t="s">
        <v>1300</v>
      </c>
      <c r="D16" s="108" t="s">
        <v>440</v>
      </c>
      <c r="E16" s="81" t="s">
        <v>540</v>
      </c>
      <c r="F16" s="81" t="s">
        <v>609</v>
      </c>
      <c r="G16" s="109" t="s">
        <v>1273</v>
      </c>
      <c r="H16" s="81" t="s">
        <v>514</v>
      </c>
      <c r="I16" s="81" t="s">
        <v>515</v>
      </c>
      <c r="J16" s="81" t="s">
        <v>436</v>
      </c>
      <c r="K16" s="110" t="s">
        <v>58</v>
      </c>
      <c r="L16" s="111" t="s">
        <v>1359</v>
      </c>
    </row>
    <row r="17" spans="2:12" s="112" customFormat="1" x14ac:dyDescent="0.35">
      <c r="B17" s="107" t="s">
        <v>516</v>
      </c>
      <c r="C17" s="81" t="s">
        <v>1295</v>
      </c>
      <c r="D17" s="108" t="s">
        <v>432</v>
      </c>
      <c r="E17" s="81" t="s">
        <v>450</v>
      </c>
      <c r="F17" s="81" t="s">
        <v>450</v>
      </c>
      <c r="G17" s="109" t="s">
        <v>1273</v>
      </c>
      <c r="H17" s="81" t="s">
        <v>433</v>
      </c>
      <c r="I17" s="81" t="s">
        <v>434</v>
      </c>
      <c r="J17" s="81" t="s">
        <v>436</v>
      </c>
      <c r="K17" s="110" t="s">
        <v>58</v>
      </c>
      <c r="L17" s="111" t="s">
        <v>1359</v>
      </c>
    </row>
    <row r="18" spans="2:12" s="112" customFormat="1" x14ac:dyDescent="0.35">
      <c r="B18" s="107" t="s">
        <v>505</v>
      </c>
      <c r="C18" s="81" t="s">
        <v>1365</v>
      </c>
      <c r="D18" s="108" t="s">
        <v>483</v>
      </c>
      <c r="E18" s="81" t="s">
        <v>450</v>
      </c>
      <c r="F18" s="81" t="s">
        <v>450</v>
      </c>
      <c r="G18" s="109" t="s">
        <v>1328</v>
      </c>
      <c r="H18" s="81" t="s">
        <v>479</v>
      </c>
      <c r="I18" s="81" t="s">
        <v>78</v>
      </c>
      <c r="J18" s="81" t="s">
        <v>436</v>
      </c>
      <c r="K18" s="110" t="s">
        <v>58</v>
      </c>
      <c r="L18" s="111" t="s">
        <v>1359</v>
      </c>
    </row>
    <row r="19" spans="2:12" s="112" customFormat="1" x14ac:dyDescent="0.35">
      <c r="B19" s="107" t="s">
        <v>1144</v>
      </c>
      <c r="C19" s="81" t="s">
        <v>1366</v>
      </c>
      <c r="D19" s="108" t="s">
        <v>1102</v>
      </c>
      <c r="E19" s="81" t="s">
        <v>1143</v>
      </c>
      <c r="F19" s="81" t="s">
        <v>1143</v>
      </c>
      <c r="G19" s="109" t="s">
        <v>462</v>
      </c>
      <c r="H19" s="81" t="s">
        <v>462</v>
      </c>
      <c r="I19" s="81" t="s">
        <v>318</v>
      </c>
      <c r="J19" s="81" t="s">
        <v>526</v>
      </c>
      <c r="K19" s="110" t="s">
        <v>58</v>
      </c>
      <c r="L19" s="111" t="s">
        <v>1359</v>
      </c>
    </row>
    <row r="20" spans="2:12" s="112" customFormat="1" x14ac:dyDescent="0.35">
      <c r="B20" s="107" t="s">
        <v>503</v>
      </c>
      <c r="C20" s="81" t="s">
        <v>1294</v>
      </c>
      <c r="D20" s="108" t="s">
        <v>483</v>
      </c>
      <c r="E20" s="81" t="s">
        <v>450</v>
      </c>
      <c r="F20" s="81" t="s">
        <v>450</v>
      </c>
      <c r="G20" s="109" t="s">
        <v>1273</v>
      </c>
      <c r="H20" s="81" t="s">
        <v>433</v>
      </c>
      <c r="I20" s="81" t="s">
        <v>434</v>
      </c>
      <c r="J20" s="81" t="s">
        <v>436</v>
      </c>
      <c r="K20" s="110" t="s">
        <v>58</v>
      </c>
      <c r="L20" s="111" t="s">
        <v>1359</v>
      </c>
    </row>
    <row r="21" spans="2:12" s="112" customFormat="1" x14ac:dyDescent="0.35">
      <c r="B21" s="107" t="s">
        <v>521</v>
      </c>
      <c r="C21" s="81" t="s">
        <v>1342</v>
      </c>
      <c r="D21" s="108" t="s">
        <v>432</v>
      </c>
      <c r="E21" s="81" t="s">
        <v>450</v>
      </c>
      <c r="F21" s="81" t="s">
        <v>450</v>
      </c>
      <c r="G21" s="109" t="s">
        <v>1328</v>
      </c>
      <c r="H21" s="81" t="s">
        <v>488</v>
      </c>
      <c r="I21" s="81" t="s">
        <v>425</v>
      </c>
      <c r="J21" s="81" t="s">
        <v>436</v>
      </c>
      <c r="K21" s="110" t="s">
        <v>58</v>
      </c>
      <c r="L21" s="111" t="s">
        <v>1359</v>
      </c>
    </row>
    <row r="22" spans="2:12" s="112" customFormat="1" x14ac:dyDescent="0.35">
      <c r="B22" s="107" t="s">
        <v>702</v>
      </c>
      <c r="C22" s="81" t="s">
        <v>1333</v>
      </c>
      <c r="D22" s="108" t="s">
        <v>432</v>
      </c>
      <c r="E22" s="81" t="s">
        <v>706</v>
      </c>
      <c r="F22" s="81" t="s">
        <v>450</v>
      </c>
      <c r="G22" s="109" t="s">
        <v>1328</v>
      </c>
      <c r="H22" s="81" t="s">
        <v>488</v>
      </c>
      <c r="I22" s="81" t="s">
        <v>489</v>
      </c>
      <c r="J22" s="81" t="s">
        <v>436</v>
      </c>
      <c r="K22" s="110" t="s">
        <v>58</v>
      </c>
      <c r="L22" s="111" t="s">
        <v>1359</v>
      </c>
    </row>
    <row r="23" spans="2:12" s="112" customFormat="1" x14ac:dyDescent="0.35">
      <c r="B23" s="107" t="s">
        <v>1103</v>
      </c>
      <c r="C23" s="81" t="s">
        <v>1367</v>
      </c>
      <c r="D23" s="108" t="s">
        <v>1106</v>
      </c>
      <c r="E23" s="81" t="s">
        <v>1105</v>
      </c>
      <c r="F23" s="81" t="s">
        <v>1105</v>
      </c>
      <c r="G23" s="109" t="s">
        <v>462</v>
      </c>
      <c r="H23" s="81" t="s">
        <v>468</v>
      </c>
      <c r="I23" s="81" t="s">
        <v>469</v>
      </c>
      <c r="J23" s="81" t="s">
        <v>526</v>
      </c>
      <c r="K23" s="110" t="s">
        <v>58</v>
      </c>
      <c r="L23" s="111" t="s">
        <v>1359</v>
      </c>
    </row>
    <row r="24" spans="2:12" s="112" customFormat="1" x14ac:dyDescent="0.35">
      <c r="B24" s="107" t="s">
        <v>815</v>
      </c>
      <c r="C24" s="81" t="s">
        <v>1368</v>
      </c>
      <c r="D24" s="108" t="s">
        <v>440</v>
      </c>
      <c r="E24" s="81" t="s">
        <v>420</v>
      </c>
      <c r="F24" s="81" t="s">
        <v>420</v>
      </c>
      <c r="G24" s="109" t="s">
        <v>1328</v>
      </c>
      <c r="H24" s="81" t="s">
        <v>462</v>
      </c>
      <c r="I24" s="81" t="s">
        <v>303</v>
      </c>
      <c r="J24" s="81" t="s">
        <v>526</v>
      </c>
      <c r="K24" s="110" t="s">
        <v>58</v>
      </c>
      <c r="L24" s="111" t="s">
        <v>1359</v>
      </c>
    </row>
    <row r="25" spans="2:12" s="112" customFormat="1" x14ac:dyDescent="0.35">
      <c r="B25" s="107" t="s">
        <v>874</v>
      </c>
      <c r="C25" s="81" t="s">
        <v>1301</v>
      </c>
      <c r="D25" s="108" t="s">
        <v>483</v>
      </c>
      <c r="E25" s="81" t="s">
        <v>445</v>
      </c>
      <c r="F25" s="81" t="s">
        <v>445</v>
      </c>
      <c r="G25" s="109" t="s">
        <v>462</v>
      </c>
      <c r="H25" s="81" t="s">
        <v>462</v>
      </c>
      <c r="I25" s="81" t="s">
        <v>303</v>
      </c>
      <c r="J25" s="81" t="s">
        <v>436</v>
      </c>
      <c r="K25" s="110" t="s">
        <v>1302</v>
      </c>
      <c r="L25" s="111" t="s">
        <v>1359</v>
      </c>
    </row>
    <row r="26" spans="2:12" s="112" customFormat="1" x14ac:dyDescent="0.35">
      <c r="B26" s="107" t="s">
        <v>916</v>
      </c>
      <c r="C26" s="81" t="s">
        <v>1286</v>
      </c>
      <c r="D26" s="108" t="s">
        <v>903</v>
      </c>
      <c r="E26" s="81" t="s">
        <v>450</v>
      </c>
      <c r="F26" s="81" t="s">
        <v>450</v>
      </c>
      <c r="G26" s="109" t="s">
        <v>1273</v>
      </c>
      <c r="H26" s="81" t="s">
        <v>433</v>
      </c>
      <c r="I26" s="81" t="s">
        <v>434</v>
      </c>
      <c r="J26" s="81" t="s">
        <v>436</v>
      </c>
      <c r="K26" s="110" t="s">
        <v>58</v>
      </c>
      <c r="L26" s="111" t="s">
        <v>1359</v>
      </c>
    </row>
    <row r="27" spans="2:12" s="112" customFormat="1" x14ac:dyDescent="0.35">
      <c r="B27" s="107" t="s">
        <v>757</v>
      </c>
      <c r="C27" s="81" t="s">
        <v>1369</v>
      </c>
      <c r="D27" s="108" t="s">
        <v>432</v>
      </c>
      <c r="E27" s="81" t="s">
        <v>567</v>
      </c>
      <c r="F27" s="81" t="s">
        <v>567</v>
      </c>
      <c r="G27" s="109" t="s">
        <v>462</v>
      </c>
      <c r="H27" s="81" t="s">
        <v>585</v>
      </c>
      <c r="I27" s="81" t="s">
        <v>170</v>
      </c>
      <c r="J27" s="81" t="s">
        <v>526</v>
      </c>
      <c r="K27" s="110" t="s">
        <v>1369</v>
      </c>
      <c r="L27" s="111" t="s">
        <v>1359</v>
      </c>
    </row>
    <row r="28" spans="2:12" s="112" customFormat="1" x14ac:dyDescent="0.35">
      <c r="B28" s="107" t="s">
        <v>755</v>
      </c>
      <c r="C28" s="81" t="s">
        <v>1370</v>
      </c>
      <c r="D28" s="108" t="s">
        <v>432</v>
      </c>
      <c r="E28" s="81" t="s">
        <v>567</v>
      </c>
      <c r="F28" s="81" t="s">
        <v>567</v>
      </c>
      <c r="G28" s="109" t="s">
        <v>462</v>
      </c>
      <c r="H28" s="81" t="s">
        <v>462</v>
      </c>
      <c r="I28" s="81" t="s">
        <v>318</v>
      </c>
      <c r="J28" s="81" t="s">
        <v>526</v>
      </c>
      <c r="K28" s="110" t="s">
        <v>1370</v>
      </c>
      <c r="L28" s="111" t="s">
        <v>1359</v>
      </c>
    </row>
    <row r="29" spans="2:12" s="112" customFormat="1" x14ac:dyDescent="0.35">
      <c r="B29" s="107" t="s">
        <v>612</v>
      </c>
      <c r="C29" s="81" t="s">
        <v>1371</v>
      </c>
      <c r="D29" s="108" t="s">
        <v>440</v>
      </c>
      <c r="E29" s="81" t="s">
        <v>540</v>
      </c>
      <c r="F29" s="81" t="s">
        <v>560</v>
      </c>
      <c r="G29" s="109" t="s">
        <v>462</v>
      </c>
      <c r="H29" s="81" t="s">
        <v>488</v>
      </c>
      <c r="I29" s="81" t="s">
        <v>294</v>
      </c>
      <c r="J29" s="81" t="s">
        <v>526</v>
      </c>
      <c r="K29" s="110" t="s">
        <v>58</v>
      </c>
      <c r="L29" s="111" t="s">
        <v>1359</v>
      </c>
    </row>
    <row r="30" spans="2:12" s="112" customFormat="1" x14ac:dyDescent="0.35">
      <c r="B30" s="107" t="s">
        <v>750</v>
      </c>
      <c r="C30" s="81" t="s">
        <v>1264</v>
      </c>
      <c r="D30" s="108" t="s">
        <v>432</v>
      </c>
      <c r="E30" s="81" t="s">
        <v>540</v>
      </c>
      <c r="F30" s="81" t="s">
        <v>609</v>
      </c>
      <c r="G30" s="109" t="s">
        <v>462</v>
      </c>
      <c r="H30" s="81" t="s">
        <v>462</v>
      </c>
      <c r="I30" s="81" t="s">
        <v>318</v>
      </c>
      <c r="J30" s="81" t="s">
        <v>436</v>
      </c>
      <c r="K30" s="110" t="s">
        <v>1264</v>
      </c>
      <c r="L30" s="111" t="s">
        <v>1359</v>
      </c>
    </row>
    <row r="31" spans="2:12" s="112" customFormat="1" x14ac:dyDescent="0.35">
      <c r="B31" s="107" t="s">
        <v>589</v>
      </c>
      <c r="C31" s="81" t="s">
        <v>1309</v>
      </c>
      <c r="D31" s="108" t="s">
        <v>440</v>
      </c>
      <c r="E31" s="81" t="s">
        <v>591</v>
      </c>
      <c r="F31" s="81" t="s">
        <v>588</v>
      </c>
      <c r="G31" s="109" t="s">
        <v>462</v>
      </c>
      <c r="H31" s="81" t="s">
        <v>479</v>
      </c>
      <c r="I31" s="81" t="s">
        <v>592</v>
      </c>
      <c r="J31" s="81" t="s">
        <v>436</v>
      </c>
      <c r="K31" s="110" t="s">
        <v>1310</v>
      </c>
      <c r="L31" s="111" t="s">
        <v>1359</v>
      </c>
    </row>
    <row r="32" spans="2:12" s="112" customFormat="1" x14ac:dyDescent="0.35">
      <c r="B32" s="107" t="s">
        <v>1015</v>
      </c>
      <c r="C32" s="81" t="s">
        <v>1279</v>
      </c>
      <c r="D32" s="108" t="s">
        <v>474</v>
      </c>
      <c r="E32" s="81" t="s">
        <v>1017</v>
      </c>
      <c r="F32" s="81" t="s">
        <v>1018</v>
      </c>
      <c r="G32" s="109" t="s">
        <v>462</v>
      </c>
      <c r="H32" s="81" t="s">
        <v>441</v>
      </c>
      <c r="I32" s="81" t="s">
        <v>204</v>
      </c>
      <c r="J32" s="81" t="s">
        <v>526</v>
      </c>
      <c r="K32" s="110" t="s">
        <v>1015</v>
      </c>
      <c r="L32" s="111" t="s">
        <v>1359</v>
      </c>
    </row>
    <row r="33" spans="2:12" s="112" customFormat="1" x14ac:dyDescent="0.35">
      <c r="B33" s="107" t="s">
        <v>841</v>
      </c>
      <c r="C33" s="81" t="s">
        <v>1372</v>
      </c>
      <c r="D33" s="108" t="s">
        <v>844</v>
      </c>
      <c r="E33" s="81" t="s">
        <v>843</v>
      </c>
      <c r="F33" s="81" t="s">
        <v>843</v>
      </c>
      <c r="G33" s="109" t="s">
        <v>1328</v>
      </c>
      <c r="H33" s="81" t="s">
        <v>441</v>
      </c>
      <c r="I33" s="81" t="s">
        <v>204</v>
      </c>
      <c r="J33" s="81" t="s">
        <v>436</v>
      </c>
      <c r="K33" s="110" t="s">
        <v>1373</v>
      </c>
      <c r="L33" s="111" t="s">
        <v>1359</v>
      </c>
    </row>
    <row r="34" spans="2:12" s="112" customFormat="1" x14ac:dyDescent="0.35">
      <c r="B34" s="107" t="s">
        <v>877</v>
      </c>
      <c r="C34" s="81" t="s">
        <v>1340</v>
      </c>
      <c r="D34" s="108" t="s">
        <v>461</v>
      </c>
      <c r="E34" s="81" t="s">
        <v>419</v>
      </c>
      <c r="F34" s="81" t="s">
        <v>419</v>
      </c>
      <c r="G34" s="109" t="s">
        <v>1328</v>
      </c>
      <c r="H34" s="81" t="s">
        <v>488</v>
      </c>
      <c r="I34" s="81" t="s">
        <v>425</v>
      </c>
      <c r="J34" s="81" t="s">
        <v>427</v>
      </c>
      <c r="K34" s="110" t="s">
        <v>1341</v>
      </c>
      <c r="L34" s="111" t="s">
        <v>1359</v>
      </c>
    </row>
    <row r="35" spans="2:12" s="112" customFormat="1" x14ac:dyDescent="0.35">
      <c r="B35" s="107" t="s">
        <v>689</v>
      </c>
      <c r="C35" s="81" t="s">
        <v>1374</v>
      </c>
      <c r="D35" s="108" t="s">
        <v>432</v>
      </c>
      <c r="E35" s="81" t="s">
        <v>540</v>
      </c>
      <c r="F35" s="81" t="s">
        <v>553</v>
      </c>
      <c r="G35" s="109" t="s">
        <v>1328</v>
      </c>
      <c r="H35" s="81" t="s">
        <v>441</v>
      </c>
      <c r="I35" s="81" t="s">
        <v>204</v>
      </c>
      <c r="J35" s="81" t="s">
        <v>526</v>
      </c>
      <c r="K35" s="110" t="s">
        <v>58</v>
      </c>
      <c r="L35" s="111" t="s">
        <v>1359</v>
      </c>
    </row>
    <row r="36" spans="2:12" s="112" customFormat="1" x14ac:dyDescent="0.35">
      <c r="B36" s="107" t="s">
        <v>800</v>
      </c>
      <c r="C36" s="81" t="s">
        <v>1375</v>
      </c>
      <c r="D36" s="108" t="s">
        <v>432</v>
      </c>
      <c r="E36" s="81" t="s">
        <v>567</v>
      </c>
      <c r="F36" s="81" t="s">
        <v>625</v>
      </c>
      <c r="G36" s="109" t="s">
        <v>462</v>
      </c>
      <c r="H36" s="81" t="s">
        <v>618</v>
      </c>
      <c r="I36" s="81" t="s">
        <v>168</v>
      </c>
      <c r="J36" s="81" t="s">
        <v>436</v>
      </c>
      <c r="K36" s="110" t="s">
        <v>58</v>
      </c>
      <c r="L36" s="111" t="s">
        <v>1359</v>
      </c>
    </row>
    <row r="37" spans="2:12" s="112" customFormat="1" x14ac:dyDescent="0.35">
      <c r="B37" s="107" t="s">
        <v>761</v>
      </c>
      <c r="C37" s="81" t="s">
        <v>1303</v>
      </c>
      <c r="D37" s="108" t="s">
        <v>432</v>
      </c>
      <c r="E37" s="81" t="s">
        <v>567</v>
      </c>
      <c r="F37" s="81" t="s">
        <v>567</v>
      </c>
      <c r="G37" s="109" t="s">
        <v>462</v>
      </c>
      <c r="H37" s="81" t="s">
        <v>488</v>
      </c>
      <c r="I37" s="81" t="s">
        <v>425</v>
      </c>
      <c r="J37" s="81" t="s">
        <v>526</v>
      </c>
      <c r="K37" s="110" t="s">
        <v>1303</v>
      </c>
      <c r="L37" s="111" t="s">
        <v>1359</v>
      </c>
    </row>
    <row r="38" spans="2:12" s="112" customFormat="1" x14ac:dyDescent="0.35">
      <c r="B38" s="107" t="s">
        <v>459</v>
      </c>
      <c r="C38" s="81" t="s">
        <v>1376</v>
      </c>
      <c r="D38" s="108" t="s">
        <v>461</v>
      </c>
      <c r="E38" s="81" t="s">
        <v>455</v>
      </c>
      <c r="F38" s="81" t="s">
        <v>445</v>
      </c>
      <c r="G38" s="109" t="s">
        <v>1328</v>
      </c>
      <c r="H38" s="81" t="s">
        <v>462</v>
      </c>
      <c r="I38" s="81" t="s">
        <v>463</v>
      </c>
      <c r="J38" s="81" t="s">
        <v>436</v>
      </c>
      <c r="K38" s="110" t="s">
        <v>1377</v>
      </c>
      <c r="L38" s="111" t="s">
        <v>1359</v>
      </c>
    </row>
    <row r="39" spans="2:12" s="112" customFormat="1" x14ac:dyDescent="0.35">
      <c r="B39" s="107" t="s">
        <v>1141</v>
      </c>
      <c r="C39" s="81" t="s">
        <v>1378</v>
      </c>
      <c r="D39" s="108" t="s">
        <v>903</v>
      </c>
      <c r="E39" s="81" t="s">
        <v>1064</v>
      </c>
      <c r="F39" s="81" t="s">
        <v>1064</v>
      </c>
      <c r="G39" s="109" t="s">
        <v>462</v>
      </c>
      <c r="H39" s="81" t="s">
        <v>514</v>
      </c>
      <c r="I39" s="81" t="s">
        <v>515</v>
      </c>
      <c r="J39" s="81" t="s">
        <v>436</v>
      </c>
      <c r="K39" s="110" t="s">
        <v>58</v>
      </c>
      <c r="L39" s="111" t="s">
        <v>1359</v>
      </c>
    </row>
    <row r="40" spans="2:12" s="112" customFormat="1" x14ac:dyDescent="0.35">
      <c r="B40" s="107" t="s">
        <v>789</v>
      </c>
      <c r="C40" s="81" t="s">
        <v>1379</v>
      </c>
      <c r="D40" s="108" t="s">
        <v>432</v>
      </c>
      <c r="E40" s="81" t="s">
        <v>540</v>
      </c>
      <c r="F40" s="81" t="s">
        <v>632</v>
      </c>
      <c r="G40" s="109" t="s">
        <v>1273</v>
      </c>
      <c r="H40" s="81" t="s">
        <v>441</v>
      </c>
      <c r="I40" s="81" t="s">
        <v>204</v>
      </c>
      <c r="J40" s="81" t="s">
        <v>436</v>
      </c>
      <c r="K40" s="110" t="s">
        <v>58</v>
      </c>
      <c r="L40" s="111" t="s">
        <v>1359</v>
      </c>
    </row>
    <row r="41" spans="2:12" s="112" customFormat="1" x14ac:dyDescent="0.35">
      <c r="B41" s="107" t="s">
        <v>549</v>
      </c>
      <c r="C41" s="81" t="s">
        <v>1380</v>
      </c>
      <c r="D41" s="108" t="s">
        <v>440</v>
      </c>
      <c r="E41" s="81" t="s">
        <v>540</v>
      </c>
      <c r="F41" s="81" t="s">
        <v>553</v>
      </c>
      <c r="G41" s="109" t="s">
        <v>1328</v>
      </c>
      <c r="H41" s="81" t="s">
        <v>441</v>
      </c>
      <c r="I41" s="81" t="s">
        <v>204</v>
      </c>
      <c r="J41" s="81" t="s">
        <v>526</v>
      </c>
      <c r="K41" s="110" t="s">
        <v>58</v>
      </c>
      <c r="L41" s="111" t="s">
        <v>1359</v>
      </c>
    </row>
    <row r="42" spans="2:12" s="112" customFormat="1" x14ac:dyDescent="0.35">
      <c r="B42" s="107" t="s">
        <v>950</v>
      </c>
      <c r="C42" s="81" t="s">
        <v>1381</v>
      </c>
      <c r="D42" s="108" t="s">
        <v>886</v>
      </c>
      <c r="E42" s="81" t="s">
        <v>952</v>
      </c>
      <c r="F42" s="81" t="s">
        <v>952</v>
      </c>
      <c r="G42" s="109" t="s">
        <v>1273</v>
      </c>
      <c r="H42" s="81" t="s">
        <v>468</v>
      </c>
      <c r="I42" s="81" t="s">
        <v>469</v>
      </c>
      <c r="J42" s="81" t="s">
        <v>436</v>
      </c>
      <c r="K42" s="110" t="s">
        <v>58</v>
      </c>
      <c r="L42" s="111" t="s">
        <v>1359</v>
      </c>
    </row>
    <row r="43" spans="2:12" s="112" customFormat="1" x14ac:dyDescent="0.35">
      <c r="B43" s="107" t="s">
        <v>1146</v>
      </c>
      <c r="C43" s="81" t="s">
        <v>1382</v>
      </c>
      <c r="D43" s="108" t="s">
        <v>1102</v>
      </c>
      <c r="E43" s="81" t="s">
        <v>1135</v>
      </c>
      <c r="F43" s="81" t="s">
        <v>1135</v>
      </c>
      <c r="G43" s="109" t="s">
        <v>1273</v>
      </c>
      <c r="H43" s="81" t="s">
        <v>433</v>
      </c>
      <c r="I43" s="81" t="s">
        <v>520</v>
      </c>
      <c r="J43" s="81" t="s">
        <v>526</v>
      </c>
      <c r="K43" s="110" t="s">
        <v>58</v>
      </c>
      <c r="L43" s="111" t="s">
        <v>1359</v>
      </c>
    </row>
    <row r="44" spans="2:12" s="112" customFormat="1" x14ac:dyDescent="0.35">
      <c r="B44" s="107" t="s">
        <v>990</v>
      </c>
      <c r="C44" s="81" t="s">
        <v>1383</v>
      </c>
      <c r="D44" s="108" t="s">
        <v>894</v>
      </c>
      <c r="E44" s="81" t="s">
        <v>843</v>
      </c>
      <c r="F44" s="81" t="s">
        <v>843</v>
      </c>
      <c r="G44" s="109" t="s">
        <v>462</v>
      </c>
      <c r="H44" s="81" t="s">
        <v>488</v>
      </c>
      <c r="I44" s="81" t="s">
        <v>425</v>
      </c>
      <c r="J44" s="81" t="s">
        <v>436</v>
      </c>
      <c r="K44" s="110" t="s">
        <v>58</v>
      </c>
      <c r="L44" s="111" t="s">
        <v>1359</v>
      </c>
    </row>
    <row r="45" spans="2:12" s="112" customFormat="1" x14ac:dyDescent="0.35">
      <c r="B45" s="107" t="s">
        <v>593</v>
      </c>
      <c r="C45" s="81" t="s">
        <v>1384</v>
      </c>
      <c r="D45" s="108" t="s">
        <v>440</v>
      </c>
      <c r="E45" s="81" t="s">
        <v>540</v>
      </c>
      <c r="F45" s="81" t="s">
        <v>540</v>
      </c>
      <c r="G45" s="109" t="s">
        <v>1328</v>
      </c>
      <c r="H45" s="81" t="s">
        <v>488</v>
      </c>
      <c r="I45" s="81" t="s">
        <v>425</v>
      </c>
      <c r="J45" s="81" t="s">
        <v>526</v>
      </c>
      <c r="K45" s="110" t="s">
        <v>58</v>
      </c>
      <c r="L45" s="111" t="s">
        <v>1359</v>
      </c>
    </row>
    <row r="46" spans="2:12" s="112" customFormat="1" x14ac:dyDescent="0.35">
      <c r="B46" s="107" t="s">
        <v>607</v>
      </c>
      <c r="C46" s="81" t="s">
        <v>1385</v>
      </c>
      <c r="D46" s="108" t="s">
        <v>440</v>
      </c>
      <c r="E46" s="81" t="s">
        <v>540</v>
      </c>
      <c r="F46" s="81" t="s">
        <v>609</v>
      </c>
      <c r="G46" s="109" t="s">
        <v>1273</v>
      </c>
      <c r="H46" s="81" t="s">
        <v>441</v>
      </c>
      <c r="I46" s="81" t="s">
        <v>204</v>
      </c>
      <c r="J46" s="81" t="s">
        <v>436</v>
      </c>
      <c r="K46" s="110" t="s">
        <v>1386</v>
      </c>
      <c r="L46" s="111" t="s">
        <v>1359</v>
      </c>
    </row>
    <row r="47" spans="2:12" s="112" customFormat="1" x14ac:dyDescent="0.35">
      <c r="B47" s="107" t="s">
        <v>1149</v>
      </c>
      <c r="C47" s="81" t="s">
        <v>1387</v>
      </c>
      <c r="D47" s="108" t="s">
        <v>1102</v>
      </c>
      <c r="E47" s="81" t="s">
        <v>1143</v>
      </c>
      <c r="F47" s="81" t="s">
        <v>1148</v>
      </c>
      <c r="G47" s="109" t="s">
        <v>462</v>
      </c>
      <c r="H47" s="81" t="s">
        <v>468</v>
      </c>
      <c r="I47" s="81" t="s">
        <v>469</v>
      </c>
      <c r="J47" s="81" t="s">
        <v>526</v>
      </c>
      <c r="K47" s="110" t="s">
        <v>58</v>
      </c>
      <c r="L47" s="111" t="s">
        <v>1359</v>
      </c>
    </row>
    <row r="48" spans="2:12" s="112" customFormat="1" x14ac:dyDescent="0.35">
      <c r="B48" s="107" t="s">
        <v>884</v>
      </c>
      <c r="C48" s="81" t="s">
        <v>1388</v>
      </c>
      <c r="D48" s="108" t="s">
        <v>886</v>
      </c>
      <c r="E48" s="81" t="s">
        <v>455</v>
      </c>
      <c r="F48" s="81" t="s">
        <v>420</v>
      </c>
      <c r="G48" s="109" t="s">
        <v>462</v>
      </c>
      <c r="H48" s="81" t="s">
        <v>462</v>
      </c>
      <c r="I48" s="81" t="s">
        <v>318</v>
      </c>
      <c r="J48" s="81" t="s">
        <v>427</v>
      </c>
      <c r="K48" s="110" t="s">
        <v>1389</v>
      </c>
      <c r="L48" s="111" t="s">
        <v>1359</v>
      </c>
    </row>
    <row r="49" spans="2:12" s="112" customFormat="1" x14ac:dyDescent="0.35">
      <c r="B49" s="107" t="s">
        <v>818</v>
      </c>
      <c r="C49" s="81" t="s">
        <v>834</v>
      </c>
      <c r="D49" s="108" t="s">
        <v>820</v>
      </c>
      <c r="E49" s="81" t="s">
        <v>473</v>
      </c>
      <c r="F49" s="81" t="s">
        <v>473</v>
      </c>
      <c r="G49" s="109" t="s">
        <v>462</v>
      </c>
      <c r="H49" s="81" t="s">
        <v>462</v>
      </c>
      <c r="I49" s="81" t="s">
        <v>318</v>
      </c>
      <c r="J49" s="81" t="s">
        <v>526</v>
      </c>
      <c r="K49" s="110" t="s">
        <v>1267</v>
      </c>
      <c r="L49" s="111" t="s">
        <v>1359</v>
      </c>
    </row>
    <row r="50" spans="2:12" s="112" customFormat="1" x14ac:dyDescent="0.35">
      <c r="B50" s="107" t="s">
        <v>471</v>
      </c>
      <c r="C50" s="81" t="s">
        <v>1290</v>
      </c>
      <c r="D50" s="108" t="s">
        <v>474</v>
      </c>
      <c r="E50" s="81" t="s">
        <v>455</v>
      </c>
      <c r="F50" s="81" t="s">
        <v>473</v>
      </c>
      <c r="G50" s="109" t="s">
        <v>1273</v>
      </c>
      <c r="H50" s="81" t="s">
        <v>462</v>
      </c>
      <c r="I50" s="81" t="s">
        <v>318</v>
      </c>
      <c r="J50" s="81" t="s">
        <v>436</v>
      </c>
      <c r="K50" s="110" t="s">
        <v>1292</v>
      </c>
      <c r="L50" s="111" t="s">
        <v>1359</v>
      </c>
    </row>
    <row r="51" spans="2:12" s="112" customFormat="1" x14ac:dyDescent="0.35">
      <c r="B51" s="107" t="s">
        <v>554</v>
      </c>
      <c r="C51" s="81" t="s">
        <v>1343</v>
      </c>
      <c r="D51" s="108" t="s">
        <v>440</v>
      </c>
      <c r="E51" s="81" t="s">
        <v>445</v>
      </c>
      <c r="F51" s="81" t="s">
        <v>445</v>
      </c>
      <c r="G51" s="109" t="s">
        <v>1328</v>
      </c>
      <c r="H51" s="81" t="s">
        <v>488</v>
      </c>
      <c r="I51" s="81" t="s">
        <v>294</v>
      </c>
      <c r="J51" s="81" t="s">
        <v>436</v>
      </c>
      <c r="K51" s="110" t="s">
        <v>58</v>
      </c>
      <c r="L51" s="111" t="s">
        <v>1359</v>
      </c>
    </row>
    <row r="52" spans="2:12" s="112" customFormat="1" x14ac:dyDescent="0.35">
      <c r="B52" s="107" t="s">
        <v>600</v>
      </c>
      <c r="C52" s="81" t="s">
        <v>1299</v>
      </c>
      <c r="D52" s="108" t="s">
        <v>440</v>
      </c>
      <c r="E52" s="81" t="s">
        <v>445</v>
      </c>
      <c r="F52" s="81" t="s">
        <v>445</v>
      </c>
      <c r="G52" s="109" t="s">
        <v>1273</v>
      </c>
      <c r="H52" s="81" t="s">
        <v>433</v>
      </c>
      <c r="I52" s="81" t="s">
        <v>531</v>
      </c>
      <c r="J52" s="81" t="s">
        <v>526</v>
      </c>
      <c r="K52" s="110" t="s">
        <v>58</v>
      </c>
      <c r="L52" s="111" t="s">
        <v>1359</v>
      </c>
    </row>
    <row r="53" spans="2:12" s="112" customFormat="1" x14ac:dyDescent="0.35">
      <c r="B53" s="107" t="s">
        <v>648</v>
      </c>
      <c r="C53" s="81" t="s">
        <v>1390</v>
      </c>
      <c r="D53" s="108" t="s">
        <v>440</v>
      </c>
      <c r="E53" s="81" t="s">
        <v>540</v>
      </c>
      <c r="F53" s="81" t="s">
        <v>632</v>
      </c>
      <c r="G53" s="109" t="s">
        <v>462</v>
      </c>
      <c r="H53" s="81" t="s">
        <v>618</v>
      </c>
      <c r="I53" s="81" t="s">
        <v>168</v>
      </c>
      <c r="J53" s="81" t="s">
        <v>526</v>
      </c>
      <c r="K53" s="110" t="s">
        <v>58</v>
      </c>
      <c r="L53" s="111" t="s">
        <v>1359</v>
      </c>
    </row>
    <row r="54" spans="2:12" s="112" customFormat="1" x14ac:dyDescent="0.35">
      <c r="B54" s="107" t="s">
        <v>477</v>
      </c>
      <c r="C54" s="81" t="s">
        <v>1391</v>
      </c>
      <c r="D54" s="108" t="s">
        <v>432</v>
      </c>
      <c r="E54" s="81" t="s">
        <v>445</v>
      </c>
      <c r="F54" s="81" t="s">
        <v>445</v>
      </c>
      <c r="G54" s="109" t="s">
        <v>1328</v>
      </c>
      <c r="H54" s="81" t="s">
        <v>479</v>
      </c>
      <c r="I54" s="81" t="s">
        <v>85</v>
      </c>
      <c r="J54" s="81" t="s">
        <v>436</v>
      </c>
      <c r="K54" s="110" t="s">
        <v>1392</v>
      </c>
      <c r="L54" s="111" t="s">
        <v>1359</v>
      </c>
    </row>
    <row r="55" spans="2:12" s="112" customFormat="1" x14ac:dyDescent="0.35">
      <c r="B55" s="107" t="s">
        <v>416</v>
      </c>
      <c r="C55" s="81" t="s">
        <v>1268</v>
      </c>
      <c r="D55" s="108" t="s">
        <v>421</v>
      </c>
      <c r="E55" s="81" t="s">
        <v>419</v>
      </c>
      <c r="F55" s="81" t="s">
        <v>420</v>
      </c>
      <c r="G55" s="109" t="s">
        <v>462</v>
      </c>
      <c r="H55" s="81" t="s">
        <v>424</v>
      </c>
      <c r="I55" s="81" t="s">
        <v>425</v>
      </c>
      <c r="J55" s="81" t="s">
        <v>427</v>
      </c>
      <c r="K55" s="110" t="s">
        <v>1270</v>
      </c>
      <c r="L55" s="111" t="s">
        <v>1359</v>
      </c>
    </row>
    <row r="56" spans="2:12" s="112" customFormat="1" x14ac:dyDescent="0.35">
      <c r="B56" s="107" t="s">
        <v>626</v>
      </c>
      <c r="C56" s="81" t="s">
        <v>1393</v>
      </c>
      <c r="D56" s="108" t="s">
        <v>440</v>
      </c>
      <c r="E56" s="81" t="s">
        <v>540</v>
      </c>
      <c r="F56" s="81" t="s">
        <v>1394</v>
      </c>
      <c r="G56" s="109" t="s">
        <v>1328</v>
      </c>
      <c r="H56" s="81" t="s">
        <v>479</v>
      </c>
      <c r="I56" s="81" t="s">
        <v>91</v>
      </c>
      <c r="J56" s="81" t="s">
        <v>526</v>
      </c>
      <c r="K56" s="110" t="s">
        <v>58</v>
      </c>
      <c r="L56" s="111" t="s">
        <v>1359</v>
      </c>
    </row>
    <row r="57" spans="2:12" s="112" customFormat="1" x14ac:dyDescent="0.35">
      <c r="B57" s="107" t="s">
        <v>1159</v>
      </c>
      <c r="C57" s="81" t="s">
        <v>1395</v>
      </c>
      <c r="D57" s="108" t="s">
        <v>1119</v>
      </c>
      <c r="E57" s="81" t="s">
        <v>1157</v>
      </c>
      <c r="F57" s="81" t="s">
        <v>1158</v>
      </c>
      <c r="G57" s="109" t="s">
        <v>1273</v>
      </c>
      <c r="H57" s="81" t="s">
        <v>468</v>
      </c>
      <c r="I57" s="81" t="s">
        <v>469</v>
      </c>
      <c r="J57" s="81" t="s">
        <v>526</v>
      </c>
      <c r="K57" s="110" t="s">
        <v>58</v>
      </c>
      <c r="L57" s="111" t="s">
        <v>1359</v>
      </c>
    </row>
    <row r="58" spans="2:12" s="112" customFormat="1" x14ac:dyDescent="0.35">
      <c r="B58" s="107" t="s">
        <v>913</v>
      </c>
      <c r="C58" s="81" t="s">
        <v>1396</v>
      </c>
      <c r="D58" s="108" t="s">
        <v>894</v>
      </c>
      <c r="E58" s="81" t="s">
        <v>863</v>
      </c>
      <c r="F58" s="81" t="s">
        <v>863</v>
      </c>
      <c r="G58" s="109" t="s">
        <v>1328</v>
      </c>
      <c r="H58" s="81" t="s">
        <v>618</v>
      </c>
      <c r="I58" s="81" t="s">
        <v>168</v>
      </c>
      <c r="J58" s="81" t="s">
        <v>436</v>
      </c>
      <c r="K58" s="110" t="s">
        <v>58</v>
      </c>
      <c r="L58" s="111" t="s">
        <v>1359</v>
      </c>
    </row>
    <row r="59" spans="2:12" s="112" customFormat="1" x14ac:dyDescent="0.35">
      <c r="B59" s="107" t="s">
        <v>603</v>
      </c>
      <c r="C59" s="81" t="s">
        <v>1397</v>
      </c>
      <c r="D59" s="108" t="s">
        <v>440</v>
      </c>
      <c r="E59" s="81" t="s">
        <v>445</v>
      </c>
      <c r="F59" s="81" t="s">
        <v>445</v>
      </c>
      <c r="G59" s="109" t="s">
        <v>1273</v>
      </c>
      <c r="H59" s="81" t="s">
        <v>433</v>
      </c>
      <c r="I59" s="81" t="s">
        <v>531</v>
      </c>
      <c r="J59" s="81" t="s">
        <v>526</v>
      </c>
      <c r="K59" s="110" t="s">
        <v>58</v>
      </c>
      <c r="L59" s="111" t="s">
        <v>1359</v>
      </c>
    </row>
    <row r="60" spans="2:12" s="112" customFormat="1" x14ac:dyDescent="0.35">
      <c r="B60" s="107" t="s">
        <v>743</v>
      </c>
      <c r="C60" s="81" t="s">
        <v>1398</v>
      </c>
      <c r="D60" s="108" t="s">
        <v>432</v>
      </c>
      <c r="E60" s="81" t="s">
        <v>445</v>
      </c>
      <c r="F60" s="81" t="s">
        <v>445</v>
      </c>
      <c r="G60" s="109" t="s">
        <v>1273</v>
      </c>
      <c r="H60" s="81" t="s">
        <v>433</v>
      </c>
      <c r="I60" s="81" t="s">
        <v>531</v>
      </c>
      <c r="J60" s="81" t="s">
        <v>526</v>
      </c>
      <c r="K60" s="110" t="s">
        <v>1398</v>
      </c>
      <c r="L60" s="111" t="s">
        <v>1359</v>
      </c>
    </row>
    <row r="61" spans="2:12" s="112" customFormat="1" x14ac:dyDescent="0.35">
      <c r="B61" s="107" t="s">
        <v>1045</v>
      </c>
      <c r="C61" s="81" t="s">
        <v>1399</v>
      </c>
      <c r="D61" s="108" t="s">
        <v>820</v>
      </c>
      <c r="E61" s="81" t="s">
        <v>1047</v>
      </c>
      <c r="F61" s="81" t="s">
        <v>1048</v>
      </c>
      <c r="G61" s="109" t="s">
        <v>1328</v>
      </c>
      <c r="H61" s="81" t="s">
        <v>479</v>
      </c>
      <c r="I61" s="81" t="s">
        <v>294</v>
      </c>
      <c r="J61" s="81" t="s">
        <v>526</v>
      </c>
      <c r="K61" s="110" t="s">
        <v>58</v>
      </c>
      <c r="L61" s="111" t="s">
        <v>1359</v>
      </c>
    </row>
    <row r="62" spans="2:12" s="112" customFormat="1" x14ac:dyDescent="0.35">
      <c r="B62" s="107" t="s">
        <v>783</v>
      </c>
      <c r="C62" s="81" t="s">
        <v>1400</v>
      </c>
      <c r="D62" s="108" t="s">
        <v>432</v>
      </c>
      <c r="E62" s="81" t="s">
        <v>540</v>
      </c>
      <c r="F62" s="81" t="s">
        <v>788</v>
      </c>
      <c r="G62" s="109" t="s">
        <v>1273</v>
      </c>
      <c r="H62" s="81" t="s">
        <v>618</v>
      </c>
      <c r="I62" s="81" t="s">
        <v>168</v>
      </c>
      <c r="J62" s="81" t="s">
        <v>436</v>
      </c>
      <c r="K62" s="110" t="s">
        <v>58</v>
      </c>
      <c r="L62" s="111" t="s">
        <v>1359</v>
      </c>
    </row>
    <row r="63" spans="2:12" s="112" customFormat="1" x14ac:dyDescent="0.35">
      <c r="B63" s="107" t="s">
        <v>671</v>
      </c>
      <c r="C63" s="81" t="s">
        <v>1320</v>
      </c>
      <c r="D63" s="108" t="s">
        <v>440</v>
      </c>
      <c r="E63" s="81" t="s">
        <v>567</v>
      </c>
      <c r="F63" s="81" t="s">
        <v>567</v>
      </c>
      <c r="G63" s="109" t="s">
        <v>462</v>
      </c>
      <c r="H63" s="81" t="s">
        <v>462</v>
      </c>
      <c r="I63" s="81" t="s">
        <v>318</v>
      </c>
      <c r="J63" s="81" t="s">
        <v>526</v>
      </c>
      <c r="K63" s="110" t="s">
        <v>58</v>
      </c>
      <c r="L63" s="111" t="s">
        <v>1359</v>
      </c>
    </row>
    <row r="64" spans="2:12" s="112" customFormat="1" x14ac:dyDescent="0.35">
      <c r="B64" s="107" t="s">
        <v>1019</v>
      </c>
      <c r="C64" s="81" t="s">
        <v>1279</v>
      </c>
      <c r="D64" s="108" t="s">
        <v>820</v>
      </c>
      <c r="E64" s="81" t="s">
        <v>420</v>
      </c>
      <c r="F64" s="81" t="s">
        <v>898</v>
      </c>
      <c r="G64" s="109" t="s">
        <v>462</v>
      </c>
      <c r="H64" s="81" t="s">
        <v>462</v>
      </c>
      <c r="I64" s="81" t="s">
        <v>318</v>
      </c>
      <c r="J64" s="81" t="s">
        <v>526</v>
      </c>
      <c r="K64" s="110" t="s">
        <v>1019</v>
      </c>
      <c r="L64" s="111" t="s">
        <v>1359</v>
      </c>
    </row>
    <row r="65" spans="2:12" s="112" customFormat="1" x14ac:dyDescent="0.35">
      <c r="B65" s="107" t="s">
        <v>1021</v>
      </c>
      <c r="C65" s="81" t="s">
        <v>1279</v>
      </c>
      <c r="D65" s="108" t="s">
        <v>820</v>
      </c>
      <c r="E65" s="81" t="s">
        <v>1023</v>
      </c>
      <c r="F65" s="81" t="s">
        <v>1024</v>
      </c>
      <c r="G65" s="109" t="s">
        <v>462</v>
      </c>
      <c r="H65" s="81" t="s">
        <v>585</v>
      </c>
      <c r="I65" s="81" t="s">
        <v>170</v>
      </c>
      <c r="J65" s="81" t="s">
        <v>526</v>
      </c>
      <c r="K65" s="110" t="s">
        <v>1021</v>
      </c>
      <c r="L65" s="111" t="s">
        <v>1359</v>
      </c>
    </row>
    <row r="66" spans="2:12" s="112" customFormat="1" x14ac:dyDescent="0.35">
      <c r="B66" s="107" t="s">
        <v>569</v>
      </c>
      <c r="C66" s="81" t="s">
        <v>1401</v>
      </c>
      <c r="D66" s="108" t="s">
        <v>440</v>
      </c>
      <c r="E66" s="81" t="s">
        <v>540</v>
      </c>
      <c r="F66" s="81" t="s">
        <v>450</v>
      </c>
      <c r="G66" s="109" t="s">
        <v>1328</v>
      </c>
      <c r="H66" s="81" t="s">
        <v>488</v>
      </c>
      <c r="I66" s="81" t="s">
        <v>489</v>
      </c>
      <c r="J66" s="81" t="s">
        <v>436</v>
      </c>
      <c r="K66" s="110" t="s">
        <v>58</v>
      </c>
      <c r="L66" s="111" t="s">
        <v>1359</v>
      </c>
    </row>
    <row r="67" spans="2:12" s="112" customFormat="1" x14ac:dyDescent="0.35">
      <c r="B67" s="107" t="s">
        <v>775</v>
      </c>
      <c r="C67" s="81" t="s">
        <v>1325</v>
      </c>
      <c r="D67" s="108" t="s">
        <v>432</v>
      </c>
      <c r="E67" s="81" t="s">
        <v>567</v>
      </c>
      <c r="F67" s="81" t="s">
        <v>567</v>
      </c>
      <c r="G67" s="109" t="s">
        <v>462</v>
      </c>
      <c r="H67" s="81" t="s">
        <v>462</v>
      </c>
      <c r="I67" s="81" t="s">
        <v>318</v>
      </c>
      <c r="J67" s="81" t="s">
        <v>526</v>
      </c>
      <c r="K67" s="110" t="s">
        <v>58</v>
      </c>
      <c r="L67" s="111" t="s">
        <v>1359</v>
      </c>
    </row>
    <row r="68" spans="2:12" s="112" customFormat="1" x14ac:dyDescent="0.35">
      <c r="B68" s="107" t="s">
        <v>1037</v>
      </c>
      <c r="C68" s="81" t="s">
        <v>1037</v>
      </c>
      <c r="D68" s="108" t="s">
        <v>474</v>
      </c>
      <c r="E68" s="81" t="s">
        <v>1039</v>
      </c>
      <c r="F68" s="81" t="s">
        <v>1040</v>
      </c>
      <c r="G68" s="109" t="s">
        <v>1328</v>
      </c>
      <c r="H68" s="81" t="s">
        <v>488</v>
      </c>
      <c r="I68" s="81" t="s">
        <v>489</v>
      </c>
      <c r="J68" s="81" t="s">
        <v>436</v>
      </c>
      <c r="K68" s="110" t="s">
        <v>1037</v>
      </c>
      <c r="L68" s="111" t="s">
        <v>1359</v>
      </c>
    </row>
    <row r="69" spans="2:12" s="112" customFormat="1" x14ac:dyDescent="0.35">
      <c r="B69" s="107" t="s">
        <v>710</v>
      </c>
      <c r="C69" s="81" t="s">
        <v>1327</v>
      </c>
      <c r="D69" s="108" t="s">
        <v>432</v>
      </c>
      <c r="E69" s="81" t="s">
        <v>540</v>
      </c>
      <c r="F69" s="81" t="s">
        <v>712</v>
      </c>
      <c r="G69" s="109" t="s">
        <v>1328</v>
      </c>
      <c r="H69" s="81" t="s">
        <v>488</v>
      </c>
      <c r="I69" s="81" t="s">
        <v>489</v>
      </c>
      <c r="J69" s="81" t="s">
        <v>436</v>
      </c>
      <c r="K69" s="110" t="s">
        <v>1329</v>
      </c>
      <c r="L69" s="111" t="s">
        <v>1359</v>
      </c>
    </row>
    <row r="70" spans="2:12" s="112" customFormat="1" x14ac:dyDescent="0.35">
      <c r="B70" s="107" t="s">
        <v>623</v>
      </c>
      <c r="C70" s="81" t="s">
        <v>1314</v>
      </c>
      <c r="D70" s="108" t="s">
        <v>440</v>
      </c>
      <c r="E70" s="81" t="s">
        <v>567</v>
      </c>
      <c r="F70" s="81" t="s">
        <v>625</v>
      </c>
      <c r="G70" s="109" t="s">
        <v>462</v>
      </c>
      <c r="H70" s="81" t="s">
        <v>462</v>
      </c>
      <c r="I70" s="81" t="s">
        <v>318</v>
      </c>
      <c r="J70" s="81" t="s">
        <v>526</v>
      </c>
      <c r="K70" s="110" t="s">
        <v>58</v>
      </c>
      <c r="L70" s="111" t="s">
        <v>1359</v>
      </c>
    </row>
    <row r="71" spans="2:12" s="112" customFormat="1" x14ac:dyDescent="0.35">
      <c r="B71" s="107" t="s">
        <v>794</v>
      </c>
      <c r="C71" s="81" t="s">
        <v>1402</v>
      </c>
      <c r="D71" s="108" t="s">
        <v>432</v>
      </c>
      <c r="E71" s="81" t="s">
        <v>540</v>
      </c>
      <c r="F71" s="81" t="s">
        <v>622</v>
      </c>
      <c r="G71" s="109" t="s">
        <v>1328</v>
      </c>
      <c r="H71" s="81" t="s">
        <v>479</v>
      </c>
      <c r="I71" s="81" t="s">
        <v>91</v>
      </c>
      <c r="J71" s="81" t="s">
        <v>436</v>
      </c>
      <c r="K71" s="110" t="s">
        <v>58</v>
      </c>
      <c r="L71" s="111" t="s">
        <v>1359</v>
      </c>
    </row>
    <row r="72" spans="2:12" s="112" customFormat="1" x14ac:dyDescent="0.35">
      <c r="B72" s="107" t="s">
        <v>1026</v>
      </c>
      <c r="C72" s="81" t="s">
        <v>1026</v>
      </c>
      <c r="D72" s="108" t="s">
        <v>474</v>
      </c>
      <c r="E72" s="81" t="s">
        <v>1017</v>
      </c>
      <c r="F72" s="81" t="s">
        <v>1028</v>
      </c>
      <c r="G72" s="109" t="s">
        <v>462</v>
      </c>
      <c r="H72" s="81" t="s">
        <v>618</v>
      </c>
      <c r="I72" s="81" t="s">
        <v>168</v>
      </c>
      <c r="J72" s="81" t="s">
        <v>436</v>
      </c>
      <c r="K72" s="110" t="s">
        <v>1026</v>
      </c>
      <c r="L72" s="111" t="s">
        <v>1359</v>
      </c>
    </row>
    <row r="73" spans="2:12" s="112" customFormat="1" x14ac:dyDescent="0.35">
      <c r="B73" s="107" t="s">
        <v>614</v>
      </c>
      <c r="C73" s="81" t="s">
        <v>1403</v>
      </c>
      <c r="D73" s="108" t="s">
        <v>440</v>
      </c>
      <c r="E73" s="81" t="s">
        <v>540</v>
      </c>
      <c r="F73" s="81" t="s">
        <v>560</v>
      </c>
      <c r="G73" s="109" t="s">
        <v>1328</v>
      </c>
      <c r="H73" s="81" t="s">
        <v>618</v>
      </c>
      <c r="I73" s="81" t="s">
        <v>168</v>
      </c>
      <c r="J73" s="81" t="s">
        <v>526</v>
      </c>
      <c r="K73" s="110" t="s">
        <v>58</v>
      </c>
      <c r="L73" s="111" t="s">
        <v>1359</v>
      </c>
    </row>
    <row r="74" spans="2:12" s="112" customFormat="1" x14ac:dyDescent="0.35">
      <c r="B74" s="107" t="s">
        <v>810</v>
      </c>
      <c r="C74" s="81" t="s">
        <v>1277</v>
      </c>
      <c r="D74" s="108" t="s">
        <v>432</v>
      </c>
      <c r="E74" s="81" t="s">
        <v>529</v>
      </c>
      <c r="F74" s="81" t="s">
        <v>1278</v>
      </c>
      <c r="G74" s="109" t="s">
        <v>1273</v>
      </c>
      <c r="H74" s="81" t="s">
        <v>433</v>
      </c>
      <c r="I74" s="81" t="s">
        <v>531</v>
      </c>
      <c r="J74" s="81" t="s">
        <v>436</v>
      </c>
      <c r="K74" s="110" t="s">
        <v>58</v>
      </c>
      <c r="L74" s="111" t="s">
        <v>1359</v>
      </c>
    </row>
    <row r="75" spans="2:12" s="112" customFormat="1" x14ac:dyDescent="0.35">
      <c r="B75" s="107" t="s">
        <v>1081</v>
      </c>
      <c r="C75" s="81" t="s">
        <v>1404</v>
      </c>
      <c r="D75" s="108" t="s">
        <v>820</v>
      </c>
      <c r="E75" s="81" t="s">
        <v>1083</v>
      </c>
      <c r="F75" s="81" t="s">
        <v>1033</v>
      </c>
      <c r="G75" s="109" t="s">
        <v>462</v>
      </c>
      <c r="H75" s="81" t="s">
        <v>488</v>
      </c>
      <c r="I75" s="81" t="s">
        <v>425</v>
      </c>
      <c r="J75" s="81" t="s">
        <v>436</v>
      </c>
      <c r="K75" s="110" t="s">
        <v>1405</v>
      </c>
      <c r="L75" s="111" t="s">
        <v>1359</v>
      </c>
    </row>
    <row r="76" spans="2:12" s="112" customFormat="1" x14ac:dyDescent="0.35">
      <c r="B76" s="107" t="s">
        <v>861</v>
      </c>
      <c r="C76" s="81" t="s">
        <v>1406</v>
      </c>
      <c r="D76" s="108" t="s">
        <v>432</v>
      </c>
      <c r="E76" s="81" t="s">
        <v>863</v>
      </c>
      <c r="F76" s="81" t="s">
        <v>863</v>
      </c>
      <c r="G76" s="109" t="s">
        <v>1328</v>
      </c>
      <c r="H76" s="81" t="s">
        <v>488</v>
      </c>
      <c r="I76" s="81" t="s">
        <v>489</v>
      </c>
      <c r="J76" s="81" t="s">
        <v>436</v>
      </c>
      <c r="K76" s="110" t="s">
        <v>1407</v>
      </c>
      <c r="L76" s="111" t="s">
        <v>1359</v>
      </c>
    </row>
    <row r="77" spans="2:12" s="112" customFormat="1" x14ac:dyDescent="0.35">
      <c r="B77" s="107" t="s">
        <v>905</v>
      </c>
      <c r="C77" s="81" t="s">
        <v>1408</v>
      </c>
      <c r="D77" s="108" t="s">
        <v>907</v>
      </c>
      <c r="E77" s="81" t="s">
        <v>445</v>
      </c>
      <c r="F77" s="81" t="s">
        <v>445</v>
      </c>
      <c r="G77" s="109" t="s">
        <v>462</v>
      </c>
      <c r="H77" s="81" t="s">
        <v>462</v>
      </c>
      <c r="I77" s="81" t="s">
        <v>318</v>
      </c>
      <c r="J77" s="81" t="s">
        <v>526</v>
      </c>
      <c r="K77" s="110" t="s">
        <v>1409</v>
      </c>
      <c r="L77" s="111" t="s">
        <v>1359</v>
      </c>
    </row>
    <row r="78" spans="2:12" s="112" customFormat="1" x14ac:dyDescent="0.35">
      <c r="B78" s="107" t="s">
        <v>495</v>
      </c>
      <c r="C78" s="81" t="s">
        <v>1293</v>
      </c>
      <c r="D78" s="108" t="s">
        <v>483</v>
      </c>
      <c r="E78" s="81" t="s">
        <v>450</v>
      </c>
      <c r="F78" s="81" t="s">
        <v>450</v>
      </c>
      <c r="G78" s="109" t="s">
        <v>1273</v>
      </c>
      <c r="H78" s="81" t="s">
        <v>433</v>
      </c>
      <c r="I78" s="81"/>
      <c r="J78" s="81" t="s">
        <v>436</v>
      </c>
      <c r="K78" s="110" t="s">
        <v>58</v>
      </c>
      <c r="L78" s="111" t="s">
        <v>1359</v>
      </c>
    </row>
    <row r="79" spans="2:12" s="112" customFormat="1" x14ac:dyDescent="0.35">
      <c r="B79" s="107" t="s">
        <v>518</v>
      </c>
      <c r="C79" s="81" t="s">
        <v>1296</v>
      </c>
      <c r="D79" s="108" t="s">
        <v>483</v>
      </c>
      <c r="E79" s="81" t="s">
        <v>450</v>
      </c>
      <c r="F79" s="81" t="s">
        <v>450</v>
      </c>
      <c r="G79" s="109" t="s">
        <v>1273</v>
      </c>
      <c r="H79" s="81" t="s">
        <v>433</v>
      </c>
      <c r="I79" s="81" t="s">
        <v>520</v>
      </c>
      <c r="J79" s="81" t="s">
        <v>436</v>
      </c>
      <c r="K79" s="110" t="s">
        <v>58</v>
      </c>
      <c r="L79" s="111" t="s">
        <v>1359</v>
      </c>
    </row>
    <row r="80" spans="2:12" s="112" customFormat="1" x14ac:dyDescent="0.35">
      <c r="B80" s="107" t="s">
        <v>717</v>
      </c>
      <c r="C80" s="81" t="s">
        <v>1410</v>
      </c>
      <c r="D80" s="108" t="s">
        <v>432</v>
      </c>
      <c r="E80" s="81" t="s">
        <v>540</v>
      </c>
      <c r="F80" s="81" t="s">
        <v>726</v>
      </c>
      <c r="G80" s="109" t="s">
        <v>1328</v>
      </c>
      <c r="H80" s="81" t="s">
        <v>424</v>
      </c>
      <c r="I80" s="81" t="s">
        <v>425</v>
      </c>
      <c r="J80" s="81" t="s">
        <v>526</v>
      </c>
      <c r="K80" s="110" t="s">
        <v>58</v>
      </c>
      <c r="L80" s="111" t="s">
        <v>1359</v>
      </c>
    </row>
    <row r="81" spans="2:12" s="112" customFormat="1" x14ac:dyDescent="0.35">
      <c r="B81" s="107" t="s">
        <v>707</v>
      </c>
      <c r="C81" s="81" t="s">
        <v>1411</v>
      </c>
      <c r="D81" s="108" t="s">
        <v>432</v>
      </c>
      <c r="E81" s="81" t="s">
        <v>540</v>
      </c>
      <c r="F81" s="81" t="s">
        <v>419</v>
      </c>
      <c r="G81" s="109" t="s">
        <v>462</v>
      </c>
      <c r="H81" s="81" t="s">
        <v>585</v>
      </c>
      <c r="I81" s="81" t="s">
        <v>85</v>
      </c>
      <c r="J81" s="81" t="s">
        <v>526</v>
      </c>
      <c r="K81" s="110" t="s">
        <v>58</v>
      </c>
      <c r="L81" s="111" t="s">
        <v>1359</v>
      </c>
    </row>
    <row r="82" spans="2:12" s="112" customFormat="1" x14ac:dyDescent="0.35">
      <c r="B82" s="107" t="s">
        <v>802</v>
      </c>
      <c r="C82" s="81" t="s">
        <v>1412</v>
      </c>
      <c r="D82" s="108" t="s">
        <v>432</v>
      </c>
      <c r="E82" s="81" t="s">
        <v>806</v>
      </c>
      <c r="F82" s="81" t="s">
        <v>807</v>
      </c>
      <c r="G82" s="109" t="s">
        <v>1328</v>
      </c>
      <c r="H82" s="81" t="s">
        <v>479</v>
      </c>
      <c r="I82" s="81" t="s">
        <v>91</v>
      </c>
      <c r="J82" s="81" t="s">
        <v>436</v>
      </c>
      <c r="K82" s="110" t="s">
        <v>58</v>
      </c>
      <c r="L82" s="111" t="s">
        <v>1359</v>
      </c>
    </row>
    <row r="83" spans="2:12" s="112" customFormat="1" x14ac:dyDescent="0.35">
      <c r="B83" s="107" t="s">
        <v>1001</v>
      </c>
      <c r="C83" s="81" t="s">
        <v>1279</v>
      </c>
      <c r="D83" s="108" t="s">
        <v>886</v>
      </c>
      <c r="E83" s="81" t="s">
        <v>1003</v>
      </c>
      <c r="F83" s="81" t="s">
        <v>1003</v>
      </c>
      <c r="G83" s="109" t="s">
        <v>1273</v>
      </c>
      <c r="H83" s="81" t="s">
        <v>433</v>
      </c>
      <c r="I83" s="81" t="s">
        <v>520</v>
      </c>
      <c r="J83" s="81" t="s">
        <v>436</v>
      </c>
      <c r="K83" s="110" t="s">
        <v>1001</v>
      </c>
      <c r="L83" s="111" t="s">
        <v>1359</v>
      </c>
    </row>
    <row r="84" spans="2:12" s="112" customFormat="1" x14ac:dyDescent="0.35">
      <c r="B84" s="107" t="s">
        <v>542</v>
      </c>
      <c r="C84" s="81" t="s">
        <v>1413</v>
      </c>
      <c r="D84" s="108" t="s">
        <v>440</v>
      </c>
      <c r="E84" s="81" t="s">
        <v>540</v>
      </c>
      <c r="F84" s="81" t="s">
        <v>544</v>
      </c>
      <c r="G84" s="109" t="s">
        <v>462</v>
      </c>
      <c r="H84" s="81" t="s">
        <v>514</v>
      </c>
      <c r="I84" s="81" t="s">
        <v>515</v>
      </c>
      <c r="J84" s="81" t="s">
        <v>526</v>
      </c>
      <c r="K84" s="110" t="s">
        <v>58</v>
      </c>
      <c r="L84" s="111" t="s">
        <v>1359</v>
      </c>
    </row>
    <row r="85" spans="2:12" s="112" customFormat="1" x14ac:dyDescent="0.35">
      <c r="B85" s="107" t="s">
        <v>759</v>
      </c>
      <c r="C85" s="81" t="s">
        <v>1330</v>
      </c>
      <c r="D85" s="108" t="s">
        <v>432</v>
      </c>
      <c r="E85" s="81" t="s">
        <v>567</v>
      </c>
      <c r="F85" s="81" t="s">
        <v>567</v>
      </c>
      <c r="G85" s="109" t="s">
        <v>1328</v>
      </c>
      <c r="H85" s="81" t="s">
        <v>488</v>
      </c>
      <c r="I85" s="81" t="s">
        <v>489</v>
      </c>
      <c r="J85" s="81" t="s">
        <v>526</v>
      </c>
      <c r="K85" s="110" t="s">
        <v>1330</v>
      </c>
      <c r="L85" s="111" t="s">
        <v>1359</v>
      </c>
    </row>
    <row r="86" spans="2:12" s="112" customFormat="1" x14ac:dyDescent="0.35">
      <c r="B86" s="107" t="s">
        <v>681</v>
      </c>
      <c r="C86" s="81" t="s">
        <v>1414</v>
      </c>
      <c r="D86" s="108" t="s">
        <v>432</v>
      </c>
      <c r="E86" s="81" t="s">
        <v>540</v>
      </c>
      <c r="F86" s="81" t="s">
        <v>544</v>
      </c>
      <c r="G86" s="109" t="s">
        <v>1328</v>
      </c>
      <c r="H86" s="81" t="s">
        <v>488</v>
      </c>
      <c r="I86" s="81" t="s">
        <v>654</v>
      </c>
      <c r="J86" s="81" t="s">
        <v>436</v>
      </c>
      <c r="K86" s="110" t="s">
        <v>58</v>
      </c>
      <c r="L86" s="111" t="s">
        <v>1359</v>
      </c>
    </row>
    <row r="87" spans="2:12" s="112" customFormat="1" x14ac:dyDescent="0.35">
      <c r="B87" s="107" t="s">
        <v>730</v>
      </c>
      <c r="C87" s="81" t="s">
        <v>1415</v>
      </c>
      <c r="D87" s="108" t="s">
        <v>432</v>
      </c>
      <c r="E87" s="81" t="s">
        <v>540</v>
      </c>
      <c r="F87" s="81" t="s">
        <v>588</v>
      </c>
      <c r="G87" s="109" t="s">
        <v>462</v>
      </c>
      <c r="H87" s="81" t="s">
        <v>488</v>
      </c>
      <c r="I87" s="81" t="s">
        <v>489</v>
      </c>
      <c r="J87" s="81" t="s">
        <v>436</v>
      </c>
      <c r="K87" s="110" t="s">
        <v>58</v>
      </c>
      <c r="L87" s="111" t="s">
        <v>1359</v>
      </c>
    </row>
    <row r="88" spans="2:12" s="112" customFormat="1" x14ac:dyDescent="0.35">
      <c r="B88" s="107" t="s">
        <v>637</v>
      </c>
      <c r="C88" s="81" t="s">
        <v>1271</v>
      </c>
      <c r="D88" s="108" t="s">
        <v>440</v>
      </c>
      <c r="E88" s="81" t="s">
        <v>567</v>
      </c>
      <c r="F88" s="81" t="s">
        <v>567</v>
      </c>
      <c r="G88" s="109" t="s">
        <v>462</v>
      </c>
      <c r="H88" s="81" t="s">
        <v>462</v>
      </c>
      <c r="I88" s="81" t="s">
        <v>308</v>
      </c>
      <c r="J88" s="81" t="s">
        <v>526</v>
      </c>
      <c r="K88" s="110" t="s">
        <v>58</v>
      </c>
      <c r="L88" s="111" t="s">
        <v>1359</v>
      </c>
    </row>
    <row r="89" spans="2:12" s="112" customFormat="1" x14ac:dyDescent="0.35">
      <c r="B89" s="107" t="s">
        <v>779</v>
      </c>
      <c r="C89" s="81" t="s">
        <v>1416</v>
      </c>
      <c r="D89" s="108" t="s">
        <v>432</v>
      </c>
      <c r="E89" s="81" t="s">
        <v>445</v>
      </c>
      <c r="F89" s="81" t="s">
        <v>445</v>
      </c>
      <c r="G89" s="109" t="s">
        <v>1328</v>
      </c>
      <c r="H89" s="81" t="s">
        <v>585</v>
      </c>
      <c r="I89" s="81" t="s">
        <v>170</v>
      </c>
      <c r="J89" s="81" t="s">
        <v>526</v>
      </c>
      <c r="K89" s="110" t="s">
        <v>58</v>
      </c>
      <c r="L89" s="111" t="s">
        <v>1359</v>
      </c>
    </row>
    <row r="90" spans="2:12" s="112" customFormat="1" x14ac:dyDescent="0.35">
      <c r="B90" s="107" t="s">
        <v>798</v>
      </c>
      <c r="C90" s="81" t="s">
        <v>1417</v>
      </c>
      <c r="D90" s="108" t="s">
        <v>432</v>
      </c>
      <c r="E90" s="81" t="s">
        <v>445</v>
      </c>
      <c r="F90" s="81" t="s">
        <v>445</v>
      </c>
      <c r="G90" s="109" t="s">
        <v>462</v>
      </c>
      <c r="H90" s="81" t="s">
        <v>441</v>
      </c>
      <c r="I90" s="81" t="s">
        <v>204</v>
      </c>
      <c r="J90" s="81" t="s">
        <v>436</v>
      </c>
      <c r="K90" s="110" t="s">
        <v>58</v>
      </c>
      <c r="L90" s="111" t="s">
        <v>1359</v>
      </c>
    </row>
    <row r="91" spans="2:12" s="112" customFormat="1" x14ac:dyDescent="0.35">
      <c r="B91" s="107" t="s">
        <v>565</v>
      </c>
      <c r="C91" s="81" t="s">
        <v>1418</v>
      </c>
      <c r="D91" s="108" t="s">
        <v>440</v>
      </c>
      <c r="E91" s="81" t="s">
        <v>540</v>
      </c>
      <c r="F91" s="81" t="s">
        <v>450</v>
      </c>
      <c r="G91" s="109" t="s">
        <v>462</v>
      </c>
      <c r="H91" s="81" t="s">
        <v>462</v>
      </c>
      <c r="I91" s="81" t="s">
        <v>318</v>
      </c>
      <c r="J91" s="81" t="s">
        <v>526</v>
      </c>
      <c r="K91" s="110" t="s">
        <v>58</v>
      </c>
      <c r="L91" s="111" t="s">
        <v>1359</v>
      </c>
    </row>
    <row r="92" spans="2:12" s="112" customFormat="1" x14ac:dyDescent="0.35">
      <c r="B92" s="107" t="s">
        <v>667</v>
      </c>
      <c r="C92" s="81" t="s">
        <v>1319</v>
      </c>
      <c r="D92" s="108" t="s">
        <v>440</v>
      </c>
      <c r="E92" s="81" t="s">
        <v>567</v>
      </c>
      <c r="F92" s="81" t="s">
        <v>567</v>
      </c>
      <c r="G92" s="109" t="s">
        <v>462</v>
      </c>
      <c r="H92" s="81" t="s">
        <v>462</v>
      </c>
      <c r="I92" s="81" t="s">
        <v>318</v>
      </c>
      <c r="J92" s="81" t="s">
        <v>526</v>
      </c>
      <c r="K92" s="110" t="s">
        <v>58</v>
      </c>
      <c r="L92" s="111" t="s">
        <v>1359</v>
      </c>
    </row>
    <row r="93" spans="2:12" s="112" customFormat="1" x14ac:dyDescent="0.35">
      <c r="B93" s="107" t="s">
        <v>663</v>
      </c>
      <c r="C93" s="81" t="s">
        <v>1317</v>
      </c>
      <c r="D93" s="108" t="s">
        <v>440</v>
      </c>
      <c r="E93" s="81" t="s">
        <v>567</v>
      </c>
      <c r="F93" s="81" t="s">
        <v>567</v>
      </c>
      <c r="G93" s="109" t="s">
        <v>462</v>
      </c>
      <c r="H93" s="81" t="s">
        <v>462</v>
      </c>
      <c r="I93" s="81" t="s">
        <v>308</v>
      </c>
      <c r="J93" s="81" t="s">
        <v>526</v>
      </c>
      <c r="K93" s="110" t="s">
        <v>58</v>
      </c>
      <c r="L93" s="111" t="s">
        <v>1359</v>
      </c>
    </row>
    <row r="94" spans="2:12" s="112" customFormat="1" x14ac:dyDescent="0.35">
      <c r="B94" s="107" t="s">
        <v>665</v>
      </c>
      <c r="C94" s="81" t="s">
        <v>1318</v>
      </c>
      <c r="D94" s="108" t="s">
        <v>440</v>
      </c>
      <c r="E94" s="81" t="s">
        <v>567</v>
      </c>
      <c r="F94" s="81" t="s">
        <v>567</v>
      </c>
      <c r="G94" s="109" t="s">
        <v>462</v>
      </c>
      <c r="H94" s="81" t="s">
        <v>462</v>
      </c>
      <c r="I94" s="81" t="s">
        <v>308</v>
      </c>
      <c r="J94" s="81" t="s">
        <v>526</v>
      </c>
      <c r="K94" s="110" t="s">
        <v>58</v>
      </c>
      <c r="L94" s="111" t="s">
        <v>1359</v>
      </c>
    </row>
    <row r="95" spans="2:12" s="112" customFormat="1" x14ac:dyDescent="0.35">
      <c r="B95" s="107" t="s">
        <v>659</v>
      </c>
      <c r="C95" s="81" t="s">
        <v>1276</v>
      </c>
      <c r="D95" s="108" t="s">
        <v>440</v>
      </c>
      <c r="E95" s="81" t="s">
        <v>567</v>
      </c>
      <c r="F95" s="81" t="s">
        <v>567</v>
      </c>
      <c r="G95" s="109" t="s">
        <v>1273</v>
      </c>
      <c r="H95" s="81" t="s">
        <v>468</v>
      </c>
      <c r="I95" s="81" t="s">
        <v>469</v>
      </c>
      <c r="J95" s="81" t="s">
        <v>526</v>
      </c>
      <c r="K95" s="110" t="s">
        <v>58</v>
      </c>
      <c r="L95" s="111" t="s">
        <v>1359</v>
      </c>
    </row>
    <row r="96" spans="2:12" s="112" customFormat="1" x14ac:dyDescent="0.35">
      <c r="B96" s="107" t="s">
        <v>661</v>
      </c>
      <c r="C96" s="81" t="s">
        <v>1419</v>
      </c>
      <c r="D96" s="108" t="s">
        <v>440</v>
      </c>
      <c r="E96" s="81" t="s">
        <v>567</v>
      </c>
      <c r="F96" s="81" t="s">
        <v>567</v>
      </c>
      <c r="G96" s="109" t="s">
        <v>462</v>
      </c>
      <c r="H96" s="81" t="s">
        <v>468</v>
      </c>
      <c r="I96" s="81" t="s">
        <v>469</v>
      </c>
      <c r="J96" s="81" t="s">
        <v>526</v>
      </c>
      <c r="K96" s="110" t="s">
        <v>58</v>
      </c>
      <c r="L96" s="111" t="s">
        <v>1359</v>
      </c>
    </row>
    <row r="97" spans="2:12" s="112" customFormat="1" x14ac:dyDescent="0.35">
      <c r="B97" s="107" t="s">
        <v>669</v>
      </c>
      <c r="C97" s="81" t="s">
        <v>1420</v>
      </c>
      <c r="D97" s="108" t="s">
        <v>440</v>
      </c>
      <c r="E97" s="81" t="s">
        <v>567</v>
      </c>
      <c r="F97" s="81" t="s">
        <v>567</v>
      </c>
      <c r="G97" s="109" t="s">
        <v>462</v>
      </c>
      <c r="H97" s="81" t="s">
        <v>488</v>
      </c>
      <c r="I97" s="81" t="s">
        <v>489</v>
      </c>
      <c r="J97" s="81" t="s">
        <v>526</v>
      </c>
      <c r="K97" s="110" t="s">
        <v>58</v>
      </c>
      <c r="L97" s="111" t="s">
        <v>1359</v>
      </c>
    </row>
    <row r="98" spans="2:12" s="112" customFormat="1" x14ac:dyDescent="0.35">
      <c r="B98" s="107" t="s">
        <v>971</v>
      </c>
      <c r="C98" s="81" t="s">
        <v>1421</v>
      </c>
      <c r="D98" s="108" t="s">
        <v>855</v>
      </c>
      <c r="E98" s="81" t="s">
        <v>973</v>
      </c>
      <c r="F98" s="81" t="s">
        <v>973</v>
      </c>
      <c r="G98" s="109" t="s">
        <v>1328</v>
      </c>
      <c r="H98" s="81" t="s">
        <v>618</v>
      </c>
      <c r="I98" s="81" t="s">
        <v>168</v>
      </c>
      <c r="J98" s="81" t="s">
        <v>526</v>
      </c>
      <c r="K98" s="110" t="s">
        <v>1422</v>
      </c>
      <c r="L98" s="111" t="s">
        <v>1359</v>
      </c>
    </row>
    <row r="99" spans="2:12" s="112" customFormat="1" x14ac:dyDescent="0.35">
      <c r="B99" s="107" t="s">
        <v>547</v>
      </c>
      <c r="C99" s="81" t="s">
        <v>1423</v>
      </c>
      <c r="D99" s="108" t="s">
        <v>440</v>
      </c>
      <c r="E99" s="81" t="s">
        <v>540</v>
      </c>
      <c r="F99" s="81" t="s">
        <v>544</v>
      </c>
      <c r="G99" s="109" t="s">
        <v>462</v>
      </c>
      <c r="H99" s="81" t="s">
        <v>488</v>
      </c>
      <c r="I99" s="81" t="s">
        <v>294</v>
      </c>
      <c r="J99" s="81" t="s">
        <v>436</v>
      </c>
      <c r="K99" s="110" t="s">
        <v>58</v>
      </c>
      <c r="L99" s="111" t="s">
        <v>1359</v>
      </c>
    </row>
    <row r="100" spans="2:12" s="112" customFormat="1" x14ac:dyDescent="0.35">
      <c r="B100" s="107" t="s">
        <v>865</v>
      </c>
      <c r="C100" s="81" t="s">
        <v>1424</v>
      </c>
      <c r="D100" s="108" t="s">
        <v>483</v>
      </c>
      <c r="E100" s="81" t="s">
        <v>867</v>
      </c>
      <c r="F100" s="81" t="s">
        <v>867</v>
      </c>
      <c r="G100" s="109" t="s">
        <v>462</v>
      </c>
      <c r="H100" s="81" t="s">
        <v>462</v>
      </c>
      <c r="I100" s="81" t="s">
        <v>303</v>
      </c>
      <c r="J100" s="81" t="s">
        <v>436</v>
      </c>
      <c r="K100" s="110" t="s">
        <v>1425</v>
      </c>
      <c r="L100" s="111" t="s">
        <v>1359</v>
      </c>
    </row>
    <row r="101" spans="2:12" s="112" customFormat="1" x14ac:dyDescent="0.35">
      <c r="B101" s="107" t="s">
        <v>786</v>
      </c>
      <c r="C101" s="81" t="s">
        <v>1426</v>
      </c>
      <c r="D101" s="108" t="s">
        <v>432</v>
      </c>
      <c r="E101" s="81" t="s">
        <v>540</v>
      </c>
      <c r="F101" s="81" t="s">
        <v>788</v>
      </c>
      <c r="G101" s="109" t="s">
        <v>1328</v>
      </c>
      <c r="H101" s="81" t="s">
        <v>479</v>
      </c>
      <c r="I101" s="81" t="s">
        <v>791</v>
      </c>
      <c r="J101" s="81" t="s">
        <v>436</v>
      </c>
      <c r="K101" s="110" t="s">
        <v>58</v>
      </c>
      <c r="L101" s="111" t="s">
        <v>1359</v>
      </c>
    </row>
    <row r="102" spans="2:12" s="112" customFormat="1" x14ac:dyDescent="0.35">
      <c r="B102" s="107" t="s">
        <v>616</v>
      </c>
      <c r="C102" s="81" t="s">
        <v>1427</v>
      </c>
      <c r="D102" s="108" t="s">
        <v>440</v>
      </c>
      <c r="E102" s="81" t="s">
        <v>540</v>
      </c>
      <c r="F102" s="81" t="s">
        <v>622</v>
      </c>
      <c r="G102" s="109" t="s">
        <v>1328</v>
      </c>
      <c r="H102" s="81" t="s">
        <v>479</v>
      </c>
      <c r="I102" s="81" t="s">
        <v>91</v>
      </c>
      <c r="J102" s="81" t="s">
        <v>526</v>
      </c>
      <c r="K102" s="110" t="s">
        <v>58</v>
      </c>
      <c r="L102" s="111" t="s">
        <v>1359</v>
      </c>
    </row>
    <row r="103" spans="2:12" s="112" customFormat="1" x14ac:dyDescent="0.35">
      <c r="B103" s="107" t="s">
        <v>930</v>
      </c>
      <c r="C103" s="81" t="s">
        <v>1428</v>
      </c>
      <c r="D103" s="108" t="s">
        <v>576</v>
      </c>
      <c r="E103" s="81" t="s">
        <v>932</v>
      </c>
      <c r="F103" s="81" t="s">
        <v>933</v>
      </c>
      <c r="G103" s="109" t="s">
        <v>462</v>
      </c>
      <c r="H103" s="81" t="s">
        <v>618</v>
      </c>
      <c r="I103" s="81" t="s">
        <v>168</v>
      </c>
      <c r="J103" s="81" t="s">
        <v>436</v>
      </c>
      <c r="K103" s="110" t="s">
        <v>58</v>
      </c>
      <c r="L103" s="111" t="s">
        <v>1359</v>
      </c>
    </row>
    <row r="104" spans="2:12" s="112" customFormat="1" x14ac:dyDescent="0.35">
      <c r="B104" s="107" t="s">
        <v>500</v>
      </c>
      <c r="C104" s="81" t="s">
        <v>1429</v>
      </c>
      <c r="D104" s="108" t="s">
        <v>483</v>
      </c>
      <c r="E104" s="81" t="s">
        <v>502</v>
      </c>
      <c r="F104" s="81" t="s">
        <v>502</v>
      </c>
      <c r="G104" s="109" t="s">
        <v>462</v>
      </c>
      <c r="H104" s="81" t="s">
        <v>204</v>
      </c>
      <c r="I104" s="81" t="s">
        <v>204</v>
      </c>
      <c r="J104" s="81" t="s">
        <v>427</v>
      </c>
      <c r="K104" s="110" t="s">
        <v>58</v>
      </c>
      <c r="L104" s="111" t="s">
        <v>1359</v>
      </c>
    </row>
    <row r="105" spans="2:12" s="112" customFormat="1" x14ac:dyDescent="0.35">
      <c r="B105" s="107" t="s">
        <v>713</v>
      </c>
      <c r="C105" s="81" t="s">
        <v>1430</v>
      </c>
      <c r="D105" s="108" t="s">
        <v>432</v>
      </c>
      <c r="E105" s="81" t="s">
        <v>540</v>
      </c>
      <c r="F105" s="81" t="s">
        <v>712</v>
      </c>
      <c r="G105" s="109" t="s">
        <v>1328</v>
      </c>
      <c r="H105" s="81" t="s">
        <v>479</v>
      </c>
      <c r="I105" s="81" t="s">
        <v>592</v>
      </c>
      <c r="J105" s="81" t="s">
        <v>436</v>
      </c>
      <c r="K105" s="110" t="s">
        <v>1431</v>
      </c>
      <c r="L105" s="111" t="s">
        <v>1359</v>
      </c>
    </row>
    <row r="106" spans="2:12" s="112" customFormat="1" x14ac:dyDescent="0.35">
      <c r="B106" s="107" t="s">
        <v>1131</v>
      </c>
      <c r="C106" s="81" t="s">
        <v>1432</v>
      </c>
      <c r="D106" s="108" t="s">
        <v>1102</v>
      </c>
      <c r="E106" s="81" t="s">
        <v>1133</v>
      </c>
      <c r="F106" s="81" t="s">
        <v>1134</v>
      </c>
      <c r="G106" s="109" t="s">
        <v>462</v>
      </c>
      <c r="H106" s="81" t="s">
        <v>462</v>
      </c>
      <c r="I106" s="81" t="s">
        <v>318</v>
      </c>
      <c r="J106" s="81" t="s">
        <v>526</v>
      </c>
      <c r="K106" s="110" t="s">
        <v>58</v>
      </c>
      <c r="L106" s="111" t="s">
        <v>1359</v>
      </c>
    </row>
    <row r="107" spans="2:12" s="112" customFormat="1" x14ac:dyDescent="0.35">
      <c r="B107" s="107" t="s">
        <v>831</v>
      </c>
      <c r="C107" s="81" t="s">
        <v>1433</v>
      </c>
      <c r="D107" s="108" t="s">
        <v>440</v>
      </c>
      <c r="E107" s="81" t="s">
        <v>833</v>
      </c>
      <c r="F107" s="81" t="s">
        <v>833</v>
      </c>
      <c r="G107" s="109" t="s">
        <v>1273</v>
      </c>
      <c r="H107" s="81" t="s">
        <v>462</v>
      </c>
      <c r="I107" s="81" t="s">
        <v>303</v>
      </c>
      <c r="J107" s="81" t="s">
        <v>436</v>
      </c>
      <c r="K107" s="110" t="s">
        <v>1434</v>
      </c>
      <c r="L107" s="111" t="s">
        <v>1359</v>
      </c>
    </row>
    <row r="108" spans="2:12" s="112" customFormat="1" x14ac:dyDescent="0.35">
      <c r="B108" s="107" t="s">
        <v>857</v>
      </c>
      <c r="C108" s="81" t="s">
        <v>1435</v>
      </c>
      <c r="D108" s="108" t="s">
        <v>483</v>
      </c>
      <c r="E108" s="81" t="s">
        <v>859</v>
      </c>
      <c r="F108" s="81" t="s">
        <v>859</v>
      </c>
      <c r="G108" s="109" t="s">
        <v>462</v>
      </c>
      <c r="H108" s="81" t="s">
        <v>462</v>
      </c>
      <c r="I108" s="81" t="s">
        <v>318</v>
      </c>
      <c r="J108" s="81" t="s">
        <v>436</v>
      </c>
      <c r="K108" s="110" t="s">
        <v>1436</v>
      </c>
      <c r="L108" s="111" t="s">
        <v>1359</v>
      </c>
    </row>
    <row r="109" spans="2:12" s="112" customFormat="1" x14ac:dyDescent="0.35">
      <c r="B109" s="107" t="s">
        <v>537</v>
      </c>
      <c r="C109" s="81" t="s">
        <v>1437</v>
      </c>
      <c r="D109" s="108" t="s">
        <v>440</v>
      </c>
      <c r="E109" s="81" t="s">
        <v>540</v>
      </c>
      <c r="F109" s="81" t="s">
        <v>544</v>
      </c>
      <c r="G109" s="109" t="s">
        <v>1328</v>
      </c>
      <c r="H109" s="81" t="s">
        <v>488</v>
      </c>
      <c r="I109" s="81" t="s">
        <v>294</v>
      </c>
      <c r="J109" s="81" t="s">
        <v>436</v>
      </c>
      <c r="K109" s="110" t="s">
        <v>58</v>
      </c>
      <c r="L109" s="111" t="s">
        <v>1359</v>
      </c>
    </row>
    <row r="110" spans="2:12" s="112" customFormat="1" x14ac:dyDescent="0.35">
      <c r="B110" s="107" t="s">
        <v>605</v>
      </c>
      <c r="C110" s="81" t="s">
        <v>1264</v>
      </c>
      <c r="D110" s="108" t="s">
        <v>440</v>
      </c>
      <c r="E110" s="81" t="s">
        <v>540</v>
      </c>
      <c r="F110" s="81" t="s">
        <v>609</v>
      </c>
      <c r="G110" s="109" t="s">
        <v>1273</v>
      </c>
      <c r="H110" s="81" t="s">
        <v>514</v>
      </c>
      <c r="I110" s="81" t="s">
        <v>515</v>
      </c>
      <c r="J110" s="81" t="s">
        <v>436</v>
      </c>
      <c r="K110" s="110" t="s">
        <v>58</v>
      </c>
      <c r="L110" s="111" t="s">
        <v>1359</v>
      </c>
    </row>
    <row r="111" spans="2:12" s="112" customFormat="1" x14ac:dyDescent="0.35">
      <c r="B111" s="107" t="s">
        <v>605</v>
      </c>
      <c r="C111" s="81" t="s">
        <v>1438</v>
      </c>
      <c r="D111" s="108" t="s">
        <v>1102</v>
      </c>
      <c r="E111" s="81" t="s">
        <v>1135</v>
      </c>
      <c r="F111" s="81" t="s">
        <v>1135</v>
      </c>
      <c r="G111" s="109" t="s">
        <v>462</v>
      </c>
      <c r="H111" s="81" t="s">
        <v>433</v>
      </c>
      <c r="I111" s="81" t="s">
        <v>520</v>
      </c>
      <c r="J111" s="81" t="s">
        <v>526</v>
      </c>
      <c r="K111" s="110" t="s">
        <v>58</v>
      </c>
      <c r="L111" s="111" t="s">
        <v>1359</v>
      </c>
    </row>
    <row r="112" spans="2:12" s="112" customFormat="1" x14ac:dyDescent="0.35">
      <c r="B112" s="107" t="s">
        <v>745</v>
      </c>
      <c r="C112" s="81" t="s">
        <v>1439</v>
      </c>
      <c r="D112" s="108" t="s">
        <v>432</v>
      </c>
      <c r="E112" s="81" t="s">
        <v>445</v>
      </c>
      <c r="F112" s="81" t="s">
        <v>445</v>
      </c>
      <c r="G112" s="109" t="s">
        <v>1273</v>
      </c>
      <c r="H112" s="81" t="s">
        <v>433</v>
      </c>
      <c r="I112" s="81" t="s">
        <v>531</v>
      </c>
      <c r="J112" s="81" t="s">
        <v>436</v>
      </c>
      <c r="K112" s="110" t="s">
        <v>1439</v>
      </c>
      <c r="L112" s="111" t="s">
        <v>1359</v>
      </c>
    </row>
    <row r="113" spans="2:12" s="112" customFormat="1" x14ac:dyDescent="0.35">
      <c r="B113" s="107" t="s">
        <v>747</v>
      </c>
      <c r="C113" s="81" t="s">
        <v>1266</v>
      </c>
      <c r="D113" s="108" t="s">
        <v>432</v>
      </c>
      <c r="E113" s="81" t="s">
        <v>591</v>
      </c>
      <c r="F113" s="81" t="s">
        <v>749</v>
      </c>
      <c r="G113" s="109" t="s">
        <v>462</v>
      </c>
      <c r="H113" s="81" t="s">
        <v>462</v>
      </c>
      <c r="I113" s="81" t="s">
        <v>318</v>
      </c>
      <c r="J113" s="81" t="s">
        <v>436</v>
      </c>
      <c r="K113" s="110" t="s">
        <v>1266</v>
      </c>
      <c r="L113" s="111" t="s">
        <v>1359</v>
      </c>
    </row>
    <row r="114" spans="2:12" s="112" customFormat="1" x14ac:dyDescent="0.35">
      <c r="B114" s="107" t="s">
        <v>1171</v>
      </c>
      <c r="C114" s="81" t="s">
        <v>1440</v>
      </c>
      <c r="D114" s="108" t="s">
        <v>1102</v>
      </c>
      <c r="E114" s="81" t="s">
        <v>1135</v>
      </c>
      <c r="F114" s="81" t="s">
        <v>1135</v>
      </c>
      <c r="G114" s="109" t="s">
        <v>462</v>
      </c>
      <c r="H114" s="81" t="s">
        <v>462</v>
      </c>
      <c r="I114" s="81" t="s">
        <v>318</v>
      </c>
      <c r="J114" s="81" t="s">
        <v>526</v>
      </c>
      <c r="K114" s="110" t="s">
        <v>58</v>
      </c>
      <c r="L114" s="111" t="s">
        <v>1359</v>
      </c>
    </row>
    <row r="115" spans="2:12" s="112" customFormat="1" x14ac:dyDescent="0.35">
      <c r="B115" s="107" t="s">
        <v>1173</v>
      </c>
      <c r="C115" s="81" t="s">
        <v>1441</v>
      </c>
      <c r="D115" s="108" t="s">
        <v>1102</v>
      </c>
      <c r="E115" s="81" t="s">
        <v>1135</v>
      </c>
      <c r="F115" s="81" t="s">
        <v>1135</v>
      </c>
      <c r="G115" s="109" t="s">
        <v>1328</v>
      </c>
      <c r="H115" s="81" t="s">
        <v>462</v>
      </c>
      <c r="I115" s="81" t="s">
        <v>318</v>
      </c>
      <c r="J115" s="81" t="s">
        <v>526</v>
      </c>
      <c r="K115" s="110" t="s">
        <v>58</v>
      </c>
      <c r="L115" s="111" t="s">
        <v>1359</v>
      </c>
    </row>
    <row r="116" spans="2:12" s="112" customFormat="1" x14ac:dyDescent="0.35">
      <c r="B116" s="107" t="s">
        <v>850</v>
      </c>
      <c r="C116" s="81" t="s">
        <v>1442</v>
      </c>
      <c r="D116" s="108" t="s">
        <v>844</v>
      </c>
      <c r="E116" s="81" t="s">
        <v>852</v>
      </c>
      <c r="F116" s="81" t="s">
        <v>852</v>
      </c>
      <c r="G116" s="109" t="s">
        <v>1328</v>
      </c>
      <c r="H116" s="81" t="s">
        <v>441</v>
      </c>
      <c r="I116" s="81" t="s">
        <v>204</v>
      </c>
      <c r="J116" s="81" t="s">
        <v>436</v>
      </c>
      <c r="K116" s="110" t="s">
        <v>1443</v>
      </c>
      <c r="L116" s="111" t="s">
        <v>1359</v>
      </c>
    </row>
    <row r="117" spans="2:12" s="112" customFormat="1" x14ac:dyDescent="0.35">
      <c r="B117" s="107" t="s">
        <v>838</v>
      </c>
      <c r="C117" s="81" t="s">
        <v>1444</v>
      </c>
      <c r="D117" s="108" t="s">
        <v>576</v>
      </c>
      <c r="E117" s="81" t="s">
        <v>825</v>
      </c>
      <c r="F117" s="81" t="s">
        <v>825</v>
      </c>
      <c r="G117" s="109" t="s">
        <v>1328</v>
      </c>
      <c r="H117" s="81" t="s">
        <v>441</v>
      </c>
      <c r="I117" s="81" t="s">
        <v>204</v>
      </c>
      <c r="J117" s="81" t="s">
        <v>436</v>
      </c>
      <c r="K117" s="110" t="s">
        <v>1445</v>
      </c>
      <c r="L117" s="111" t="s">
        <v>1359</v>
      </c>
    </row>
    <row r="118" spans="2:12" s="112" customFormat="1" x14ac:dyDescent="0.35">
      <c r="B118" s="107" t="s">
        <v>687</v>
      </c>
      <c r="C118" s="81" t="s">
        <v>1446</v>
      </c>
      <c r="D118" s="108" t="s">
        <v>432</v>
      </c>
      <c r="E118" s="81" t="s">
        <v>540</v>
      </c>
      <c r="F118" s="81" t="s">
        <v>544</v>
      </c>
      <c r="G118" s="109" t="s">
        <v>1328</v>
      </c>
      <c r="H118" s="81" t="s">
        <v>441</v>
      </c>
      <c r="I118" s="81" t="s">
        <v>204</v>
      </c>
      <c r="J118" s="81" t="s">
        <v>436</v>
      </c>
      <c r="K118" s="110" t="s">
        <v>58</v>
      </c>
      <c r="L118" s="111" t="s">
        <v>1359</v>
      </c>
    </row>
    <row r="119" spans="2:12" s="112" customFormat="1" x14ac:dyDescent="0.35">
      <c r="B119" s="107" t="s">
        <v>993</v>
      </c>
      <c r="C119" s="81" t="s">
        <v>1447</v>
      </c>
      <c r="D119" s="108" t="s">
        <v>820</v>
      </c>
      <c r="E119" s="81" t="s">
        <v>995</v>
      </c>
      <c r="F119" s="81" t="s">
        <v>898</v>
      </c>
      <c r="G119" s="109" t="s">
        <v>1328</v>
      </c>
      <c r="H119" s="81" t="s">
        <v>488</v>
      </c>
      <c r="I119" s="81" t="s">
        <v>294</v>
      </c>
      <c r="J119" s="81" t="s">
        <v>436</v>
      </c>
      <c r="K119" s="110" t="s">
        <v>58</v>
      </c>
      <c r="L119" s="111" t="s">
        <v>1359</v>
      </c>
    </row>
    <row r="120" spans="2:12" s="112" customFormat="1" x14ac:dyDescent="0.35">
      <c r="B120" s="107" t="s">
        <v>777</v>
      </c>
      <c r="C120" s="81" t="s">
        <v>1345</v>
      </c>
      <c r="D120" s="108" t="s">
        <v>432</v>
      </c>
      <c r="E120" s="81" t="s">
        <v>567</v>
      </c>
      <c r="F120" s="81" t="s">
        <v>567</v>
      </c>
      <c r="G120" s="109" t="s">
        <v>1328</v>
      </c>
      <c r="H120" s="81" t="s">
        <v>488</v>
      </c>
      <c r="I120" s="81" t="s">
        <v>425</v>
      </c>
      <c r="J120" s="81" t="s">
        <v>526</v>
      </c>
      <c r="K120" s="110" t="s">
        <v>58</v>
      </c>
      <c r="L120" s="111" t="s">
        <v>1359</v>
      </c>
    </row>
    <row r="121" spans="2:12" s="112" customFormat="1" x14ac:dyDescent="0.35">
      <c r="B121" s="107" t="s">
        <v>773</v>
      </c>
      <c r="C121" s="81" t="s">
        <v>1324</v>
      </c>
      <c r="D121" s="108" t="s">
        <v>432</v>
      </c>
      <c r="E121" s="81" t="s">
        <v>567</v>
      </c>
      <c r="F121" s="81" t="s">
        <v>567</v>
      </c>
      <c r="G121" s="109" t="s">
        <v>462</v>
      </c>
      <c r="H121" s="81" t="s">
        <v>462</v>
      </c>
      <c r="I121" s="81" t="s">
        <v>308</v>
      </c>
      <c r="J121" s="81" t="s">
        <v>436</v>
      </c>
      <c r="K121" s="110" t="s">
        <v>58</v>
      </c>
      <c r="L121" s="111" t="s">
        <v>1359</v>
      </c>
    </row>
    <row r="122" spans="2:12" s="112" customFormat="1" x14ac:dyDescent="0.35">
      <c r="B122" s="107" t="s">
        <v>827</v>
      </c>
      <c r="C122" s="81" t="s">
        <v>1448</v>
      </c>
      <c r="D122" s="108" t="s">
        <v>483</v>
      </c>
      <c r="E122" s="81" t="s">
        <v>829</v>
      </c>
      <c r="F122" s="81" t="s">
        <v>830</v>
      </c>
      <c r="G122" s="109" t="s">
        <v>462</v>
      </c>
      <c r="H122" s="81" t="s">
        <v>462</v>
      </c>
      <c r="I122" s="81" t="s">
        <v>303</v>
      </c>
      <c r="J122" s="81" t="s">
        <v>436</v>
      </c>
      <c r="K122" s="110" t="s">
        <v>1449</v>
      </c>
      <c r="L122" s="111" t="s">
        <v>1359</v>
      </c>
    </row>
    <row r="123" spans="2:12" s="112" customFormat="1" x14ac:dyDescent="0.35">
      <c r="B123" s="107" t="s">
        <v>846</v>
      </c>
      <c r="C123" s="81" t="s">
        <v>1450</v>
      </c>
      <c r="D123" s="108" t="s">
        <v>483</v>
      </c>
      <c r="E123" s="81" t="s">
        <v>848</v>
      </c>
      <c r="F123" s="81" t="s">
        <v>848</v>
      </c>
      <c r="G123" s="109" t="s">
        <v>1328</v>
      </c>
      <c r="H123" s="81" t="s">
        <v>479</v>
      </c>
      <c r="I123" s="81" t="s">
        <v>592</v>
      </c>
      <c r="J123" s="81" t="s">
        <v>436</v>
      </c>
      <c r="K123" s="110" t="s">
        <v>864</v>
      </c>
      <c r="L123" s="111" t="s">
        <v>1359</v>
      </c>
    </row>
    <row r="124" spans="2:12" s="112" customFormat="1" x14ac:dyDescent="0.35">
      <c r="B124" s="107" t="s">
        <v>651</v>
      </c>
      <c r="C124" s="81" t="s">
        <v>1331</v>
      </c>
      <c r="D124" s="108" t="s">
        <v>440</v>
      </c>
      <c r="E124" s="81" t="s">
        <v>445</v>
      </c>
      <c r="F124" s="81" t="s">
        <v>445</v>
      </c>
      <c r="G124" s="109" t="s">
        <v>1328</v>
      </c>
      <c r="H124" s="81" t="s">
        <v>488</v>
      </c>
      <c r="I124" s="81" t="s">
        <v>489</v>
      </c>
      <c r="J124" s="81" t="s">
        <v>526</v>
      </c>
      <c r="K124" s="110" t="s">
        <v>58</v>
      </c>
      <c r="L124" s="111" t="s">
        <v>1359</v>
      </c>
    </row>
    <row r="125" spans="2:12" s="112" customFormat="1" x14ac:dyDescent="0.35">
      <c r="B125" s="107" t="s">
        <v>808</v>
      </c>
      <c r="C125" s="81" t="s">
        <v>1326</v>
      </c>
      <c r="D125" s="108" t="s">
        <v>432</v>
      </c>
      <c r="E125" s="81" t="s">
        <v>540</v>
      </c>
      <c r="F125" s="81" t="s">
        <v>560</v>
      </c>
      <c r="G125" s="109" t="s">
        <v>462</v>
      </c>
      <c r="H125" s="81" t="s">
        <v>441</v>
      </c>
      <c r="I125" s="81" t="s">
        <v>204</v>
      </c>
      <c r="J125" s="81" t="s">
        <v>526</v>
      </c>
      <c r="K125" s="110" t="s">
        <v>58</v>
      </c>
      <c r="L125" s="111" t="s">
        <v>1359</v>
      </c>
    </row>
    <row r="126" spans="2:12" s="112" customFormat="1" x14ac:dyDescent="0.35">
      <c r="B126" s="107" t="s">
        <v>685</v>
      </c>
      <c r="C126" s="81" t="s">
        <v>1451</v>
      </c>
      <c r="D126" s="108" t="s">
        <v>432</v>
      </c>
      <c r="E126" s="81" t="s">
        <v>540</v>
      </c>
      <c r="F126" s="81" t="s">
        <v>544</v>
      </c>
      <c r="G126" s="109" t="s">
        <v>462</v>
      </c>
      <c r="H126" s="81" t="s">
        <v>441</v>
      </c>
      <c r="I126" s="81" t="s">
        <v>204</v>
      </c>
      <c r="J126" s="81" t="s">
        <v>436</v>
      </c>
      <c r="K126" s="110" t="s">
        <v>58</v>
      </c>
      <c r="L126" s="111" t="s">
        <v>1359</v>
      </c>
    </row>
    <row r="127" spans="2:12" s="112" customFormat="1" x14ac:dyDescent="0.35">
      <c r="B127" s="107" t="s">
        <v>485</v>
      </c>
      <c r="C127" s="81" t="s">
        <v>1452</v>
      </c>
      <c r="D127" s="108" t="s">
        <v>432</v>
      </c>
      <c r="E127" s="81" t="s">
        <v>450</v>
      </c>
      <c r="F127" s="81" t="s">
        <v>450</v>
      </c>
      <c r="G127" s="109" t="s">
        <v>1273</v>
      </c>
      <c r="H127" s="81" t="s">
        <v>514</v>
      </c>
      <c r="I127" s="81" t="s">
        <v>515</v>
      </c>
      <c r="J127" s="81" t="s">
        <v>436</v>
      </c>
      <c r="K127" s="110" t="s">
        <v>58</v>
      </c>
      <c r="L127" s="111" t="s">
        <v>1359</v>
      </c>
    </row>
    <row r="128" spans="2:12" s="112" customFormat="1" x14ac:dyDescent="0.35">
      <c r="B128" s="107" t="s">
        <v>1071</v>
      </c>
      <c r="C128" s="81" t="s">
        <v>1453</v>
      </c>
      <c r="D128" s="108" t="s">
        <v>820</v>
      </c>
      <c r="E128" s="81" t="s">
        <v>1073</v>
      </c>
      <c r="F128" s="81" t="s">
        <v>1073</v>
      </c>
      <c r="G128" s="109" t="s">
        <v>1328</v>
      </c>
      <c r="H128" s="81" t="s">
        <v>488</v>
      </c>
      <c r="I128" s="81" t="s">
        <v>489</v>
      </c>
      <c r="J128" s="81" t="s">
        <v>526</v>
      </c>
      <c r="K128" s="110" t="s">
        <v>58</v>
      </c>
      <c r="L128" s="111" t="s">
        <v>1359</v>
      </c>
    </row>
    <row r="129" spans="2:12" s="112" customFormat="1" x14ac:dyDescent="0.35">
      <c r="B129" s="107" t="s">
        <v>1074</v>
      </c>
      <c r="C129" s="81" t="s">
        <v>1453</v>
      </c>
      <c r="D129" s="108" t="s">
        <v>820</v>
      </c>
      <c r="E129" s="81" t="s">
        <v>1076</v>
      </c>
      <c r="F129" s="81" t="s">
        <v>1076</v>
      </c>
      <c r="G129" s="109" t="s">
        <v>1328</v>
      </c>
      <c r="H129" s="81" t="s">
        <v>488</v>
      </c>
      <c r="I129" s="81" t="s">
        <v>489</v>
      </c>
      <c r="J129" s="81" t="s">
        <v>526</v>
      </c>
      <c r="K129" s="110" t="s">
        <v>58</v>
      </c>
      <c r="L129" s="111" t="s">
        <v>1359</v>
      </c>
    </row>
    <row r="130" spans="2:12" s="112" customFormat="1" x14ac:dyDescent="0.35">
      <c r="B130" s="107" t="s">
        <v>737</v>
      </c>
      <c r="C130" s="81" t="s">
        <v>1454</v>
      </c>
      <c r="D130" s="108" t="s">
        <v>432</v>
      </c>
      <c r="E130" s="81" t="s">
        <v>540</v>
      </c>
      <c r="F130" s="81" t="s">
        <v>455</v>
      </c>
      <c r="G130" s="109" t="s">
        <v>1328</v>
      </c>
      <c r="H130" s="81" t="s">
        <v>488</v>
      </c>
      <c r="I130" s="81" t="s">
        <v>489</v>
      </c>
      <c r="J130" s="81" t="s">
        <v>436</v>
      </c>
      <c r="K130" s="110" t="s">
        <v>1454</v>
      </c>
      <c r="L130" s="111" t="s">
        <v>1359</v>
      </c>
    </row>
    <row r="131" spans="2:12" s="112" customFormat="1" x14ac:dyDescent="0.35">
      <c r="B131" s="107" t="s">
        <v>453</v>
      </c>
      <c r="C131" s="81" t="s">
        <v>1455</v>
      </c>
      <c r="D131" s="108" t="s">
        <v>432</v>
      </c>
      <c r="E131" s="81" t="s">
        <v>455</v>
      </c>
      <c r="F131" s="81" t="s">
        <v>450</v>
      </c>
      <c r="G131" s="109" t="s">
        <v>1328</v>
      </c>
      <c r="H131" s="81" t="s">
        <v>456</v>
      </c>
      <c r="I131" s="81" t="s">
        <v>457</v>
      </c>
      <c r="J131" s="81" t="s">
        <v>436</v>
      </c>
      <c r="K131" s="110" t="s">
        <v>1456</v>
      </c>
      <c r="L131" s="111" t="s">
        <v>1359</v>
      </c>
    </row>
    <row r="132" spans="2:12" s="112" customFormat="1" x14ac:dyDescent="0.35">
      <c r="B132" s="107" t="s">
        <v>556</v>
      </c>
      <c r="C132" s="81" t="s">
        <v>1457</v>
      </c>
      <c r="D132" s="108" t="s">
        <v>440</v>
      </c>
      <c r="E132" s="81" t="s">
        <v>567</v>
      </c>
      <c r="F132" s="81" t="s">
        <v>450</v>
      </c>
      <c r="G132" s="109" t="s">
        <v>1328</v>
      </c>
      <c r="H132" s="81" t="s">
        <v>488</v>
      </c>
      <c r="I132" s="81" t="s">
        <v>294</v>
      </c>
      <c r="J132" s="81" t="s">
        <v>436</v>
      </c>
      <c r="K132" s="110" t="s">
        <v>58</v>
      </c>
      <c r="L132" s="111" t="s">
        <v>1359</v>
      </c>
    </row>
    <row r="133" spans="2:12" s="112" customFormat="1" x14ac:dyDescent="0.35">
      <c r="B133" s="107" t="s">
        <v>804</v>
      </c>
      <c r="C133" s="81" t="s">
        <v>1458</v>
      </c>
      <c r="D133" s="108" t="s">
        <v>432</v>
      </c>
      <c r="E133" s="81" t="s">
        <v>540</v>
      </c>
      <c r="F133" s="81" t="s">
        <v>807</v>
      </c>
      <c r="G133" s="109" t="s">
        <v>1328</v>
      </c>
      <c r="H133" s="81" t="s">
        <v>479</v>
      </c>
      <c r="I133" s="81" t="s">
        <v>91</v>
      </c>
      <c r="J133" s="81" t="s">
        <v>436</v>
      </c>
      <c r="K133" s="110" t="s">
        <v>58</v>
      </c>
      <c r="L133" s="111" t="s">
        <v>1359</v>
      </c>
    </row>
    <row r="134" spans="2:12" s="112" customFormat="1" x14ac:dyDescent="0.35">
      <c r="B134" s="107" t="s">
        <v>633</v>
      </c>
      <c r="C134" s="81" t="s">
        <v>1459</v>
      </c>
      <c r="D134" s="108" t="s">
        <v>440</v>
      </c>
      <c r="E134" s="81" t="s">
        <v>540</v>
      </c>
      <c r="F134" s="81" t="s">
        <v>560</v>
      </c>
      <c r="G134" s="109" t="s">
        <v>462</v>
      </c>
      <c r="H134" s="81" t="s">
        <v>462</v>
      </c>
      <c r="I134" s="81" t="s">
        <v>318</v>
      </c>
      <c r="J134" s="81" t="s">
        <v>526</v>
      </c>
      <c r="K134" s="110" t="s">
        <v>58</v>
      </c>
      <c r="L134" s="111" t="s">
        <v>1359</v>
      </c>
    </row>
    <row r="135" spans="2:12" s="112" customFormat="1" x14ac:dyDescent="0.35">
      <c r="B135" s="107" t="s">
        <v>683</v>
      </c>
      <c r="C135" s="81" t="s">
        <v>1460</v>
      </c>
      <c r="D135" s="108" t="s">
        <v>432</v>
      </c>
      <c r="E135" s="81" t="s">
        <v>540</v>
      </c>
      <c r="F135" s="81" t="s">
        <v>544</v>
      </c>
      <c r="G135" s="109" t="s">
        <v>462</v>
      </c>
      <c r="H135" s="81" t="s">
        <v>488</v>
      </c>
      <c r="I135" s="81" t="s">
        <v>425</v>
      </c>
      <c r="J135" s="81" t="s">
        <v>436</v>
      </c>
      <c r="K135" s="110" t="s">
        <v>58</v>
      </c>
      <c r="L135" s="111" t="s">
        <v>1359</v>
      </c>
    </row>
    <row r="136" spans="2:12" s="112" customFormat="1" x14ac:dyDescent="0.35">
      <c r="B136" s="107" t="s">
        <v>1138</v>
      </c>
      <c r="C136" s="81" t="s">
        <v>1461</v>
      </c>
      <c r="D136" s="108" t="s">
        <v>576</v>
      </c>
      <c r="E136" s="81" t="s">
        <v>981</v>
      </c>
      <c r="F136" s="81" t="s">
        <v>1140</v>
      </c>
      <c r="G136" s="109" t="s">
        <v>1273</v>
      </c>
      <c r="H136" s="81" t="s">
        <v>514</v>
      </c>
      <c r="I136" s="81" t="s">
        <v>515</v>
      </c>
      <c r="J136" s="81" t="s">
        <v>436</v>
      </c>
      <c r="K136" s="110" t="s">
        <v>58</v>
      </c>
      <c r="L136" s="111" t="s">
        <v>1359</v>
      </c>
    </row>
    <row r="137" spans="2:12" s="112" customFormat="1" x14ac:dyDescent="0.35">
      <c r="B137" s="107" t="s">
        <v>926</v>
      </c>
      <c r="C137" s="81" t="s">
        <v>1462</v>
      </c>
      <c r="D137" s="108" t="s">
        <v>844</v>
      </c>
      <c r="E137" s="81" t="s">
        <v>928</v>
      </c>
      <c r="F137" s="81" t="s">
        <v>928</v>
      </c>
      <c r="G137" s="109" t="s">
        <v>1328</v>
      </c>
      <c r="H137" s="81" t="s">
        <v>488</v>
      </c>
      <c r="I137" s="81" t="s">
        <v>294</v>
      </c>
      <c r="J137" s="81" t="s">
        <v>436</v>
      </c>
      <c r="K137" s="110" t="s">
        <v>58</v>
      </c>
      <c r="L137" s="111" t="s">
        <v>1359</v>
      </c>
    </row>
    <row r="138" spans="2:12" s="112" customFormat="1" x14ac:dyDescent="0.35">
      <c r="B138" s="113"/>
      <c r="C138" s="113"/>
      <c r="D138" s="114"/>
      <c r="E138" s="113"/>
      <c r="F138" s="113"/>
      <c r="G138" s="115"/>
      <c r="H138" s="113"/>
      <c r="I138" s="113"/>
      <c r="J138" s="113"/>
      <c r="K138" s="113"/>
    </row>
    <row r="139" spans="2:12" x14ac:dyDescent="0.35">
      <c r="B139" s="87" t="s">
        <v>19</v>
      </c>
    </row>
    <row r="140" spans="2:12" ht="14" customHeight="1" x14ac:dyDescent="0.35">
      <c r="B140" s="18" t="s">
        <v>46</v>
      </c>
    </row>
    <row r="141" spans="2:12" ht="14" customHeight="1" x14ac:dyDescent="0.35">
      <c r="B141" s="18" t="s">
        <v>30</v>
      </c>
    </row>
    <row r="142" spans="2:12" ht="14" customHeight="1" x14ac:dyDescent="0.35">
      <c r="B142" s="18" t="s">
        <v>22</v>
      </c>
    </row>
    <row r="143" spans="2:12" ht="14" customHeight="1" x14ac:dyDescent="0.35">
      <c r="B143" s="18" t="s">
        <v>23</v>
      </c>
    </row>
    <row r="144" spans="2:12" ht="14" customHeight="1" x14ac:dyDescent="0.35">
      <c r="B144" s="18" t="s">
        <v>47</v>
      </c>
    </row>
    <row r="145" spans="2:3" ht="14" customHeight="1" x14ac:dyDescent="0.35">
      <c r="B145" s="18" t="s">
        <v>31</v>
      </c>
    </row>
    <row r="146" spans="2:3" ht="14" customHeight="1" x14ac:dyDescent="0.35">
      <c r="B146" s="116"/>
      <c r="C146" s="117"/>
    </row>
    <row r="147" spans="2:3" x14ac:dyDescent="0.35">
      <c r="B147" s="78" t="s">
        <v>26</v>
      </c>
      <c r="C147" s="78"/>
    </row>
    <row r="148" spans="2:3" ht="14" customHeight="1" x14ac:dyDescent="0.35">
      <c r="B148" s="18" t="s">
        <v>27</v>
      </c>
    </row>
    <row r="149" spans="2:3" ht="14" customHeight="1" x14ac:dyDescent="0.35"/>
    <row r="150" spans="2:3" x14ac:dyDescent="0.35"/>
    <row r="151" spans="2:3" x14ac:dyDescent="0.35"/>
    <row r="152" spans="2:3" x14ac:dyDescent="0.35"/>
    <row r="153" spans="2:3" x14ac:dyDescent="0.35"/>
    <row r="154" spans="2:3" x14ac:dyDescent="0.35"/>
    <row r="155" spans="2:3" x14ac:dyDescent="0.35"/>
    <row r="156" spans="2:3" x14ac:dyDescent="0.35"/>
  </sheetData>
  <hyperlinks>
    <hyperlink ref="B4" location="'Index sheet'!A1" display="Back to index" xr:uid="{00000000-0004-0000-0600-000000000000}"/>
  </hyperlinks>
  <pageMargins left="0.7" right="0.7" top="0.75" bottom="0.75" header="0.3" footer="0.3"/>
  <ignoredErrors>
    <ignoredError sqref="B139:L156 B1:L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K29"/>
  <sheetViews>
    <sheetView showGridLines="0" zoomScale="70" zoomScaleNormal="70" workbookViewId="0">
      <selection activeCell="A7" sqref="A7:XFD8"/>
    </sheetView>
  </sheetViews>
  <sheetFormatPr baseColWidth="10" defaultColWidth="8.54296875" defaultRowHeight="11.5" customHeight="1" x14ac:dyDescent="0.35"/>
  <cols>
    <col min="1" max="1" width="3.1796875" style="18" customWidth="1"/>
    <col min="2" max="10" width="13.453125" style="18" customWidth="1"/>
    <col min="11" max="11" width="20.453125" style="18" customWidth="1"/>
    <col min="12" max="12" width="8.54296875" style="18" customWidth="1"/>
    <col min="13" max="16384" width="8.54296875" style="18"/>
  </cols>
  <sheetData>
    <row r="1" spans="2:11" s="91" customFormat="1" ht="15.5" customHeight="1" x14ac:dyDescent="0.35">
      <c r="B1" s="89" t="s">
        <v>48</v>
      </c>
      <c r="C1" s="89"/>
      <c r="D1" s="89"/>
      <c r="E1" s="89"/>
      <c r="F1" s="89"/>
      <c r="G1" s="89"/>
      <c r="H1" s="89"/>
      <c r="I1" s="89"/>
      <c r="J1" s="89"/>
      <c r="K1" s="89"/>
    </row>
    <row r="2" spans="2:11" s="91" customFormat="1" ht="18.5" customHeight="1" x14ac:dyDescent="0.35">
      <c r="B2" s="89" t="s">
        <v>49</v>
      </c>
      <c r="C2" s="89"/>
      <c r="D2" s="89"/>
      <c r="E2" s="89"/>
      <c r="F2" s="89"/>
      <c r="G2" s="89"/>
      <c r="H2" s="89"/>
      <c r="I2" s="89"/>
      <c r="J2" s="89"/>
      <c r="K2" s="89"/>
    </row>
    <row r="3" spans="2:11" ht="15.75" customHeight="1" x14ac:dyDescent="0.35">
      <c r="B3" s="118" t="s">
        <v>15</v>
      </c>
      <c r="C3" s="74">
        <v>0.93</v>
      </c>
    </row>
    <row r="4" spans="2:11" ht="15.75" customHeight="1" x14ac:dyDescent="0.35">
      <c r="B4" s="119"/>
      <c r="C4" s="119"/>
    </row>
    <row r="5" spans="2:11" x14ac:dyDescent="0.35">
      <c r="B5" s="85" t="s">
        <v>16</v>
      </c>
      <c r="C5" s="85"/>
      <c r="D5" s="77"/>
      <c r="E5" s="85"/>
      <c r="F5" s="85"/>
      <c r="G5" s="85"/>
      <c r="H5" s="120"/>
      <c r="I5" s="85"/>
      <c r="J5" s="85"/>
      <c r="K5" s="85"/>
    </row>
    <row r="7" spans="2:11" s="78" customFormat="1" ht="51.75" customHeight="1" x14ac:dyDescent="0.35">
      <c r="B7" s="67" t="s">
        <v>45</v>
      </c>
      <c r="C7" s="67" t="s">
        <v>1597</v>
      </c>
      <c r="D7" s="67" t="s">
        <v>1574</v>
      </c>
      <c r="E7" s="67" t="s">
        <v>1583</v>
      </c>
      <c r="F7" s="67" t="s">
        <v>1582</v>
      </c>
      <c r="G7" s="123" t="s">
        <v>1598</v>
      </c>
      <c r="H7" s="123"/>
      <c r="I7" s="67" t="s">
        <v>1589</v>
      </c>
      <c r="J7" s="67" t="s">
        <v>1580</v>
      </c>
      <c r="K7" s="67" t="s">
        <v>50</v>
      </c>
    </row>
    <row r="8" spans="2:11" s="78" customFormat="1" ht="23" customHeight="1" x14ac:dyDescent="0.35">
      <c r="B8" s="124"/>
      <c r="C8" s="124"/>
      <c r="D8" s="124"/>
      <c r="E8" s="124"/>
      <c r="F8" s="124"/>
      <c r="G8" s="97" t="s">
        <v>17</v>
      </c>
      <c r="H8" s="125" t="s">
        <v>18</v>
      </c>
      <c r="I8" s="126"/>
      <c r="J8" s="127"/>
      <c r="K8" s="128"/>
    </row>
    <row r="9" spans="2:11" s="112" customFormat="1" ht="11.5" customHeight="1" x14ac:dyDescent="0.35">
      <c r="B9" s="10" t="s">
        <v>1463</v>
      </c>
      <c r="C9" s="10" t="s">
        <v>1464</v>
      </c>
      <c r="D9" s="10" t="s">
        <v>1465</v>
      </c>
      <c r="E9" s="10" t="s">
        <v>1466</v>
      </c>
      <c r="F9" s="10" t="s">
        <v>418</v>
      </c>
      <c r="G9" s="11">
        <v>2000000</v>
      </c>
      <c r="H9" s="11">
        <v>2000000</v>
      </c>
      <c r="I9" s="10" t="s">
        <v>1467</v>
      </c>
      <c r="J9" s="12" t="s">
        <v>1468</v>
      </c>
      <c r="K9" s="16" t="s">
        <v>70</v>
      </c>
    </row>
    <row r="10" spans="2:11" ht="11.5" customHeight="1" x14ac:dyDescent="0.35">
      <c r="B10" s="13" t="s">
        <v>1469</v>
      </c>
      <c r="C10" s="13" t="s">
        <v>1470</v>
      </c>
      <c r="D10" s="13" t="s">
        <v>1471</v>
      </c>
      <c r="E10" s="13" t="s">
        <v>1466</v>
      </c>
      <c r="F10" s="10" t="s">
        <v>418</v>
      </c>
      <c r="G10" s="14">
        <v>1233000</v>
      </c>
      <c r="H10" s="14">
        <v>1233000</v>
      </c>
      <c r="I10" s="13" t="s">
        <v>1467</v>
      </c>
      <c r="J10" s="15" t="s">
        <v>1472</v>
      </c>
      <c r="K10" s="16" t="s">
        <v>70</v>
      </c>
    </row>
    <row r="11" spans="2:11" s="112" customFormat="1" ht="11.5" customHeight="1" x14ac:dyDescent="0.35">
      <c r="B11" s="10" t="s">
        <v>1538</v>
      </c>
      <c r="C11" s="13" t="s">
        <v>1470</v>
      </c>
      <c r="D11" s="10" t="s">
        <v>1473</v>
      </c>
      <c r="E11" s="13" t="s">
        <v>1466</v>
      </c>
      <c r="F11" s="10" t="s">
        <v>418</v>
      </c>
      <c r="G11" s="17">
        <v>1233000</v>
      </c>
      <c r="H11" s="17">
        <v>1233000</v>
      </c>
      <c r="I11" s="10" t="s">
        <v>1467</v>
      </c>
      <c r="J11" s="12" t="s">
        <v>1474</v>
      </c>
      <c r="K11" s="16" t="s">
        <v>70</v>
      </c>
    </row>
    <row r="12" spans="2:11" s="112" customFormat="1" ht="11.5" customHeight="1" x14ac:dyDescent="0.35">
      <c r="B12" s="10" t="s">
        <v>1539</v>
      </c>
      <c r="C12" s="13" t="s">
        <v>1470</v>
      </c>
      <c r="D12" s="10" t="s">
        <v>1475</v>
      </c>
      <c r="E12" s="13" t="s">
        <v>1466</v>
      </c>
      <c r="F12" s="10" t="s">
        <v>418</v>
      </c>
      <c r="G12" s="17">
        <v>1233001</v>
      </c>
      <c r="H12" s="17">
        <v>1233001</v>
      </c>
      <c r="I12" s="10" t="s">
        <v>1467</v>
      </c>
      <c r="J12" s="12" t="s">
        <v>1474</v>
      </c>
      <c r="K12" s="16" t="s">
        <v>70</v>
      </c>
    </row>
    <row r="13" spans="2:11" s="112" customFormat="1" x14ac:dyDescent="0.35">
      <c r="B13" s="18"/>
      <c r="C13" s="18"/>
      <c r="D13" s="18"/>
      <c r="E13" s="18"/>
      <c r="F13" s="18"/>
      <c r="G13" s="19" t="s">
        <v>415</v>
      </c>
      <c r="H13" s="20">
        <v>5699000</v>
      </c>
      <c r="I13" s="18"/>
      <c r="J13" s="18"/>
      <c r="K13" s="18"/>
    </row>
    <row r="14" spans="2:11" s="112" customFormat="1" ht="12" x14ac:dyDescent="0.35">
      <c r="B14" s="18"/>
      <c r="C14" s="18"/>
      <c r="D14" s="18"/>
      <c r="E14" s="18"/>
      <c r="F14" s="18"/>
      <c r="G14" s="121"/>
      <c r="H14" s="122"/>
      <c r="I14" s="18"/>
      <c r="J14" s="18"/>
      <c r="K14" s="18"/>
    </row>
    <row r="15" spans="2:11" x14ac:dyDescent="0.35">
      <c r="B15" s="87" t="s">
        <v>19</v>
      </c>
    </row>
    <row r="16" spans="2:11" ht="14" customHeight="1" x14ac:dyDescent="0.35">
      <c r="B16" s="18" t="s">
        <v>51</v>
      </c>
    </row>
    <row r="17" spans="2:6" ht="14" customHeight="1" x14ac:dyDescent="0.35">
      <c r="B17" s="18" t="s">
        <v>21</v>
      </c>
    </row>
    <row r="18" spans="2:6" ht="14" customHeight="1" x14ac:dyDescent="0.35">
      <c r="B18" s="18" t="s">
        <v>22</v>
      </c>
    </row>
    <row r="19" spans="2:6" ht="14" customHeight="1" x14ac:dyDescent="0.35">
      <c r="B19" s="18" t="s">
        <v>23</v>
      </c>
    </row>
    <row r="20" spans="2:6" ht="14" customHeight="1" x14ac:dyDescent="0.35"/>
    <row r="21" spans="2:6" x14ac:dyDescent="0.35">
      <c r="B21" s="78" t="s">
        <v>26</v>
      </c>
      <c r="C21" s="78"/>
      <c r="D21" s="78"/>
      <c r="E21" s="78"/>
      <c r="F21" s="78"/>
    </row>
    <row r="22" spans="2:6" ht="14" customHeight="1" x14ac:dyDescent="0.35">
      <c r="B22" s="18" t="s">
        <v>27</v>
      </c>
    </row>
    <row r="23" spans="2:6" ht="14" customHeight="1" x14ac:dyDescent="0.35"/>
    <row r="24" spans="2:6" x14ac:dyDescent="0.35"/>
    <row r="25" spans="2:6" x14ac:dyDescent="0.35"/>
    <row r="26" spans="2:6" x14ac:dyDescent="0.35"/>
    <row r="27" spans="2:6" x14ac:dyDescent="0.35"/>
    <row r="28" spans="2:6" x14ac:dyDescent="0.35"/>
    <row r="29" spans="2:6" x14ac:dyDescent="0.35"/>
  </sheetData>
  <hyperlinks>
    <hyperlink ref="B5" location="'Index sheet'!A1" display="Back to index" xr:uid="{00000000-0004-0000-0700-000000000000}"/>
  </hyperlinks>
  <pageMargins left="0.7" right="0.7" top="0.75" bottom="0.75" header="0.3" footer="0.3"/>
  <ignoredErrors>
    <ignoredError sqref="B15:K19 B1:K8 B21:K29 B20:I20 K2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K28"/>
  <sheetViews>
    <sheetView showGridLines="0" tabSelected="1" zoomScale="85" zoomScaleNormal="85" workbookViewId="0">
      <selection activeCell="C16" sqref="C16"/>
    </sheetView>
  </sheetViews>
  <sheetFormatPr baseColWidth="10" defaultColWidth="9.1796875" defaultRowHeight="11.5" customHeight="1" x14ac:dyDescent="0.35"/>
  <cols>
    <col min="1" max="1" width="2.453125" style="18" customWidth="1"/>
    <col min="2" max="10" width="18.1796875" style="18" customWidth="1"/>
    <col min="11" max="11" width="20.453125" style="18" customWidth="1"/>
    <col min="12" max="12" width="9.1796875" style="18" customWidth="1"/>
    <col min="13" max="16384" width="9.1796875" style="18"/>
  </cols>
  <sheetData>
    <row r="1" spans="2:11" s="91" customFormat="1" ht="15.75" customHeight="1" x14ac:dyDescent="0.35">
      <c r="B1" s="89" t="s">
        <v>52</v>
      </c>
      <c r="C1" s="89"/>
    </row>
    <row r="2" spans="2:11" s="91" customFormat="1" ht="15.5" customHeight="1" x14ac:dyDescent="0.35">
      <c r="B2" s="90" t="s">
        <v>53</v>
      </c>
      <c r="C2" s="132"/>
      <c r="D2" s="132"/>
      <c r="E2" s="132"/>
      <c r="F2" s="132"/>
      <c r="G2" s="132"/>
      <c r="H2" s="132"/>
      <c r="I2" s="132"/>
      <c r="J2" s="132"/>
      <c r="K2" s="132"/>
    </row>
    <row r="3" spans="2:11" ht="15.75" customHeight="1" x14ac:dyDescent="0.35">
      <c r="B3" s="118" t="s">
        <v>15</v>
      </c>
      <c r="C3" s="74">
        <v>0.93</v>
      </c>
    </row>
    <row r="4" spans="2:11" ht="15.75" customHeight="1" x14ac:dyDescent="0.35">
      <c r="B4" s="119"/>
      <c r="C4" s="119"/>
    </row>
    <row r="5" spans="2:11" x14ac:dyDescent="0.35">
      <c r="B5" s="85" t="s">
        <v>16</v>
      </c>
      <c r="C5" s="133"/>
      <c r="F5" s="77"/>
      <c r="H5" s="120"/>
    </row>
    <row r="6" spans="2:11" x14ac:dyDescent="0.35">
      <c r="B6" s="134"/>
      <c r="C6" s="135"/>
    </row>
    <row r="7" spans="2:11" s="78" customFormat="1" ht="39.75" customHeight="1" x14ac:dyDescent="0.35">
      <c r="B7" s="67" t="s">
        <v>45</v>
      </c>
      <c r="C7" s="67" t="s">
        <v>1597</v>
      </c>
      <c r="D7" s="67" t="s">
        <v>1586</v>
      </c>
      <c r="E7" s="67" t="s">
        <v>1583</v>
      </c>
      <c r="F7" s="67" t="s">
        <v>1582</v>
      </c>
      <c r="G7" s="129" t="s">
        <v>1598</v>
      </c>
      <c r="H7" s="129"/>
      <c r="I7" s="67" t="s">
        <v>1589</v>
      </c>
      <c r="J7" s="67" t="s">
        <v>1593</v>
      </c>
      <c r="K7" s="67" t="s">
        <v>50</v>
      </c>
    </row>
    <row r="8" spans="2:11" s="78" customFormat="1" ht="23" customHeight="1" x14ac:dyDescent="0.35">
      <c r="B8" s="124"/>
      <c r="C8" s="124"/>
      <c r="D8" s="124"/>
      <c r="E8" s="124"/>
      <c r="F8" s="124"/>
      <c r="G8" s="97" t="s">
        <v>17</v>
      </c>
      <c r="H8" s="125" t="s">
        <v>18</v>
      </c>
      <c r="I8" s="124"/>
      <c r="J8" s="130"/>
      <c r="K8" s="131"/>
    </row>
    <row r="9" spans="2:11" ht="12.5" customHeight="1" x14ac:dyDescent="0.35">
      <c r="B9" s="21" t="s">
        <v>1476</v>
      </c>
      <c r="C9" s="22" t="s">
        <v>1477</v>
      </c>
      <c r="D9" s="13" t="s">
        <v>886</v>
      </c>
      <c r="E9" s="22" t="s">
        <v>1478</v>
      </c>
      <c r="F9" s="22" t="s">
        <v>418</v>
      </c>
      <c r="G9" s="23">
        <v>1998000</v>
      </c>
      <c r="H9" s="23">
        <v>1998000</v>
      </c>
      <c r="I9" s="22" t="s">
        <v>436</v>
      </c>
      <c r="J9" s="22" t="s">
        <v>1479</v>
      </c>
      <c r="K9" s="94" t="s">
        <v>70</v>
      </c>
    </row>
    <row r="10" spans="2:11" ht="12.5" customHeight="1" x14ac:dyDescent="0.35">
      <c r="B10" s="21" t="s">
        <v>1480</v>
      </c>
      <c r="C10" s="22" t="s">
        <v>1481</v>
      </c>
      <c r="D10" s="24" t="s">
        <v>855</v>
      </c>
      <c r="E10" s="22" t="s">
        <v>1478</v>
      </c>
      <c r="F10" s="21" t="s">
        <v>418</v>
      </c>
      <c r="G10" s="25">
        <v>633000</v>
      </c>
      <c r="H10" s="25">
        <v>633000</v>
      </c>
      <c r="I10" s="21" t="s">
        <v>1482</v>
      </c>
      <c r="J10" s="22" t="s">
        <v>1537</v>
      </c>
      <c r="K10" s="94" t="s">
        <v>70</v>
      </c>
    </row>
    <row r="11" spans="2:11" ht="12.5" customHeight="1" x14ac:dyDescent="0.35">
      <c r="B11" s="21" t="s">
        <v>1536</v>
      </c>
      <c r="C11" s="22" t="s">
        <v>1483</v>
      </c>
      <c r="D11" s="24">
        <v>2021</v>
      </c>
      <c r="E11" s="22" t="s">
        <v>1478</v>
      </c>
      <c r="F11" s="21" t="s">
        <v>418</v>
      </c>
      <c r="G11" s="25">
        <v>376666</v>
      </c>
      <c r="H11" s="25">
        <v>376666</v>
      </c>
      <c r="I11" s="21" t="s">
        <v>1482</v>
      </c>
      <c r="J11" s="22" t="s">
        <v>1484</v>
      </c>
      <c r="K11" s="94" t="s">
        <v>70</v>
      </c>
    </row>
    <row r="12" spans="2:11" ht="12.5" customHeight="1" x14ac:dyDescent="0.35">
      <c r="B12" s="26"/>
      <c r="C12" s="27"/>
      <c r="D12" s="28"/>
      <c r="E12" s="27"/>
      <c r="F12" s="26"/>
      <c r="G12" s="29" t="s">
        <v>415</v>
      </c>
      <c r="H12" s="30">
        <f>SUM(H9:H11)</f>
        <v>3007666</v>
      </c>
      <c r="I12" s="26"/>
      <c r="J12" s="27"/>
    </row>
    <row r="13" spans="2:11" x14ac:dyDescent="0.35">
      <c r="B13" s="134"/>
      <c r="C13" s="135"/>
    </row>
    <row r="14" spans="2:11" x14ac:dyDescent="0.35">
      <c r="B14" s="87" t="s">
        <v>19</v>
      </c>
      <c r="C14" s="135"/>
    </row>
    <row r="15" spans="2:11" ht="14" customHeight="1" x14ac:dyDescent="0.35">
      <c r="B15" s="18" t="s">
        <v>54</v>
      </c>
      <c r="C15" s="135"/>
    </row>
    <row r="16" spans="2:11" ht="14" customHeight="1" x14ac:dyDescent="0.35">
      <c r="B16" s="18" t="s">
        <v>30</v>
      </c>
      <c r="C16" s="135"/>
    </row>
    <row r="17" spans="2:3" ht="14" customHeight="1" x14ac:dyDescent="0.35">
      <c r="B17" s="18" t="s">
        <v>22</v>
      </c>
      <c r="C17" s="135"/>
    </row>
    <row r="18" spans="2:3" ht="14" customHeight="1" x14ac:dyDescent="0.35">
      <c r="B18" s="18" t="s">
        <v>23</v>
      </c>
      <c r="C18" s="135"/>
    </row>
    <row r="19" spans="2:3" x14ac:dyDescent="0.35">
      <c r="B19" s="134"/>
      <c r="C19" s="135"/>
    </row>
    <row r="20" spans="2:3" x14ac:dyDescent="0.35">
      <c r="B20" s="78" t="s">
        <v>26</v>
      </c>
    </row>
    <row r="21" spans="2:3" ht="13.5" customHeight="1" x14ac:dyDescent="0.35">
      <c r="B21" s="18" t="s">
        <v>27</v>
      </c>
    </row>
    <row r="22" spans="2:3" ht="14" customHeight="1" x14ac:dyDescent="0.35"/>
    <row r="23" spans="2:3" x14ac:dyDescent="0.35"/>
    <row r="24" spans="2:3" x14ac:dyDescent="0.35"/>
    <row r="25" spans="2:3" x14ac:dyDescent="0.35"/>
    <row r="26" spans="2:3" x14ac:dyDescent="0.35"/>
    <row r="27" spans="2:3" x14ac:dyDescent="0.35"/>
    <row r="28" spans="2:3" x14ac:dyDescent="0.35"/>
  </sheetData>
  <hyperlinks>
    <hyperlink ref="B5" location="'Index sheet'!A1" display="Back to index" xr:uid="{00000000-0004-0000-0800-000000000000}"/>
  </hyperlinks>
  <pageMargins left="0.7" right="0.7" top="0.75" bottom="0.75" header="0.3" footer="0.3"/>
  <ignoredErrors>
    <ignoredError sqref="B13:K28 B1:K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F0F5DC-3D20-4852-ABAF-CEFD912D7A9E}">
  <ds:schemaRefs>
    <ds:schemaRef ds:uri="http://schemas.microsoft.com/sharepoint/v3/contenttype/forms"/>
  </ds:schemaRefs>
</ds:datastoreItem>
</file>

<file path=customXml/itemProps2.xml><?xml version="1.0" encoding="utf-8"?>
<ds:datastoreItem xmlns:ds="http://schemas.openxmlformats.org/officeDocument/2006/customXml" ds:itemID="{9094383F-C1A3-4A6E-88F9-B0282E5D8A0C}">
  <ds:schemaRefs>
    <ds:schemaRef ds:uri="http://schemas.microsoft.com/office/infopath/2007/PartnerControl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764a553f-bbcf-4da9-bb39-36227c6dbacf"/>
    <ds:schemaRef ds:uri="5c14c972-a2d7-4d6e-9fe3-a5f478e09f59"/>
    <ds:schemaRef ds:uri="http://schemas.microsoft.com/office/2006/metadata/properties"/>
  </ds:schemaRefs>
</ds:datastoreItem>
</file>

<file path=customXml/itemProps3.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Index sheet</vt:lpstr>
      <vt:lpstr>Table6</vt:lpstr>
      <vt:lpstr>Table7</vt:lpstr>
      <vt:lpstr>Table8</vt:lpstr>
      <vt:lpstr>Table9</vt:lpstr>
      <vt:lpstr>Table10</vt:lpstr>
      <vt:lpstr>Table11</vt:lpstr>
      <vt:lpstr>Table12</vt:lpstr>
      <vt:lpstr>Table13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Torres</dc:creator>
  <cp:lastModifiedBy>Gabriela Vargas</cp:lastModifiedBy>
  <dcterms:created xsi:type="dcterms:W3CDTF">2021-11-26T12:02:15Z</dcterms:created>
  <dcterms:modified xsi:type="dcterms:W3CDTF">2024-12-27T11:52:33Z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